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NXK\Downloads\"/>
    </mc:Choice>
  </mc:AlternateContent>
  <xr:revisionPtr revIDLastSave="0" documentId="13_ncr:1_{7AE748C3-D42A-413A-8455-60753CA3DBF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MASTER" sheetId="1" r:id="rId1"/>
    <sheet name="Appendix_URL" sheetId="7" r:id="rId2"/>
    <sheet name="RAW_tier" sheetId="2" r:id="rId3"/>
    <sheet name="RAW_URL,PageName" sheetId="3" r:id="rId4"/>
    <sheet name="api용" sheetId="4" r:id="rId5"/>
    <sheet name="고객법인일정파일" sheetId="5" r:id="rId6"/>
    <sheet name="태깅기획site_code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4" l="1" a="1"/>
  <c r="W5" i="4" s="1"/>
  <c r="B5" i="4" a="1"/>
  <c r="B5" i="4" s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W5" i="1" a="1"/>
  <c r="W5" i="1" s="1"/>
  <c r="I69" i="5"/>
  <c r="G69" i="5"/>
  <c r="I68" i="5"/>
  <c r="G68" i="5"/>
  <c r="J67" i="5"/>
  <c r="I67" i="5"/>
  <c r="G67" i="5"/>
  <c r="I66" i="5"/>
  <c r="G66" i="5"/>
  <c r="I65" i="5"/>
  <c r="G65" i="5"/>
  <c r="I64" i="5"/>
  <c r="G64" i="5"/>
  <c r="J63" i="5"/>
  <c r="I63" i="5"/>
  <c r="G63" i="5"/>
  <c r="I62" i="5"/>
  <c r="G62" i="5"/>
  <c r="I61" i="5"/>
  <c r="G61" i="5"/>
  <c r="I60" i="5"/>
  <c r="G60" i="5"/>
  <c r="I59" i="5"/>
  <c r="G59" i="5"/>
  <c r="I58" i="5"/>
  <c r="G58" i="5"/>
  <c r="I57" i="5"/>
  <c r="G57" i="5"/>
  <c r="I56" i="5"/>
  <c r="G56" i="5"/>
  <c r="I55" i="5"/>
  <c r="G55" i="5"/>
  <c r="J54" i="5"/>
  <c r="I54" i="5"/>
  <c r="G54" i="5"/>
  <c r="I53" i="5"/>
  <c r="G53" i="5"/>
  <c r="J52" i="5"/>
  <c r="I52" i="5"/>
  <c r="G52" i="5"/>
  <c r="I51" i="5"/>
  <c r="G51" i="5"/>
  <c r="J50" i="5"/>
  <c r="I50" i="5"/>
  <c r="G50" i="5"/>
  <c r="J49" i="5"/>
  <c r="I49" i="5"/>
  <c r="G49" i="5"/>
  <c r="I48" i="5"/>
  <c r="G48" i="5"/>
  <c r="J47" i="5"/>
  <c r="I47" i="5"/>
  <c r="G47" i="5"/>
  <c r="I46" i="5"/>
  <c r="G46" i="5"/>
  <c r="I45" i="5"/>
  <c r="G45" i="5"/>
  <c r="I44" i="5"/>
  <c r="G44" i="5"/>
  <c r="J43" i="5"/>
  <c r="I43" i="5"/>
  <c r="G43" i="5"/>
  <c r="J42" i="5"/>
  <c r="I42" i="5"/>
  <c r="G42" i="5"/>
  <c r="J41" i="5"/>
  <c r="I41" i="5"/>
  <c r="G41" i="5"/>
  <c r="I40" i="5"/>
  <c r="G40" i="5"/>
  <c r="I39" i="5"/>
  <c r="G39" i="5"/>
  <c r="J38" i="5"/>
  <c r="I38" i="5"/>
  <c r="G38" i="5"/>
  <c r="I37" i="5"/>
  <c r="G37" i="5"/>
  <c r="I36" i="5"/>
  <c r="G36" i="5"/>
  <c r="I35" i="5"/>
  <c r="G35" i="5"/>
  <c r="I34" i="5"/>
  <c r="G34" i="5"/>
  <c r="I33" i="5"/>
  <c r="G33" i="5"/>
  <c r="J32" i="5"/>
  <c r="I32" i="5"/>
  <c r="G32" i="5"/>
  <c r="I31" i="5"/>
  <c r="G31" i="5"/>
  <c r="I30" i="5"/>
  <c r="G30" i="5"/>
  <c r="I29" i="5"/>
  <c r="G29" i="5"/>
  <c r="I28" i="5"/>
  <c r="G28" i="5"/>
  <c r="I27" i="5"/>
  <c r="G27" i="5"/>
  <c r="I26" i="5"/>
  <c r="G26" i="5"/>
  <c r="I25" i="5"/>
  <c r="G25" i="5"/>
  <c r="J24" i="5"/>
  <c r="I24" i="5"/>
  <c r="G24" i="5"/>
  <c r="I23" i="5"/>
  <c r="G23" i="5"/>
  <c r="I22" i="5"/>
  <c r="G22" i="5"/>
  <c r="J21" i="5"/>
  <c r="I21" i="5"/>
  <c r="G21" i="5"/>
  <c r="I20" i="5"/>
  <c r="G20" i="5"/>
  <c r="I19" i="5"/>
  <c r="G19" i="5"/>
  <c r="J18" i="5"/>
  <c r="I18" i="5"/>
  <c r="G18" i="5"/>
  <c r="J17" i="5"/>
  <c r="I17" i="5"/>
  <c r="G17" i="5"/>
  <c r="I16" i="5"/>
  <c r="G16" i="5"/>
  <c r="I15" i="5"/>
  <c r="G15" i="5"/>
  <c r="I14" i="5"/>
  <c r="G14" i="5"/>
  <c r="I13" i="5"/>
  <c r="G13" i="5"/>
  <c r="I12" i="5"/>
  <c r="G12" i="5"/>
  <c r="I11" i="5"/>
  <c r="G11" i="5"/>
  <c r="J10" i="5"/>
  <c r="I10" i="5"/>
  <c r="G10" i="5"/>
  <c r="I9" i="5"/>
  <c r="G9" i="5"/>
  <c r="J8" i="5"/>
  <c r="I8" i="5"/>
  <c r="G8" i="5"/>
  <c r="G7" i="5"/>
  <c r="I6" i="5"/>
  <c r="G6" i="5"/>
  <c r="G5" i="5"/>
  <c r="N1" i="1"/>
  <c r="O1" i="1" s="1"/>
  <c r="P1" i="1" s="1"/>
  <c r="Q1" i="1" s="1"/>
  <c r="R1" i="1" s="1"/>
  <c r="S1" i="1" s="1"/>
  <c r="T1" i="1" s="1"/>
  <c r="U1" i="1" s="1"/>
  <c r="O24" i="6"/>
  <c r="O23" i="6"/>
  <c r="O22" i="6"/>
  <c r="O21" i="6"/>
  <c r="O20" i="6"/>
  <c r="O19" i="6"/>
  <c r="O18" i="6"/>
  <c r="O17" i="6"/>
  <c r="O16" i="6"/>
  <c r="N4" i="6" a="1"/>
  <c r="N4" i="6" s="1"/>
  <c r="O4" i="6" s="1"/>
  <c r="P200" i="5"/>
  <c r="P199" i="5"/>
  <c r="P198" i="5"/>
  <c r="P197" i="5"/>
  <c r="P196" i="5"/>
  <c r="P195" i="5"/>
  <c r="P194" i="5"/>
  <c r="P193" i="5"/>
  <c r="P192" i="5"/>
  <c r="O192" i="5"/>
  <c r="P191" i="5"/>
  <c r="O191" i="5"/>
  <c r="P190" i="5"/>
  <c r="O190" i="5"/>
  <c r="P189" i="5"/>
  <c r="O189" i="5"/>
  <c r="P188" i="5"/>
  <c r="O188" i="5"/>
  <c r="P187" i="5"/>
  <c r="O187" i="5"/>
  <c r="P186" i="5"/>
  <c r="O186" i="5"/>
  <c r="P185" i="5"/>
  <c r="O185" i="5"/>
  <c r="P184" i="5"/>
  <c r="O184" i="5"/>
  <c r="P183" i="5"/>
  <c r="O183" i="5"/>
  <c r="P182" i="5"/>
  <c r="O182" i="5"/>
  <c r="P181" i="5"/>
  <c r="O181" i="5"/>
  <c r="P180" i="5"/>
  <c r="O180" i="5"/>
  <c r="P179" i="5"/>
  <c r="O179" i="5"/>
  <c r="P178" i="5"/>
  <c r="O178" i="5"/>
  <c r="P177" i="5"/>
  <c r="O177" i="5"/>
  <c r="P176" i="5"/>
  <c r="O176" i="5"/>
  <c r="P175" i="5"/>
  <c r="O175" i="5"/>
  <c r="P174" i="5"/>
  <c r="O174" i="5"/>
  <c r="P173" i="5"/>
  <c r="O173" i="5"/>
  <c r="P172" i="5"/>
  <c r="O172" i="5"/>
  <c r="P171" i="5"/>
  <c r="O171" i="5"/>
  <c r="P170" i="5"/>
  <c r="O170" i="5"/>
  <c r="P169" i="5"/>
  <c r="O169" i="5"/>
  <c r="P168" i="5"/>
  <c r="O168" i="5"/>
  <c r="P167" i="5"/>
  <c r="O167" i="5"/>
  <c r="P166" i="5"/>
  <c r="O166" i="5"/>
  <c r="P165" i="5"/>
  <c r="O165" i="5"/>
  <c r="P164" i="5"/>
  <c r="O164" i="5"/>
  <c r="P163" i="5"/>
  <c r="O163" i="5"/>
  <c r="P162" i="5"/>
  <c r="O162" i="5"/>
  <c r="P161" i="5"/>
  <c r="O161" i="5"/>
  <c r="P160" i="5"/>
  <c r="O160" i="5"/>
  <c r="P159" i="5"/>
  <c r="O159" i="5"/>
  <c r="P158" i="5"/>
  <c r="O158" i="5"/>
  <c r="P157" i="5"/>
  <c r="O157" i="5"/>
  <c r="P156" i="5"/>
  <c r="O156" i="5"/>
  <c r="P155" i="5"/>
  <c r="O155" i="5"/>
  <c r="P154" i="5"/>
  <c r="O154" i="5"/>
  <c r="P153" i="5"/>
  <c r="O153" i="5"/>
  <c r="P152" i="5"/>
  <c r="O152" i="5"/>
  <c r="P151" i="5"/>
  <c r="O151" i="5"/>
  <c r="P150" i="5"/>
  <c r="O150" i="5"/>
  <c r="P149" i="5"/>
  <c r="O149" i="5"/>
  <c r="P148" i="5"/>
  <c r="O148" i="5"/>
  <c r="P147" i="5"/>
  <c r="O147" i="5"/>
  <c r="P146" i="5"/>
  <c r="O146" i="5"/>
  <c r="P145" i="5"/>
  <c r="O145" i="5"/>
  <c r="P144" i="5"/>
  <c r="O144" i="5"/>
  <c r="P143" i="5"/>
  <c r="O143" i="5"/>
  <c r="P142" i="5"/>
  <c r="O142" i="5"/>
  <c r="P141" i="5"/>
  <c r="O141" i="5"/>
  <c r="P140" i="5"/>
  <c r="O140" i="5"/>
  <c r="P139" i="5"/>
  <c r="O139" i="5"/>
  <c r="P138" i="5"/>
  <c r="O138" i="5"/>
  <c r="P137" i="5"/>
  <c r="O137" i="5"/>
  <c r="P136" i="5"/>
  <c r="O136" i="5"/>
  <c r="P135" i="5"/>
  <c r="O135" i="5"/>
  <c r="P134" i="5"/>
  <c r="O134" i="5"/>
  <c r="P133" i="5"/>
  <c r="O133" i="5"/>
  <c r="P132" i="5"/>
  <c r="O132" i="5"/>
  <c r="P131" i="5"/>
  <c r="O131" i="5"/>
  <c r="P130" i="5"/>
  <c r="O130" i="5"/>
  <c r="P129" i="5"/>
  <c r="O129" i="5"/>
  <c r="P128" i="5"/>
  <c r="O128" i="5"/>
  <c r="P127" i="5"/>
  <c r="O127" i="5"/>
  <c r="P126" i="5"/>
  <c r="O126" i="5"/>
  <c r="P125" i="5"/>
  <c r="O125" i="5"/>
  <c r="P124" i="5"/>
  <c r="O124" i="5"/>
  <c r="P123" i="5"/>
  <c r="O123" i="5"/>
  <c r="P122" i="5"/>
  <c r="O122" i="5"/>
  <c r="P121" i="5"/>
  <c r="O121" i="5"/>
  <c r="P120" i="5"/>
  <c r="O120" i="5"/>
  <c r="P119" i="5"/>
  <c r="O119" i="5"/>
  <c r="P118" i="5"/>
  <c r="O118" i="5"/>
  <c r="P117" i="5"/>
  <c r="O117" i="5"/>
  <c r="P116" i="5"/>
  <c r="O116" i="5"/>
  <c r="P115" i="5"/>
  <c r="O115" i="5"/>
  <c r="P114" i="5"/>
  <c r="O114" i="5"/>
  <c r="P113" i="5"/>
  <c r="O113" i="5"/>
  <c r="P112" i="5"/>
  <c r="O112" i="5"/>
  <c r="P111" i="5"/>
  <c r="O111" i="5"/>
  <c r="P110" i="5"/>
  <c r="O110" i="5"/>
  <c r="P109" i="5"/>
  <c r="O109" i="5"/>
  <c r="P108" i="5"/>
  <c r="O108" i="5"/>
  <c r="P107" i="5"/>
  <c r="O107" i="5"/>
  <c r="P106" i="5"/>
  <c r="O106" i="5"/>
  <c r="P105" i="5"/>
  <c r="O105" i="5"/>
  <c r="P104" i="5"/>
  <c r="O104" i="5"/>
  <c r="P103" i="5"/>
  <c r="O103" i="5"/>
  <c r="P102" i="5"/>
  <c r="O102" i="5"/>
  <c r="P101" i="5"/>
  <c r="O101" i="5"/>
  <c r="P100" i="5"/>
  <c r="O100" i="5"/>
  <c r="P99" i="5"/>
  <c r="O99" i="5"/>
  <c r="P98" i="5"/>
  <c r="O98" i="5"/>
  <c r="P97" i="5"/>
  <c r="O97" i="5"/>
  <c r="P96" i="5"/>
  <c r="O96" i="5"/>
  <c r="O95" i="5"/>
  <c r="O94" i="5"/>
  <c r="P93" i="5"/>
  <c r="O93" i="5"/>
  <c r="P92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P79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P64" i="5"/>
  <c r="D65" i="1" s="1"/>
  <c r="M65" i="1" s="1"/>
  <c r="O64" i="5"/>
  <c r="O63" i="5"/>
  <c r="O62" i="5"/>
  <c r="O61" i="5"/>
  <c r="O60" i="5"/>
  <c r="O59" i="5"/>
  <c r="O58" i="5"/>
  <c r="O57" i="5"/>
  <c r="P56" i="5"/>
  <c r="D57" i="1" s="1"/>
  <c r="M57" i="1" s="1"/>
  <c r="O56" i="5"/>
  <c r="O55" i="5"/>
  <c r="O54" i="5"/>
  <c r="P53" i="5"/>
  <c r="D54" i="1" s="1"/>
  <c r="M54" i="1" s="1"/>
  <c r="O53" i="5"/>
  <c r="O52" i="5"/>
  <c r="P51" i="5"/>
  <c r="D52" i="1" s="1"/>
  <c r="M52" i="1" s="1"/>
  <c r="O51" i="5"/>
  <c r="P50" i="5"/>
  <c r="O50" i="5"/>
  <c r="O49" i="5"/>
  <c r="O48" i="5"/>
  <c r="O47" i="5"/>
  <c r="P46" i="5"/>
  <c r="D47" i="1" s="1"/>
  <c r="M47" i="1" s="1"/>
  <c r="O46" i="5"/>
  <c r="P45" i="5"/>
  <c r="D46" i="1" s="1"/>
  <c r="M46" i="1" s="1"/>
  <c r="O45" i="5"/>
  <c r="O44" i="5"/>
  <c r="P43" i="5"/>
  <c r="D44" i="1" s="1"/>
  <c r="M44" i="1" s="1"/>
  <c r="O43" i="5"/>
  <c r="O42" i="5"/>
  <c r="O41" i="5"/>
  <c r="O40" i="5"/>
  <c r="O39" i="5"/>
  <c r="P38" i="5"/>
  <c r="D39" i="1" s="1"/>
  <c r="M39" i="1" s="1"/>
  <c r="O38" i="5"/>
  <c r="P37" i="5"/>
  <c r="D38" i="1" s="1"/>
  <c r="M38" i="1" s="1"/>
  <c r="O37" i="5"/>
  <c r="O36" i="5"/>
  <c r="O35" i="5"/>
  <c r="O34" i="5"/>
  <c r="O33" i="5"/>
  <c r="O32" i="5"/>
  <c r="O31" i="5"/>
  <c r="P30" i="5"/>
  <c r="D31" i="1" s="1"/>
  <c r="M31" i="1" s="1"/>
  <c r="O30" i="5"/>
  <c r="O29" i="5"/>
  <c r="O28" i="5"/>
  <c r="O27" i="5"/>
  <c r="O26" i="5"/>
  <c r="O25" i="5"/>
  <c r="O24" i="5"/>
  <c r="P23" i="5"/>
  <c r="D24" i="1" s="1"/>
  <c r="M24" i="1" s="1"/>
  <c r="O23" i="5"/>
  <c r="O22" i="5"/>
  <c r="P21" i="5"/>
  <c r="D22" i="1" s="1"/>
  <c r="M22" i="1" s="1"/>
  <c r="O21" i="5"/>
  <c r="O20" i="5"/>
  <c r="O19" i="5"/>
  <c r="O18" i="5"/>
  <c r="P17" i="5"/>
  <c r="D18" i="1" s="1"/>
  <c r="M18" i="1" s="1"/>
  <c r="O17" i="5"/>
  <c r="O16" i="5"/>
  <c r="O15" i="5"/>
  <c r="O14" i="5"/>
  <c r="O13" i="5"/>
  <c r="P12" i="5"/>
  <c r="D13" i="1" s="1"/>
  <c r="M13" i="1" s="1"/>
  <c r="O12" i="5"/>
  <c r="O11" i="5"/>
  <c r="O10" i="5"/>
  <c r="O9" i="5"/>
  <c r="P8" i="5"/>
  <c r="D9" i="1" s="1"/>
  <c r="M9" i="1" s="1"/>
  <c r="O8" i="5"/>
  <c r="P7" i="5"/>
  <c r="D8" i="1" s="1"/>
  <c r="M8" i="1" s="1"/>
  <c r="O7" i="5"/>
  <c r="P34" i="5" s="1"/>
  <c r="D35" i="1" s="1"/>
  <c r="M35" i="1" s="1"/>
  <c r="P6" i="5"/>
  <c r="D7" i="1" s="1"/>
  <c r="M7" i="1" s="1"/>
  <c r="O6" i="5"/>
  <c r="P5" i="5"/>
  <c r="D6" i="1" s="1"/>
  <c r="M6" i="1" s="1"/>
  <c r="O5" i="5"/>
  <c r="O4" i="5"/>
  <c r="P94" i="5" s="1"/>
  <c r="D95" i="1" s="1"/>
  <c r="M95" i="1" s="1"/>
  <c r="H200" i="4"/>
  <c r="G200" i="4"/>
  <c r="I200" i="4" s="1"/>
  <c r="H199" i="4"/>
  <c r="G199" i="4"/>
  <c r="I199" i="4" s="1"/>
  <c r="H198" i="4"/>
  <c r="G198" i="4"/>
  <c r="I198" i="4" s="1"/>
  <c r="H197" i="4"/>
  <c r="G197" i="4"/>
  <c r="I197" i="4" s="1"/>
  <c r="H196" i="4"/>
  <c r="G196" i="4"/>
  <c r="I196" i="4" s="1"/>
  <c r="H195" i="4"/>
  <c r="G195" i="4"/>
  <c r="I195" i="4" s="1"/>
  <c r="H194" i="4"/>
  <c r="G194" i="4"/>
  <c r="I194" i="4" s="1"/>
  <c r="H193" i="4"/>
  <c r="G193" i="4"/>
  <c r="I193" i="4" s="1"/>
  <c r="H192" i="4"/>
  <c r="G192" i="4"/>
  <c r="I192" i="4" s="1"/>
  <c r="H191" i="4"/>
  <c r="G191" i="4"/>
  <c r="I191" i="4" s="1"/>
  <c r="H190" i="4"/>
  <c r="G190" i="4"/>
  <c r="I190" i="4" s="1"/>
  <c r="H189" i="4"/>
  <c r="G189" i="4"/>
  <c r="I189" i="4" s="1"/>
  <c r="H188" i="4"/>
  <c r="G188" i="4"/>
  <c r="I188" i="4" s="1"/>
  <c r="H187" i="4"/>
  <c r="G187" i="4"/>
  <c r="I187" i="4" s="1"/>
  <c r="H186" i="4"/>
  <c r="G186" i="4"/>
  <c r="I186" i="4" s="1"/>
  <c r="H185" i="4"/>
  <c r="G185" i="4"/>
  <c r="I185" i="4" s="1"/>
  <c r="H184" i="4"/>
  <c r="G184" i="4"/>
  <c r="I184" i="4" s="1"/>
  <c r="H183" i="4"/>
  <c r="G183" i="4"/>
  <c r="I183" i="4" s="1"/>
  <c r="H182" i="4"/>
  <c r="G182" i="4"/>
  <c r="I182" i="4" s="1"/>
  <c r="H181" i="4"/>
  <c r="G181" i="4"/>
  <c r="I181" i="4" s="1"/>
  <c r="H180" i="4"/>
  <c r="G180" i="4"/>
  <c r="I180" i="4" s="1"/>
  <c r="H179" i="4"/>
  <c r="G179" i="4"/>
  <c r="I179" i="4" s="1"/>
  <c r="H178" i="4"/>
  <c r="G178" i="4"/>
  <c r="I178" i="4" s="1"/>
  <c r="H177" i="4"/>
  <c r="G177" i="4"/>
  <c r="I177" i="4" s="1"/>
  <c r="H176" i="4"/>
  <c r="G176" i="4"/>
  <c r="I176" i="4" s="1"/>
  <c r="H175" i="4"/>
  <c r="G175" i="4"/>
  <c r="I175" i="4" s="1"/>
  <c r="H174" i="4"/>
  <c r="G174" i="4"/>
  <c r="I174" i="4" s="1"/>
  <c r="H173" i="4"/>
  <c r="G173" i="4"/>
  <c r="I173" i="4" s="1"/>
  <c r="H172" i="4"/>
  <c r="G172" i="4"/>
  <c r="I172" i="4" s="1"/>
  <c r="H171" i="4"/>
  <c r="G171" i="4"/>
  <c r="I171" i="4" s="1"/>
  <c r="H170" i="4"/>
  <c r="G170" i="4"/>
  <c r="I170" i="4" s="1"/>
  <c r="H169" i="4"/>
  <c r="G169" i="4"/>
  <c r="I169" i="4" s="1"/>
  <c r="H168" i="4"/>
  <c r="G168" i="4"/>
  <c r="I168" i="4" s="1"/>
  <c r="H167" i="4"/>
  <c r="G167" i="4"/>
  <c r="I167" i="4" s="1"/>
  <c r="H166" i="4"/>
  <c r="G166" i="4"/>
  <c r="I166" i="4" s="1"/>
  <c r="H165" i="4"/>
  <c r="G165" i="4"/>
  <c r="I165" i="4" s="1"/>
  <c r="H164" i="4"/>
  <c r="G164" i="4"/>
  <c r="I164" i="4" s="1"/>
  <c r="H163" i="4"/>
  <c r="G163" i="4"/>
  <c r="I163" i="4" s="1"/>
  <c r="H162" i="4"/>
  <c r="G162" i="4"/>
  <c r="I162" i="4" s="1"/>
  <c r="H161" i="4"/>
  <c r="G161" i="4"/>
  <c r="I161" i="4" s="1"/>
  <c r="H160" i="4"/>
  <c r="G160" i="4"/>
  <c r="I160" i="4" s="1"/>
  <c r="H159" i="4"/>
  <c r="G159" i="4"/>
  <c r="I159" i="4" s="1"/>
  <c r="H158" i="4"/>
  <c r="G158" i="4"/>
  <c r="I158" i="4" s="1"/>
  <c r="H157" i="4"/>
  <c r="G157" i="4"/>
  <c r="I157" i="4" s="1"/>
  <c r="H156" i="4"/>
  <c r="G156" i="4"/>
  <c r="I156" i="4" s="1"/>
  <c r="H155" i="4"/>
  <c r="G155" i="4"/>
  <c r="I155" i="4" s="1"/>
  <c r="H154" i="4"/>
  <c r="G154" i="4"/>
  <c r="I154" i="4" s="1"/>
  <c r="H153" i="4"/>
  <c r="G153" i="4"/>
  <c r="I153" i="4" s="1"/>
  <c r="H152" i="4"/>
  <c r="G152" i="4"/>
  <c r="I152" i="4" s="1"/>
  <c r="H151" i="4"/>
  <c r="G151" i="4"/>
  <c r="I151" i="4" s="1"/>
  <c r="H150" i="4"/>
  <c r="G150" i="4"/>
  <c r="I150" i="4" s="1"/>
  <c r="H149" i="4"/>
  <c r="G149" i="4"/>
  <c r="I149" i="4" s="1"/>
  <c r="H148" i="4"/>
  <c r="G148" i="4"/>
  <c r="I148" i="4" s="1"/>
  <c r="H147" i="4"/>
  <c r="G147" i="4"/>
  <c r="I147" i="4" s="1"/>
  <c r="H146" i="4"/>
  <c r="G146" i="4"/>
  <c r="I146" i="4" s="1"/>
  <c r="H145" i="4"/>
  <c r="G145" i="4"/>
  <c r="I145" i="4" s="1"/>
  <c r="H144" i="4"/>
  <c r="G144" i="4"/>
  <c r="I144" i="4" s="1"/>
  <c r="H143" i="4"/>
  <c r="G143" i="4"/>
  <c r="I143" i="4" s="1"/>
  <c r="H142" i="4"/>
  <c r="G142" i="4"/>
  <c r="I142" i="4" s="1"/>
  <c r="H141" i="4"/>
  <c r="G141" i="4"/>
  <c r="I141" i="4" s="1"/>
  <c r="H140" i="4"/>
  <c r="G140" i="4"/>
  <c r="I140" i="4" s="1"/>
  <c r="H139" i="4"/>
  <c r="G139" i="4"/>
  <c r="I139" i="4" s="1"/>
  <c r="H138" i="4"/>
  <c r="G138" i="4"/>
  <c r="I138" i="4" s="1"/>
  <c r="H137" i="4"/>
  <c r="G137" i="4"/>
  <c r="I137" i="4" s="1"/>
  <c r="H136" i="4"/>
  <c r="G136" i="4"/>
  <c r="I136" i="4" s="1"/>
  <c r="H135" i="4"/>
  <c r="G135" i="4"/>
  <c r="I135" i="4" s="1"/>
  <c r="H134" i="4"/>
  <c r="G134" i="4"/>
  <c r="I134" i="4" s="1"/>
  <c r="H133" i="4"/>
  <c r="G133" i="4"/>
  <c r="I133" i="4" s="1"/>
  <c r="H132" i="4"/>
  <c r="G132" i="4"/>
  <c r="I132" i="4" s="1"/>
  <c r="H131" i="4"/>
  <c r="G131" i="4"/>
  <c r="I131" i="4" s="1"/>
  <c r="H130" i="4"/>
  <c r="G130" i="4"/>
  <c r="I130" i="4" s="1"/>
  <c r="H129" i="4"/>
  <c r="G129" i="4"/>
  <c r="I129" i="4" s="1"/>
  <c r="H128" i="4"/>
  <c r="G128" i="4"/>
  <c r="I128" i="4" s="1"/>
  <c r="H127" i="4"/>
  <c r="G127" i="4"/>
  <c r="I127" i="4" s="1"/>
  <c r="H126" i="4"/>
  <c r="G126" i="4"/>
  <c r="I126" i="4" s="1"/>
  <c r="H125" i="4"/>
  <c r="G125" i="4"/>
  <c r="I125" i="4" s="1"/>
  <c r="H124" i="4"/>
  <c r="G124" i="4"/>
  <c r="I124" i="4" s="1"/>
  <c r="H123" i="4"/>
  <c r="G123" i="4"/>
  <c r="I123" i="4" s="1"/>
  <c r="H122" i="4"/>
  <c r="G122" i="4"/>
  <c r="I122" i="4" s="1"/>
  <c r="H121" i="4"/>
  <c r="G121" i="4"/>
  <c r="I121" i="4" s="1"/>
  <c r="H120" i="4"/>
  <c r="G120" i="4"/>
  <c r="I120" i="4" s="1"/>
  <c r="H119" i="4"/>
  <c r="G119" i="4"/>
  <c r="I119" i="4" s="1"/>
  <c r="H118" i="4"/>
  <c r="G118" i="4"/>
  <c r="I118" i="4" s="1"/>
  <c r="H117" i="4"/>
  <c r="G117" i="4"/>
  <c r="I117" i="4" s="1"/>
  <c r="H116" i="4"/>
  <c r="G116" i="4"/>
  <c r="I116" i="4" s="1"/>
  <c r="H115" i="4"/>
  <c r="G115" i="4"/>
  <c r="I115" i="4" s="1"/>
  <c r="H114" i="4"/>
  <c r="G114" i="4"/>
  <c r="I114" i="4" s="1"/>
  <c r="H113" i="4"/>
  <c r="G113" i="4"/>
  <c r="I113" i="4" s="1"/>
  <c r="H112" i="4"/>
  <c r="G112" i="4"/>
  <c r="I112" i="4" s="1"/>
  <c r="H111" i="4"/>
  <c r="G111" i="4"/>
  <c r="I111" i="4" s="1"/>
  <c r="H110" i="4"/>
  <c r="G110" i="4"/>
  <c r="I110" i="4" s="1"/>
  <c r="H109" i="4"/>
  <c r="G109" i="4"/>
  <c r="I109" i="4" s="1"/>
  <c r="H108" i="4"/>
  <c r="G108" i="4"/>
  <c r="I108" i="4" s="1"/>
  <c r="H107" i="4"/>
  <c r="G107" i="4"/>
  <c r="I107" i="4" s="1"/>
  <c r="H106" i="4"/>
  <c r="G106" i="4"/>
  <c r="I106" i="4" s="1"/>
  <c r="H105" i="4"/>
  <c r="G105" i="4"/>
  <c r="I105" i="4" s="1"/>
  <c r="H104" i="4"/>
  <c r="G104" i="4"/>
  <c r="I104" i="4" s="1"/>
  <c r="H103" i="4"/>
  <c r="G103" i="4"/>
  <c r="I103" i="4" s="1"/>
  <c r="H102" i="4"/>
  <c r="G102" i="4"/>
  <c r="I102" i="4" s="1"/>
  <c r="H101" i="4"/>
  <c r="G101" i="4"/>
  <c r="I101" i="4" s="1"/>
  <c r="H100" i="4"/>
  <c r="G100" i="4"/>
  <c r="I100" i="4" s="1"/>
  <c r="H99" i="4"/>
  <c r="G99" i="4"/>
  <c r="I99" i="4" s="1"/>
  <c r="H98" i="4"/>
  <c r="G98" i="4"/>
  <c r="I98" i="4" s="1"/>
  <c r="H97" i="4"/>
  <c r="G97" i="4"/>
  <c r="I97" i="4" s="1"/>
  <c r="H96" i="4"/>
  <c r="G96" i="4"/>
  <c r="I96" i="4" s="1"/>
  <c r="H95" i="4"/>
  <c r="G95" i="4"/>
  <c r="I95" i="4" s="1"/>
  <c r="H94" i="4"/>
  <c r="G94" i="4"/>
  <c r="I94" i="4" s="1"/>
  <c r="H93" i="4"/>
  <c r="G93" i="4"/>
  <c r="I93" i="4" s="1"/>
  <c r="H92" i="4"/>
  <c r="G92" i="4"/>
  <c r="I92" i="4" s="1"/>
  <c r="H91" i="4"/>
  <c r="G91" i="4"/>
  <c r="I91" i="4" s="1"/>
  <c r="H90" i="4"/>
  <c r="G90" i="4"/>
  <c r="I90" i="4" s="1"/>
  <c r="H89" i="4"/>
  <c r="G89" i="4"/>
  <c r="I89" i="4" s="1"/>
  <c r="H88" i="4"/>
  <c r="G88" i="4"/>
  <c r="I88" i="4" s="1"/>
  <c r="H87" i="4"/>
  <c r="G87" i="4"/>
  <c r="I87" i="4" s="1"/>
  <c r="H86" i="4"/>
  <c r="G86" i="4"/>
  <c r="I86" i="4" s="1"/>
  <c r="H85" i="4"/>
  <c r="G85" i="4"/>
  <c r="I85" i="4" s="1"/>
  <c r="H84" i="4"/>
  <c r="G84" i="4"/>
  <c r="I84" i="4" s="1"/>
  <c r="H83" i="4"/>
  <c r="G83" i="4"/>
  <c r="I83" i="4" s="1"/>
  <c r="H82" i="4"/>
  <c r="G82" i="4"/>
  <c r="I82" i="4" s="1"/>
  <c r="E82" i="4"/>
  <c r="H81" i="4"/>
  <c r="G81" i="4"/>
  <c r="I81" i="4" s="1"/>
  <c r="E81" i="4"/>
  <c r="H80" i="4"/>
  <c r="G80" i="4"/>
  <c r="I80" i="4" s="1"/>
  <c r="E80" i="4"/>
  <c r="H79" i="4"/>
  <c r="G79" i="4"/>
  <c r="I79" i="4" s="1"/>
  <c r="E79" i="4"/>
  <c r="H78" i="4"/>
  <c r="G78" i="4"/>
  <c r="I78" i="4" s="1"/>
  <c r="E78" i="4"/>
  <c r="H77" i="4"/>
  <c r="G77" i="4"/>
  <c r="I77" i="4" s="1"/>
  <c r="E77" i="4"/>
  <c r="H76" i="4"/>
  <c r="G76" i="4"/>
  <c r="I76" i="4" s="1"/>
  <c r="E76" i="4"/>
  <c r="H75" i="4"/>
  <c r="G75" i="4"/>
  <c r="I75" i="4" s="1"/>
  <c r="E75" i="4"/>
  <c r="H74" i="4"/>
  <c r="G74" i="4"/>
  <c r="I74" i="4" s="1"/>
  <c r="E74" i="4"/>
  <c r="H73" i="4"/>
  <c r="G73" i="4"/>
  <c r="I73" i="4" s="1"/>
  <c r="E73" i="4"/>
  <c r="H72" i="4"/>
  <c r="G72" i="4"/>
  <c r="I72" i="4" s="1"/>
  <c r="E72" i="4"/>
  <c r="H71" i="4"/>
  <c r="G71" i="4"/>
  <c r="I71" i="4" s="1"/>
  <c r="E71" i="4"/>
  <c r="H70" i="4"/>
  <c r="G70" i="4"/>
  <c r="I70" i="4" s="1"/>
  <c r="E70" i="4"/>
  <c r="H69" i="4"/>
  <c r="G69" i="4"/>
  <c r="I69" i="4" s="1"/>
  <c r="E69" i="4"/>
  <c r="H68" i="4"/>
  <c r="G68" i="4"/>
  <c r="I68" i="4" s="1"/>
  <c r="E68" i="4"/>
  <c r="H67" i="4"/>
  <c r="G67" i="4"/>
  <c r="I67" i="4" s="1"/>
  <c r="E67" i="4"/>
  <c r="H66" i="4"/>
  <c r="G66" i="4"/>
  <c r="I66" i="4" s="1"/>
  <c r="E66" i="4"/>
  <c r="H65" i="4"/>
  <c r="G65" i="4"/>
  <c r="I65" i="4" s="1"/>
  <c r="E65" i="4"/>
  <c r="H64" i="4"/>
  <c r="G64" i="4"/>
  <c r="I64" i="4" s="1"/>
  <c r="E64" i="4"/>
  <c r="H63" i="4"/>
  <c r="G63" i="4"/>
  <c r="I63" i="4" s="1"/>
  <c r="E63" i="4"/>
  <c r="H62" i="4"/>
  <c r="G62" i="4"/>
  <c r="I62" i="4" s="1"/>
  <c r="E62" i="4"/>
  <c r="H61" i="4"/>
  <c r="G61" i="4"/>
  <c r="I61" i="4" s="1"/>
  <c r="E61" i="4"/>
  <c r="H60" i="4"/>
  <c r="G60" i="4"/>
  <c r="I60" i="4" s="1"/>
  <c r="E60" i="4"/>
  <c r="H59" i="4"/>
  <c r="G59" i="4"/>
  <c r="I59" i="4" s="1"/>
  <c r="E59" i="4"/>
  <c r="H58" i="4"/>
  <c r="G58" i="4"/>
  <c r="I58" i="4" s="1"/>
  <c r="E58" i="4"/>
  <c r="H57" i="4"/>
  <c r="G57" i="4"/>
  <c r="I57" i="4" s="1"/>
  <c r="E57" i="4"/>
  <c r="H56" i="4"/>
  <c r="G56" i="4"/>
  <c r="I56" i="4" s="1"/>
  <c r="E56" i="4"/>
  <c r="H55" i="4"/>
  <c r="G55" i="4"/>
  <c r="I55" i="4" s="1"/>
  <c r="E55" i="4"/>
  <c r="H54" i="4"/>
  <c r="G54" i="4"/>
  <c r="I54" i="4" s="1"/>
  <c r="E54" i="4"/>
  <c r="H53" i="4"/>
  <c r="G53" i="4"/>
  <c r="I53" i="4" s="1"/>
  <c r="E53" i="4"/>
  <c r="H52" i="4"/>
  <c r="G52" i="4"/>
  <c r="I52" i="4" s="1"/>
  <c r="E52" i="4"/>
  <c r="H51" i="4"/>
  <c r="G51" i="4"/>
  <c r="I51" i="4" s="1"/>
  <c r="E51" i="4"/>
  <c r="H50" i="4"/>
  <c r="G50" i="4"/>
  <c r="I50" i="4" s="1"/>
  <c r="E50" i="4"/>
  <c r="H49" i="4"/>
  <c r="G49" i="4"/>
  <c r="I49" i="4" s="1"/>
  <c r="E49" i="4"/>
  <c r="H48" i="4"/>
  <c r="G48" i="4"/>
  <c r="I48" i="4" s="1"/>
  <c r="E48" i="4"/>
  <c r="H47" i="4"/>
  <c r="G47" i="4"/>
  <c r="I47" i="4" s="1"/>
  <c r="E47" i="4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J2" i="3" a="1"/>
  <c r="J3" i="3" s="1"/>
  <c r="J2" i="3"/>
  <c r="I2" i="3" a="1"/>
  <c r="I2" i="3"/>
  <c r="A2" i="3"/>
  <c r="C50" i="2"/>
  <c r="A50" i="2"/>
  <c r="C49" i="2"/>
  <c r="A49" i="2"/>
  <c r="C48" i="2"/>
  <c r="A48" i="2"/>
  <c r="C47" i="2"/>
  <c r="A47" i="2"/>
  <c r="C46" i="2"/>
  <c r="A46" i="2"/>
  <c r="C45" i="2"/>
  <c r="A45" i="2"/>
  <c r="C44" i="2"/>
  <c r="A44" i="2"/>
  <c r="C43" i="2"/>
  <c r="A43" i="2"/>
  <c r="C42" i="2"/>
  <c r="A42" i="2"/>
  <c r="C41" i="2"/>
  <c r="A41" i="2"/>
  <c r="C40" i="2"/>
  <c r="A40" i="2"/>
  <c r="C39" i="2"/>
  <c r="A39" i="2"/>
  <c r="C38" i="2"/>
  <c r="A38" i="2"/>
  <c r="C37" i="2"/>
  <c r="A37" i="2"/>
  <c r="C36" i="2"/>
  <c r="A36" i="2"/>
  <c r="C35" i="2"/>
  <c r="A35" i="2"/>
  <c r="C34" i="2"/>
  <c r="A34" i="2"/>
  <c r="C33" i="2"/>
  <c r="A33" i="2"/>
  <c r="C32" i="2"/>
  <c r="A32" i="2"/>
  <c r="C31" i="2"/>
  <c r="A31" i="2"/>
  <c r="C30" i="2"/>
  <c r="A30" i="2"/>
  <c r="C29" i="2"/>
  <c r="A29" i="2"/>
  <c r="C28" i="2"/>
  <c r="A28" i="2"/>
  <c r="C27" i="2"/>
  <c r="A27" i="2"/>
  <c r="C26" i="2"/>
  <c r="A26" i="2"/>
  <c r="C25" i="2"/>
  <c r="A25" i="2"/>
  <c r="C24" i="2"/>
  <c r="A24" i="2"/>
  <c r="C23" i="2"/>
  <c r="A23" i="2"/>
  <c r="C22" i="2"/>
  <c r="A22" i="2"/>
  <c r="C21" i="2"/>
  <c r="A21" i="2"/>
  <c r="C20" i="2"/>
  <c r="A20" i="2"/>
  <c r="C19" i="2"/>
  <c r="A19" i="2"/>
  <c r="C18" i="2"/>
  <c r="A18" i="2"/>
  <c r="C17" i="2"/>
  <c r="A17" i="2"/>
  <c r="C16" i="2"/>
  <c r="A16" i="2"/>
  <c r="C15" i="2"/>
  <c r="A15" i="2"/>
  <c r="C14" i="2"/>
  <c r="A14" i="2"/>
  <c r="C13" i="2"/>
  <c r="A13" i="2"/>
  <c r="C12" i="2"/>
  <c r="A12" i="2"/>
  <c r="C11" i="2"/>
  <c r="A11" i="2"/>
  <c r="C10" i="2"/>
  <c r="A10" i="2"/>
  <c r="C9" i="2"/>
  <c r="A9" i="2"/>
  <c r="C8" i="2"/>
  <c r="A8" i="2"/>
  <c r="C7" i="2"/>
  <c r="A7" i="2"/>
  <c r="C6" i="2"/>
  <c r="A6" i="2"/>
  <c r="C5" i="2"/>
  <c r="A5" i="2"/>
  <c r="C4" i="2"/>
  <c r="A4" i="2"/>
  <c r="C3" i="2"/>
  <c r="A3" i="2"/>
  <c r="C2" i="2"/>
  <c r="A2" i="2"/>
  <c r="I142" i="1"/>
  <c r="H142" i="1"/>
  <c r="G142" i="1"/>
  <c r="B142" i="1" s="1"/>
  <c r="F142" i="1"/>
  <c r="E142" i="1"/>
  <c r="D142" i="1"/>
  <c r="M142" i="1" s="1"/>
  <c r="C142" i="1"/>
  <c r="I141" i="1"/>
  <c r="H141" i="1"/>
  <c r="G141" i="1"/>
  <c r="B141" i="1" s="1"/>
  <c r="F141" i="1"/>
  <c r="E141" i="1"/>
  <c r="D141" i="1"/>
  <c r="M141" i="1" s="1"/>
  <c r="C141" i="1"/>
  <c r="I140" i="1"/>
  <c r="H140" i="1"/>
  <c r="G140" i="1"/>
  <c r="B140" i="1" s="1"/>
  <c r="F140" i="1"/>
  <c r="E140" i="1"/>
  <c r="D140" i="1"/>
  <c r="M140" i="1" s="1"/>
  <c r="C140" i="1"/>
  <c r="I139" i="1"/>
  <c r="H139" i="1"/>
  <c r="G139" i="1"/>
  <c r="B139" i="1" s="1"/>
  <c r="F139" i="1"/>
  <c r="E139" i="1"/>
  <c r="D139" i="1"/>
  <c r="M139" i="1" s="1"/>
  <c r="C139" i="1"/>
  <c r="I138" i="1"/>
  <c r="H138" i="1"/>
  <c r="G138" i="1"/>
  <c r="B138" i="1" s="1"/>
  <c r="F138" i="1"/>
  <c r="E138" i="1"/>
  <c r="D138" i="1"/>
  <c r="M138" i="1" s="1"/>
  <c r="C138" i="1"/>
  <c r="I137" i="1"/>
  <c r="H137" i="1"/>
  <c r="G137" i="1"/>
  <c r="F137" i="1"/>
  <c r="E137" i="1"/>
  <c r="D137" i="1"/>
  <c r="M137" i="1" s="1"/>
  <c r="C137" i="1"/>
  <c r="B137" i="1"/>
  <c r="I136" i="1"/>
  <c r="H136" i="1"/>
  <c r="G136" i="1"/>
  <c r="B136" i="1" s="1"/>
  <c r="F136" i="1"/>
  <c r="E136" i="1"/>
  <c r="D136" i="1"/>
  <c r="M136" i="1" s="1"/>
  <c r="C136" i="1"/>
  <c r="I135" i="1"/>
  <c r="H135" i="1"/>
  <c r="G135" i="1"/>
  <c r="B135" i="1" s="1"/>
  <c r="F135" i="1"/>
  <c r="E135" i="1"/>
  <c r="D135" i="1"/>
  <c r="M135" i="1" s="1"/>
  <c r="C135" i="1"/>
  <c r="I134" i="1"/>
  <c r="H134" i="1"/>
  <c r="G134" i="1"/>
  <c r="B134" i="1" s="1"/>
  <c r="F134" i="1"/>
  <c r="E134" i="1"/>
  <c r="D134" i="1"/>
  <c r="M134" i="1" s="1"/>
  <c r="C134" i="1"/>
  <c r="I133" i="1"/>
  <c r="H133" i="1"/>
  <c r="G133" i="1"/>
  <c r="B133" i="1" s="1"/>
  <c r="F133" i="1"/>
  <c r="E133" i="1"/>
  <c r="D133" i="1"/>
  <c r="M133" i="1" s="1"/>
  <c r="C133" i="1"/>
  <c r="I132" i="1"/>
  <c r="H132" i="1"/>
  <c r="G132" i="1"/>
  <c r="B132" i="1" s="1"/>
  <c r="F132" i="1"/>
  <c r="E132" i="1"/>
  <c r="D132" i="1"/>
  <c r="M132" i="1" s="1"/>
  <c r="C132" i="1"/>
  <c r="I131" i="1"/>
  <c r="H131" i="1"/>
  <c r="G131" i="1"/>
  <c r="B131" i="1" s="1"/>
  <c r="F131" i="1"/>
  <c r="E131" i="1"/>
  <c r="D131" i="1"/>
  <c r="M131" i="1" s="1"/>
  <c r="C131" i="1"/>
  <c r="I130" i="1"/>
  <c r="H130" i="1"/>
  <c r="G130" i="1"/>
  <c r="B130" i="1" s="1"/>
  <c r="F130" i="1"/>
  <c r="E130" i="1"/>
  <c r="D130" i="1"/>
  <c r="M130" i="1" s="1"/>
  <c r="C130" i="1"/>
  <c r="I129" i="1"/>
  <c r="H129" i="1"/>
  <c r="G129" i="1"/>
  <c r="B129" i="1" s="1"/>
  <c r="F129" i="1"/>
  <c r="E129" i="1"/>
  <c r="D129" i="1"/>
  <c r="M129" i="1" s="1"/>
  <c r="C129" i="1"/>
  <c r="I128" i="1"/>
  <c r="H128" i="1"/>
  <c r="G128" i="1"/>
  <c r="B128" i="1" s="1"/>
  <c r="F128" i="1"/>
  <c r="E128" i="1"/>
  <c r="D128" i="1"/>
  <c r="M128" i="1" s="1"/>
  <c r="C128" i="1"/>
  <c r="I127" i="1"/>
  <c r="H127" i="1"/>
  <c r="G127" i="1"/>
  <c r="B127" i="1" s="1"/>
  <c r="F127" i="1"/>
  <c r="E127" i="1"/>
  <c r="D127" i="1"/>
  <c r="M127" i="1" s="1"/>
  <c r="C127" i="1"/>
  <c r="I126" i="1"/>
  <c r="H126" i="1"/>
  <c r="G126" i="1"/>
  <c r="B126" i="1" s="1"/>
  <c r="F126" i="1"/>
  <c r="E126" i="1"/>
  <c r="D126" i="1"/>
  <c r="M126" i="1" s="1"/>
  <c r="C126" i="1"/>
  <c r="I125" i="1"/>
  <c r="H125" i="1"/>
  <c r="G125" i="1"/>
  <c r="B125" i="1" s="1"/>
  <c r="F125" i="1"/>
  <c r="E125" i="1"/>
  <c r="D125" i="1"/>
  <c r="M125" i="1" s="1"/>
  <c r="C125" i="1"/>
  <c r="I124" i="1"/>
  <c r="H124" i="1"/>
  <c r="G124" i="1"/>
  <c r="B124" i="1" s="1"/>
  <c r="F124" i="1"/>
  <c r="E124" i="1"/>
  <c r="D124" i="1"/>
  <c r="M124" i="1" s="1"/>
  <c r="C124" i="1"/>
  <c r="I123" i="1"/>
  <c r="H123" i="1"/>
  <c r="G123" i="1"/>
  <c r="B123" i="1" s="1"/>
  <c r="F123" i="1"/>
  <c r="E123" i="1"/>
  <c r="D123" i="1"/>
  <c r="M123" i="1" s="1"/>
  <c r="C123" i="1"/>
  <c r="I122" i="1"/>
  <c r="H122" i="1"/>
  <c r="G122" i="1"/>
  <c r="B122" i="1" s="1"/>
  <c r="F122" i="1"/>
  <c r="E122" i="1"/>
  <c r="D122" i="1"/>
  <c r="M122" i="1" s="1"/>
  <c r="C122" i="1"/>
  <c r="I121" i="1"/>
  <c r="H121" i="1"/>
  <c r="G121" i="1"/>
  <c r="B121" i="1" s="1"/>
  <c r="F121" i="1"/>
  <c r="E121" i="1"/>
  <c r="D121" i="1"/>
  <c r="M121" i="1" s="1"/>
  <c r="C121" i="1"/>
  <c r="I120" i="1"/>
  <c r="H120" i="1"/>
  <c r="G120" i="1"/>
  <c r="B120" i="1" s="1"/>
  <c r="F120" i="1"/>
  <c r="E120" i="1"/>
  <c r="D120" i="1"/>
  <c r="M120" i="1" s="1"/>
  <c r="C120" i="1"/>
  <c r="I119" i="1"/>
  <c r="H119" i="1"/>
  <c r="G119" i="1"/>
  <c r="B119" i="1" s="1"/>
  <c r="F119" i="1"/>
  <c r="E119" i="1"/>
  <c r="D119" i="1"/>
  <c r="M119" i="1" s="1"/>
  <c r="C119" i="1"/>
  <c r="I118" i="1"/>
  <c r="H118" i="1"/>
  <c r="G118" i="1"/>
  <c r="B118" i="1" s="1"/>
  <c r="F118" i="1"/>
  <c r="E118" i="1"/>
  <c r="D118" i="1"/>
  <c r="M118" i="1" s="1"/>
  <c r="C118" i="1"/>
  <c r="I117" i="1"/>
  <c r="H117" i="1"/>
  <c r="G117" i="1"/>
  <c r="B117" i="1" s="1"/>
  <c r="F117" i="1"/>
  <c r="E117" i="1"/>
  <c r="D117" i="1"/>
  <c r="M117" i="1" s="1"/>
  <c r="C117" i="1"/>
  <c r="I116" i="1"/>
  <c r="H116" i="1"/>
  <c r="G116" i="1"/>
  <c r="B116" i="1" s="1"/>
  <c r="F116" i="1"/>
  <c r="E116" i="1"/>
  <c r="D116" i="1"/>
  <c r="M116" i="1" s="1"/>
  <c r="C116" i="1"/>
  <c r="I115" i="1"/>
  <c r="H115" i="1"/>
  <c r="G115" i="1"/>
  <c r="B115" i="1" s="1"/>
  <c r="F115" i="1"/>
  <c r="E115" i="1"/>
  <c r="D115" i="1"/>
  <c r="M115" i="1" s="1"/>
  <c r="C115" i="1"/>
  <c r="I114" i="1"/>
  <c r="H114" i="1"/>
  <c r="G114" i="1"/>
  <c r="B114" i="1" s="1"/>
  <c r="F114" i="1"/>
  <c r="E114" i="1"/>
  <c r="D114" i="1"/>
  <c r="M114" i="1" s="1"/>
  <c r="C114" i="1"/>
  <c r="I113" i="1"/>
  <c r="H113" i="1"/>
  <c r="G113" i="1"/>
  <c r="B113" i="1" s="1"/>
  <c r="F113" i="1"/>
  <c r="E113" i="1"/>
  <c r="D113" i="1"/>
  <c r="M113" i="1" s="1"/>
  <c r="C113" i="1"/>
  <c r="I112" i="1"/>
  <c r="H112" i="1"/>
  <c r="G112" i="1"/>
  <c r="B112" i="1" s="1"/>
  <c r="F112" i="1"/>
  <c r="E112" i="1"/>
  <c r="D112" i="1"/>
  <c r="M112" i="1" s="1"/>
  <c r="C112" i="1"/>
  <c r="I111" i="1"/>
  <c r="H111" i="1"/>
  <c r="G111" i="1"/>
  <c r="B111" i="1" s="1"/>
  <c r="F111" i="1"/>
  <c r="E111" i="1"/>
  <c r="D111" i="1"/>
  <c r="M111" i="1" s="1"/>
  <c r="C111" i="1"/>
  <c r="I110" i="1"/>
  <c r="H110" i="1"/>
  <c r="G110" i="1"/>
  <c r="B110" i="1" s="1"/>
  <c r="F110" i="1"/>
  <c r="E110" i="1"/>
  <c r="D110" i="1"/>
  <c r="M110" i="1" s="1"/>
  <c r="C110" i="1"/>
  <c r="I109" i="1"/>
  <c r="H109" i="1"/>
  <c r="G109" i="1"/>
  <c r="B109" i="1" s="1"/>
  <c r="F109" i="1"/>
  <c r="E109" i="1"/>
  <c r="D109" i="1"/>
  <c r="M109" i="1" s="1"/>
  <c r="C109" i="1"/>
  <c r="I108" i="1"/>
  <c r="H108" i="1"/>
  <c r="G108" i="1"/>
  <c r="B108" i="1" s="1"/>
  <c r="F108" i="1"/>
  <c r="E108" i="1"/>
  <c r="D108" i="1"/>
  <c r="M108" i="1" s="1"/>
  <c r="C108" i="1"/>
  <c r="I107" i="1"/>
  <c r="H107" i="1"/>
  <c r="G107" i="1"/>
  <c r="S107" i="1" s="1" a="1"/>
  <c r="S107" i="1" s="1"/>
  <c r="F107" i="1"/>
  <c r="E107" i="1"/>
  <c r="D107" i="1"/>
  <c r="M107" i="1" s="1"/>
  <c r="C107" i="1"/>
  <c r="U107" i="1" s="1"/>
  <c r="I106" i="1"/>
  <c r="H106" i="1"/>
  <c r="G106" i="1"/>
  <c r="S106" i="1" s="1" a="1"/>
  <c r="S106" i="1" s="1"/>
  <c r="F106" i="1"/>
  <c r="E106" i="1"/>
  <c r="D106" i="1"/>
  <c r="M106" i="1" s="1"/>
  <c r="C106" i="1"/>
  <c r="U106" i="1" s="1"/>
  <c r="I105" i="1"/>
  <c r="H105" i="1"/>
  <c r="G105" i="1"/>
  <c r="R105" i="1" s="1" a="1"/>
  <c r="R105" i="1" s="1"/>
  <c r="F105" i="1"/>
  <c r="E105" i="1"/>
  <c r="D105" i="1"/>
  <c r="M105" i="1" s="1"/>
  <c r="C105" i="1"/>
  <c r="U105" i="1" s="1"/>
  <c r="I104" i="1"/>
  <c r="H104" i="1"/>
  <c r="G104" i="1"/>
  <c r="O104" i="1" s="1" a="1"/>
  <c r="O104" i="1" s="1"/>
  <c r="F104" i="1"/>
  <c r="E104" i="1"/>
  <c r="D104" i="1"/>
  <c r="M104" i="1" s="1"/>
  <c r="C104" i="1"/>
  <c r="U104" i="1" s="1"/>
  <c r="I103" i="1"/>
  <c r="H103" i="1"/>
  <c r="G103" i="1"/>
  <c r="S103" i="1" s="1" a="1"/>
  <c r="S103" i="1" s="1"/>
  <c r="F103" i="1"/>
  <c r="E103" i="1"/>
  <c r="D103" i="1"/>
  <c r="M103" i="1" s="1"/>
  <c r="C103" i="1"/>
  <c r="U103" i="1" s="1"/>
  <c r="I102" i="1"/>
  <c r="H102" i="1"/>
  <c r="G102" i="1"/>
  <c r="P102" i="1" s="1" a="1"/>
  <c r="P102" i="1" s="1"/>
  <c r="F102" i="1"/>
  <c r="E102" i="1"/>
  <c r="D102" i="1"/>
  <c r="M102" i="1" s="1"/>
  <c r="C102" i="1"/>
  <c r="U102" i="1" s="1"/>
  <c r="B102" i="1"/>
  <c r="I101" i="1"/>
  <c r="H101" i="1"/>
  <c r="G101" i="1"/>
  <c r="F101" i="1"/>
  <c r="E101" i="1"/>
  <c r="D101" i="1"/>
  <c r="M101" i="1" s="1"/>
  <c r="C101" i="1"/>
  <c r="U101" i="1" s="1"/>
  <c r="I100" i="1"/>
  <c r="H100" i="1"/>
  <c r="G100" i="1"/>
  <c r="R100" i="1" s="1" a="1"/>
  <c r="R100" i="1" s="1"/>
  <c r="F100" i="1"/>
  <c r="E100" i="1"/>
  <c r="D100" i="1"/>
  <c r="M100" i="1" s="1"/>
  <c r="C100" i="1"/>
  <c r="U100" i="1" s="1"/>
  <c r="I99" i="1"/>
  <c r="H99" i="1"/>
  <c r="G99" i="1"/>
  <c r="N99" i="1" s="1" a="1"/>
  <c r="N99" i="1" s="1"/>
  <c r="F99" i="1"/>
  <c r="E99" i="1"/>
  <c r="D99" i="1"/>
  <c r="M99" i="1" s="1"/>
  <c r="C99" i="1"/>
  <c r="U99" i="1" s="1"/>
  <c r="I98" i="1"/>
  <c r="H98" i="1"/>
  <c r="G98" i="1"/>
  <c r="S98" i="1" s="1" a="1"/>
  <c r="S98" i="1" s="1"/>
  <c r="F98" i="1"/>
  <c r="E98" i="1"/>
  <c r="D98" i="1"/>
  <c r="M98" i="1" s="1"/>
  <c r="C98" i="1"/>
  <c r="U98" i="1" s="1"/>
  <c r="I97" i="1"/>
  <c r="H97" i="1"/>
  <c r="G97" i="1"/>
  <c r="F97" i="1"/>
  <c r="E97" i="1"/>
  <c r="D97" i="1"/>
  <c r="M97" i="1" s="1"/>
  <c r="C97" i="1"/>
  <c r="U97" i="1" s="1"/>
  <c r="G96" i="1"/>
  <c r="S96" i="1" s="1" a="1"/>
  <c r="S96" i="1" s="1"/>
  <c r="F96" i="1"/>
  <c r="E96" i="1"/>
  <c r="C96" i="1"/>
  <c r="G95" i="1"/>
  <c r="Q95" i="1" s="1" a="1"/>
  <c r="Q95" i="1" s="1"/>
  <c r="F95" i="1"/>
  <c r="E95" i="1"/>
  <c r="C95" i="1"/>
  <c r="G94" i="1"/>
  <c r="S94" i="1" s="1" a="1"/>
  <c r="S94" i="1" s="1"/>
  <c r="F94" i="1"/>
  <c r="E94" i="1"/>
  <c r="D94" i="1"/>
  <c r="M94" i="1" s="1"/>
  <c r="C94" i="1"/>
  <c r="G93" i="1"/>
  <c r="R93" i="1" s="1" a="1"/>
  <c r="R93" i="1" s="1"/>
  <c r="F93" i="1"/>
  <c r="E93" i="1"/>
  <c r="D93" i="1"/>
  <c r="M93" i="1" s="1"/>
  <c r="C93" i="1"/>
  <c r="G92" i="1"/>
  <c r="S92" i="1" s="1" a="1"/>
  <c r="S92" i="1" s="1"/>
  <c r="F92" i="1"/>
  <c r="E92" i="1"/>
  <c r="C92" i="1"/>
  <c r="G91" i="1"/>
  <c r="S91" i="1" s="1" a="1"/>
  <c r="S91" i="1" s="1"/>
  <c r="F91" i="1"/>
  <c r="E91" i="1"/>
  <c r="C91" i="1"/>
  <c r="U91" i="1" s="1"/>
  <c r="G90" i="1"/>
  <c r="F90" i="1"/>
  <c r="E90" i="1"/>
  <c r="C90" i="1"/>
  <c r="G89" i="1"/>
  <c r="S89" i="1" s="1" a="1"/>
  <c r="S89" i="1" s="1"/>
  <c r="F89" i="1"/>
  <c r="E89" i="1"/>
  <c r="C89" i="1"/>
  <c r="G88" i="1"/>
  <c r="R88" i="1" s="1" a="1"/>
  <c r="R88" i="1" s="1"/>
  <c r="F88" i="1"/>
  <c r="E88" i="1"/>
  <c r="C88" i="1"/>
  <c r="G87" i="1"/>
  <c r="N87" i="1" s="1" a="1"/>
  <c r="N87" i="1" s="1"/>
  <c r="F87" i="1"/>
  <c r="E87" i="1"/>
  <c r="C87" i="1"/>
  <c r="G86" i="1"/>
  <c r="S86" i="1" s="1" a="1"/>
  <c r="S86" i="1" s="1"/>
  <c r="F86" i="1"/>
  <c r="E86" i="1"/>
  <c r="C86" i="1"/>
  <c r="G85" i="1"/>
  <c r="O85" i="1" s="1" a="1"/>
  <c r="O85" i="1" s="1"/>
  <c r="F85" i="1"/>
  <c r="E85" i="1"/>
  <c r="C85" i="1"/>
  <c r="G84" i="1"/>
  <c r="S84" i="1" s="1" a="1"/>
  <c r="S84" i="1" s="1"/>
  <c r="F84" i="1"/>
  <c r="E84" i="1"/>
  <c r="C84" i="1"/>
  <c r="G83" i="1"/>
  <c r="Q83" i="1" s="1" a="1"/>
  <c r="Q83" i="1" s="1"/>
  <c r="F83" i="1"/>
  <c r="E83" i="1"/>
  <c r="C83" i="1"/>
  <c r="G82" i="1"/>
  <c r="S82" i="1" s="1" a="1"/>
  <c r="S82" i="1" s="1"/>
  <c r="F82" i="1"/>
  <c r="E82" i="1"/>
  <c r="C82" i="1"/>
  <c r="G81" i="1"/>
  <c r="S81" i="1" s="1" a="1"/>
  <c r="S81" i="1" s="1"/>
  <c r="F81" i="1"/>
  <c r="E81" i="1"/>
  <c r="C81" i="1"/>
  <c r="G80" i="1"/>
  <c r="O80" i="1" s="1" a="1"/>
  <c r="O80" i="1" s="1"/>
  <c r="F80" i="1"/>
  <c r="E80" i="1"/>
  <c r="D80" i="1"/>
  <c r="M80" i="1" s="1"/>
  <c r="C80" i="1"/>
  <c r="G79" i="1"/>
  <c r="S79" i="1" s="1" a="1"/>
  <c r="S79" i="1" s="1"/>
  <c r="F79" i="1"/>
  <c r="E79" i="1"/>
  <c r="C79" i="1"/>
  <c r="G78" i="1"/>
  <c r="P78" i="1" s="1" a="1"/>
  <c r="P78" i="1" s="1"/>
  <c r="F78" i="1"/>
  <c r="E78" i="1"/>
  <c r="C78" i="1"/>
  <c r="G77" i="1"/>
  <c r="S77" i="1" s="1" a="1"/>
  <c r="S77" i="1" s="1"/>
  <c r="F77" i="1"/>
  <c r="E77" i="1"/>
  <c r="C77" i="1"/>
  <c r="G76" i="1"/>
  <c r="R76" i="1" s="1" a="1"/>
  <c r="R76" i="1" s="1"/>
  <c r="F76" i="1"/>
  <c r="E76" i="1"/>
  <c r="C76" i="1"/>
  <c r="G75" i="1"/>
  <c r="S75" i="1" s="1" a="1"/>
  <c r="S75" i="1" s="1"/>
  <c r="F75" i="1"/>
  <c r="E75" i="1"/>
  <c r="C75" i="1"/>
  <c r="G74" i="1"/>
  <c r="S74" i="1" s="1" a="1"/>
  <c r="S74" i="1" s="1"/>
  <c r="F74" i="1"/>
  <c r="E74" i="1"/>
  <c r="C74" i="1"/>
  <c r="G73" i="1"/>
  <c r="N73" i="1" s="1" a="1"/>
  <c r="N73" i="1" s="1"/>
  <c r="F73" i="1"/>
  <c r="E73" i="1"/>
  <c r="C73" i="1"/>
  <c r="G72" i="1"/>
  <c r="S72" i="1" s="1" a="1"/>
  <c r="S72" i="1" s="1"/>
  <c r="F72" i="1"/>
  <c r="E72" i="1"/>
  <c r="C72" i="1"/>
  <c r="G71" i="1"/>
  <c r="O71" i="1" s="1" a="1"/>
  <c r="O71" i="1" s="1"/>
  <c r="F71" i="1"/>
  <c r="E71" i="1"/>
  <c r="C71" i="1"/>
  <c r="G70" i="1"/>
  <c r="S70" i="1" s="1" a="1"/>
  <c r="S70" i="1" s="1"/>
  <c r="F70" i="1"/>
  <c r="E70" i="1"/>
  <c r="C70" i="1"/>
  <c r="G69" i="1"/>
  <c r="P69" i="1" s="1" a="1"/>
  <c r="P69" i="1" s="1"/>
  <c r="F69" i="1"/>
  <c r="E69" i="1"/>
  <c r="C69" i="1"/>
  <c r="G68" i="1"/>
  <c r="S68" i="1" s="1" a="1"/>
  <c r="S68" i="1" s="1"/>
  <c r="F68" i="1"/>
  <c r="E68" i="1"/>
  <c r="C68" i="1"/>
  <c r="G67" i="1"/>
  <c r="R67" i="1" s="1" a="1"/>
  <c r="R67" i="1" s="1"/>
  <c r="F67" i="1"/>
  <c r="E67" i="1"/>
  <c r="C67" i="1"/>
  <c r="G66" i="1"/>
  <c r="N66" i="1" s="1" a="1"/>
  <c r="N66" i="1" s="1"/>
  <c r="F66" i="1"/>
  <c r="E66" i="1"/>
  <c r="C66" i="1"/>
  <c r="G65" i="1"/>
  <c r="S65" i="1" s="1" a="1"/>
  <c r="S65" i="1" s="1"/>
  <c r="F65" i="1"/>
  <c r="E65" i="1"/>
  <c r="C65" i="1"/>
  <c r="G64" i="1"/>
  <c r="O64" i="1" s="1" a="1"/>
  <c r="O64" i="1" s="1"/>
  <c r="F64" i="1"/>
  <c r="E64" i="1"/>
  <c r="C64" i="1"/>
  <c r="G63" i="1"/>
  <c r="S63" i="1" s="1" a="1"/>
  <c r="S63" i="1" s="1"/>
  <c r="F63" i="1"/>
  <c r="E63" i="1"/>
  <c r="C63" i="1"/>
  <c r="G62" i="1"/>
  <c r="P62" i="1" s="1" a="1"/>
  <c r="P62" i="1" s="1"/>
  <c r="F62" i="1"/>
  <c r="E62" i="1"/>
  <c r="C62" i="1"/>
  <c r="G61" i="1"/>
  <c r="S61" i="1" s="1" a="1"/>
  <c r="S61" i="1" s="1"/>
  <c r="F61" i="1"/>
  <c r="E61" i="1"/>
  <c r="C61" i="1"/>
  <c r="G60" i="1"/>
  <c r="R60" i="1" s="1" a="1"/>
  <c r="R60" i="1" s="1"/>
  <c r="F60" i="1"/>
  <c r="E60" i="1"/>
  <c r="C60" i="1"/>
  <c r="G59" i="1"/>
  <c r="N59" i="1" s="1" a="1"/>
  <c r="N59" i="1" s="1"/>
  <c r="F59" i="1"/>
  <c r="E59" i="1"/>
  <c r="C59" i="1"/>
  <c r="G58" i="1"/>
  <c r="S58" i="1" s="1" a="1"/>
  <c r="S58" i="1" s="1"/>
  <c r="F58" i="1"/>
  <c r="E58" i="1"/>
  <c r="C58" i="1"/>
  <c r="G57" i="1"/>
  <c r="N57" i="1" s="1" a="1"/>
  <c r="N57" i="1" s="1"/>
  <c r="F57" i="1"/>
  <c r="E57" i="1"/>
  <c r="C57" i="1"/>
  <c r="G56" i="1"/>
  <c r="S56" i="1" s="1" a="1"/>
  <c r="S56" i="1" s="1"/>
  <c r="F56" i="1"/>
  <c r="E56" i="1"/>
  <c r="C56" i="1"/>
  <c r="G55" i="1"/>
  <c r="P55" i="1" s="1" a="1"/>
  <c r="P55" i="1" s="1"/>
  <c r="F55" i="1"/>
  <c r="E55" i="1"/>
  <c r="C55" i="1"/>
  <c r="G54" i="1"/>
  <c r="S54" i="1" s="1" a="1"/>
  <c r="S54" i="1" s="1"/>
  <c r="F54" i="1"/>
  <c r="E54" i="1"/>
  <c r="C54" i="1"/>
  <c r="G53" i="1"/>
  <c r="S53" i="1" s="1" a="1"/>
  <c r="S53" i="1" s="1"/>
  <c r="F53" i="1"/>
  <c r="E53" i="1"/>
  <c r="C53" i="1"/>
  <c r="G52" i="1"/>
  <c r="N52" i="1" s="1" a="1"/>
  <c r="N52" i="1" s="1"/>
  <c r="F52" i="1"/>
  <c r="E52" i="1"/>
  <c r="C52" i="1"/>
  <c r="G51" i="1"/>
  <c r="S51" i="1" s="1" a="1"/>
  <c r="S51" i="1" s="1"/>
  <c r="F51" i="1"/>
  <c r="E51" i="1"/>
  <c r="D51" i="1"/>
  <c r="M51" i="1" s="1"/>
  <c r="C51" i="1"/>
  <c r="G50" i="1"/>
  <c r="O50" i="1" s="1" a="1"/>
  <c r="O50" i="1" s="1"/>
  <c r="F50" i="1"/>
  <c r="E50" i="1"/>
  <c r="C50" i="1"/>
  <c r="G49" i="1"/>
  <c r="S49" i="1" s="1" a="1"/>
  <c r="S49" i="1" s="1"/>
  <c r="F49" i="1"/>
  <c r="E49" i="1"/>
  <c r="C49" i="1"/>
  <c r="G48" i="1"/>
  <c r="R48" i="1" s="1" a="1"/>
  <c r="R48" i="1" s="1"/>
  <c r="F48" i="1"/>
  <c r="E48" i="1"/>
  <c r="C48" i="1"/>
  <c r="G47" i="1"/>
  <c r="F47" i="1"/>
  <c r="E47" i="1"/>
  <c r="C47" i="1"/>
  <c r="G46" i="1"/>
  <c r="S46" i="1" s="1" a="1"/>
  <c r="S46" i="1" s="1"/>
  <c r="F46" i="1"/>
  <c r="E46" i="1"/>
  <c r="C46" i="1"/>
  <c r="G45" i="1"/>
  <c r="F45" i="1"/>
  <c r="E45" i="1"/>
  <c r="C45" i="1"/>
  <c r="G44" i="1"/>
  <c r="S44" i="1" s="1" a="1"/>
  <c r="S44" i="1" s="1"/>
  <c r="F44" i="1"/>
  <c r="E44" i="1"/>
  <c r="C44" i="1"/>
  <c r="G43" i="1"/>
  <c r="F43" i="1"/>
  <c r="E43" i="1"/>
  <c r="C43" i="1"/>
  <c r="G42" i="1"/>
  <c r="S42" i="1" s="1" a="1"/>
  <c r="S42" i="1" s="1"/>
  <c r="F42" i="1"/>
  <c r="E42" i="1"/>
  <c r="C42" i="1"/>
  <c r="G41" i="1"/>
  <c r="F41" i="1"/>
  <c r="E41" i="1"/>
  <c r="C41" i="1"/>
  <c r="G40" i="1"/>
  <c r="O40" i="1" s="1" a="1"/>
  <c r="O40" i="1" s="1"/>
  <c r="F40" i="1"/>
  <c r="E40" i="1"/>
  <c r="C40" i="1"/>
  <c r="G39" i="1"/>
  <c r="F39" i="1"/>
  <c r="E39" i="1"/>
  <c r="C39" i="1"/>
  <c r="G38" i="1"/>
  <c r="S38" i="1" s="1" a="1"/>
  <c r="S38" i="1" s="1"/>
  <c r="F38" i="1"/>
  <c r="E38" i="1"/>
  <c r="C38" i="1"/>
  <c r="G37" i="1"/>
  <c r="F37" i="1"/>
  <c r="E37" i="1"/>
  <c r="C37" i="1"/>
  <c r="G36" i="1"/>
  <c r="S36" i="1" s="1" a="1"/>
  <c r="S36" i="1" s="1"/>
  <c r="F36" i="1"/>
  <c r="E36" i="1"/>
  <c r="C36" i="1"/>
  <c r="G35" i="1"/>
  <c r="Q35" i="1" s="1" a="1"/>
  <c r="Q35" i="1" s="1"/>
  <c r="F35" i="1"/>
  <c r="E35" i="1"/>
  <c r="C35" i="1"/>
  <c r="G34" i="1"/>
  <c r="N34" i="1" s="1" a="1"/>
  <c r="N34" i="1" s="1"/>
  <c r="F34" i="1"/>
  <c r="E34" i="1"/>
  <c r="C34" i="1"/>
  <c r="G33" i="1"/>
  <c r="S33" i="1" s="1" a="1"/>
  <c r="S33" i="1" s="1"/>
  <c r="F33" i="1"/>
  <c r="E33" i="1"/>
  <c r="C33" i="1"/>
  <c r="G32" i="1"/>
  <c r="Q32" i="1" s="1" a="1"/>
  <c r="Q32" i="1" s="1"/>
  <c r="F32" i="1"/>
  <c r="E32" i="1"/>
  <c r="C32" i="1"/>
  <c r="G31" i="1"/>
  <c r="N31" i="1" s="1" a="1"/>
  <c r="N31" i="1" s="1"/>
  <c r="F31" i="1"/>
  <c r="E31" i="1"/>
  <c r="C31" i="1"/>
  <c r="G30" i="1"/>
  <c r="S30" i="1" s="1" a="1"/>
  <c r="S30" i="1" s="1"/>
  <c r="F30" i="1"/>
  <c r="E30" i="1"/>
  <c r="C30" i="1"/>
  <c r="G29" i="1"/>
  <c r="Q29" i="1" s="1" a="1"/>
  <c r="Q29" i="1" s="1"/>
  <c r="F29" i="1"/>
  <c r="E29" i="1"/>
  <c r="C29" i="1"/>
  <c r="G28" i="1"/>
  <c r="S28" i="1" s="1" a="1"/>
  <c r="S28" i="1" s="1"/>
  <c r="F28" i="1"/>
  <c r="E28" i="1"/>
  <c r="C28" i="1"/>
  <c r="G27" i="1"/>
  <c r="S27" i="1" s="1" a="1"/>
  <c r="S27" i="1" s="1"/>
  <c r="F27" i="1"/>
  <c r="E27" i="1"/>
  <c r="C27" i="1"/>
  <c r="G26" i="1"/>
  <c r="P26" i="1" s="1" a="1"/>
  <c r="P26" i="1" s="1"/>
  <c r="F26" i="1"/>
  <c r="E26" i="1"/>
  <c r="C26" i="1"/>
  <c r="G25" i="1"/>
  <c r="S25" i="1" s="1" a="1"/>
  <c r="S25" i="1" s="1"/>
  <c r="F25" i="1"/>
  <c r="E25" i="1"/>
  <c r="C25" i="1"/>
  <c r="G24" i="1"/>
  <c r="S24" i="1" s="1" a="1"/>
  <c r="S24" i="1" s="1"/>
  <c r="F24" i="1"/>
  <c r="E24" i="1"/>
  <c r="C24" i="1"/>
  <c r="G23" i="1"/>
  <c r="O23" i="1" s="1" a="1"/>
  <c r="O23" i="1" s="1"/>
  <c r="F23" i="1"/>
  <c r="E23" i="1"/>
  <c r="C23" i="1"/>
  <c r="G22" i="1"/>
  <c r="S22" i="1" s="1" a="1"/>
  <c r="S22" i="1" s="1"/>
  <c r="F22" i="1"/>
  <c r="E22" i="1"/>
  <c r="C22" i="1"/>
  <c r="U22" i="1" s="1"/>
  <c r="G21" i="1"/>
  <c r="R21" i="1" s="1" a="1"/>
  <c r="R21" i="1" s="1"/>
  <c r="F21" i="1"/>
  <c r="E21" i="1"/>
  <c r="C21" i="1"/>
  <c r="U21" i="1" s="1"/>
  <c r="G20" i="1"/>
  <c r="O20" i="1" s="1" a="1"/>
  <c r="O20" i="1" s="1"/>
  <c r="F20" i="1"/>
  <c r="E20" i="1"/>
  <c r="C20" i="1"/>
  <c r="G19" i="1"/>
  <c r="S19" i="1" s="1" a="1"/>
  <c r="S19" i="1" s="1"/>
  <c r="F19" i="1"/>
  <c r="E19" i="1"/>
  <c r="C19" i="1"/>
  <c r="G18" i="1"/>
  <c r="Q18" i="1" s="1" a="1"/>
  <c r="Q18" i="1" s="1"/>
  <c r="F18" i="1"/>
  <c r="E18" i="1"/>
  <c r="C18" i="1"/>
  <c r="G17" i="1"/>
  <c r="S17" i="1" s="1" a="1"/>
  <c r="S17" i="1" s="1"/>
  <c r="F17" i="1"/>
  <c r="E17" i="1"/>
  <c r="C17" i="1"/>
  <c r="G16" i="1"/>
  <c r="S16" i="1" s="1" a="1"/>
  <c r="S16" i="1" s="1"/>
  <c r="F16" i="1"/>
  <c r="E16" i="1"/>
  <c r="C16" i="1"/>
  <c r="G15" i="1"/>
  <c r="N15" i="1" s="1" a="1"/>
  <c r="N15" i="1" s="1"/>
  <c r="F15" i="1"/>
  <c r="E15" i="1"/>
  <c r="C15" i="1"/>
  <c r="G14" i="1"/>
  <c r="S14" i="1" s="1" a="1"/>
  <c r="S14" i="1" s="1"/>
  <c r="F14" i="1"/>
  <c r="E14" i="1"/>
  <c r="C14" i="1"/>
  <c r="G13" i="1"/>
  <c r="P13" i="1" s="1" a="1"/>
  <c r="P13" i="1" s="1"/>
  <c r="F13" i="1"/>
  <c r="E13" i="1"/>
  <c r="C13" i="1"/>
  <c r="G12" i="1"/>
  <c r="S12" i="1" s="1" a="1"/>
  <c r="S12" i="1" s="1"/>
  <c r="F12" i="1"/>
  <c r="E12" i="1"/>
  <c r="C12" i="1"/>
  <c r="G11" i="1"/>
  <c r="R11" i="1" s="1" a="1"/>
  <c r="R11" i="1" s="1"/>
  <c r="F11" i="1"/>
  <c r="E11" i="1"/>
  <c r="C11" i="1"/>
  <c r="G10" i="1"/>
  <c r="N10" i="1" s="1" a="1"/>
  <c r="N10" i="1" s="1"/>
  <c r="F10" i="1"/>
  <c r="E10" i="1"/>
  <c r="C10" i="1"/>
  <c r="G9" i="1"/>
  <c r="S9" i="1" s="1" a="1"/>
  <c r="S9" i="1" s="1"/>
  <c r="F9" i="1"/>
  <c r="E9" i="1"/>
  <c r="C9" i="1"/>
  <c r="G8" i="1"/>
  <c r="O8" i="1" s="1" a="1"/>
  <c r="O8" i="1" s="1"/>
  <c r="F8" i="1"/>
  <c r="E8" i="1"/>
  <c r="C8" i="1"/>
  <c r="G7" i="1"/>
  <c r="R7" i="1" s="1" a="1"/>
  <c r="R7" i="1" s="1"/>
  <c r="F7" i="1"/>
  <c r="E7" i="1"/>
  <c r="C7" i="1"/>
  <c r="G6" i="1"/>
  <c r="P6" i="1" s="1" a="1"/>
  <c r="P6" i="1" s="1"/>
  <c r="F6" i="1"/>
  <c r="E6" i="1"/>
  <c r="C6" i="1"/>
  <c r="G5" i="1"/>
  <c r="R5" i="1" s="1" a="1"/>
  <c r="R5" i="1" s="1"/>
  <c r="F5" i="1"/>
  <c r="E5" i="1"/>
  <c r="C5" i="1"/>
  <c r="P58" i="5" l="1"/>
  <c r="D59" i="1" s="1"/>
  <c r="M59" i="1" s="1"/>
  <c r="P11" i="5"/>
  <c r="D12" i="1" s="1"/>
  <c r="M12" i="1" s="1"/>
  <c r="P29" i="5"/>
  <c r="D30" i="1" s="1"/>
  <c r="M30" i="1" s="1"/>
  <c r="P42" i="5"/>
  <c r="D43" i="1" s="1"/>
  <c r="M43" i="1" s="1"/>
  <c r="P18" i="5"/>
  <c r="D19" i="1" s="1"/>
  <c r="M19" i="1" s="1"/>
  <c r="P24" i="5"/>
  <c r="D25" i="1" s="1"/>
  <c r="M25" i="1" s="1"/>
  <c r="P48" i="5"/>
  <c r="D49" i="1" s="1"/>
  <c r="M49" i="1" s="1"/>
  <c r="P54" i="5"/>
  <c r="D55" i="1" s="1"/>
  <c r="M55" i="1" s="1"/>
  <c r="P59" i="5"/>
  <c r="D60" i="1" s="1"/>
  <c r="M60" i="1" s="1"/>
  <c r="P65" i="5"/>
  <c r="D66" i="1" s="1"/>
  <c r="M66" i="1" s="1"/>
  <c r="P70" i="5"/>
  <c r="D71" i="1" s="1"/>
  <c r="M71" i="1" s="1"/>
  <c r="P76" i="5"/>
  <c r="D77" i="1" s="1"/>
  <c r="M77" i="1" s="1"/>
  <c r="P83" i="5"/>
  <c r="D84" i="1" s="1"/>
  <c r="M84" i="1" s="1"/>
  <c r="P89" i="5"/>
  <c r="D90" i="1" s="1"/>
  <c r="M90" i="1" s="1"/>
  <c r="P66" i="5"/>
  <c r="D67" i="1" s="1"/>
  <c r="M67" i="1" s="1"/>
  <c r="P84" i="5"/>
  <c r="D85" i="1" s="1"/>
  <c r="M85" i="1" s="1"/>
  <c r="P90" i="5"/>
  <c r="D91" i="1" s="1"/>
  <c r="M91" i="1" s="1"/>
  <c r="P44" i="5"/>
  <c r="D45" i="1" s="1"/>
  <c r="M45" i="1" s="1"/>
  <c r="P61" i="5"/>
  <c r="D62" i="1" s="1"/>
  <c r="M62" i="1" s="1"/>
  <c r="P78" i="5"/>
  <c r="D79" i="1" s="1"/>
  <c r="M79" i="1" s="1"/>
  <c r="P55" i="5"/>
  <c r="D56" i="1" s="1"/>
  <c r="M56" i="1" s="1"/>
  <c r="P71" i="5"/>
  <c r="D72" i="1" s="1"/>
  <c r="M72" i="1" s="1"/>
  <c r="P14" i="5"/>
  <c r="D15" i="1" s="1"/>
  <c r="M15" i="1" s="1"/>
  <c r="P20" i="5"/>
  <c r="D21" i="1" s="1"/>
  <c r="M21" i="1" s="1"/>
  <c r="P26" i="5"/>
  <c r="D27" i="1" s="1"/>
  <c r="M27" i="1" s="1"/>
  <c r="P32" i="5"/>
  <c r="D33" i="1" s="1"/>
  <c r="M33" i="1" s="1"/>
  <c r="P72" i="5"/>
  <c r="D73" i="1" s="1"/>
  <c r="M73" i="1" s="1"/>
  <c r="P85" i="5"/>
  <c r="D86" i="1" s="1"/>
  <c r="M86" i="1" s="1"/>
  <c r="P91" i="5"/>
  <c r="D92" i="1" s="1"/>
  <c r="M92" i="1" s="1"/>
  <c r="P19" i="5"/>
  <c r="D20" i="1" s="1"/>
  <c r="M20" i="1" s="1"/>
  <c r="P39" i="5"/>
  <c r="D40" i="1" s="1"/>
  <c r="M40" i="1" s="1"/>
  <c r="P62" i="5"/>
  <c r="D63" i="1" s="1"/>
  <c r="M63" i="1" s="1"/>
  <c r="P67" i="5"/>
  <c r="D68" i="1" s="1"/>
  <c r="M68" i="1" s="1"/>
  <c r="P49" i="5"/>
  <c r="D50" i="1" s="1"/>
  <c r="M50" i="1" s="1"/>
  <c r="P27" i="5"/>
  <c r="D28" i="1" s="1"/>
  <c r="M28" i="1" s="1"/>
  <c r="P33" i="5"/>
  <c r="D34" i="1" s="1"/>
  <c r="M34" i="1" s="1"/>
  <c r="P73" i="5"/>
  <c r="D74" i="1" s="1"/>
  <c r="M74" i="1" s="1"/>
  <c r="P86" i="5"/>
  <c r="D87" i="1" s="1"/>
  <c r="M87" i="1" s="1"/>
  <c r="P15" i="5"/>
  <c r="D16" i="1" s="1"/>
  <c r="M16" i="1" s="1"/>
  <c r="U10" i="1"/>
  <c r="U24" i="1"/>
  <c r="U67" i="1"/>
  <c r="P9" i="5"/>
  <c r="D10" i="1" s="1"/>
  <c r="M10" i="1" s="1"/>
  <c r="P40" i="5"/>
  <c r="D41" i="1" s="1"/>
  <c r="M41" i="1" s="1"/>
  <c r="P57" i="5"/>
  <c r="D58" i="1" s="1"/>
  <c r="M58" i="1" s="1"/>
  <c r="P68" i="5"/>
  <c r="D69" i="1" s="1"/>
  <c r="M69" i="1" s="1"/>
  <c r="P80" i="5"/>
  <c r="D81" i="1" s="1"/>
  <c r="M81" i="1" s="1"/>
  <c r="U28" i="1"/>
  <c r="U71" i="1"/>
  <c r="U29" i="1"/>
  <c r="U56" i="1"/>
  <c r="P4" i="5"/>
  <c r="D5" i="1" s="1"/>
  <c r="P22" i="5"/>
  <c r="D23" i="1" s="1"/>
  <c r="M23" i="1" s="1"/>
  <c r="P52" i="5"/>
  <c r="D53" i="1" s="1"/>
  <c r="M53" i="1" s="1"/>
  <c r="P63" i="5"/>
  <c r="D64" i="1" s="1"/>
  <c r="M64" i="1" s="1"/>
  <c r="P74" i="5"/>
  <c r="D75" i="1" s="1"/>
  <c r="M75" i="1" s="1"/>
  <c r="P87" i="5"/>
  <c r="D88" i="1" s="1"/>
  <c r="M88" i="1" s="1"/>
  <c r="U60" i="1"/>
  <c r="P25" i="5"/>
  <c r="D26" i="1" s="1"/>
  <c r="M26" i="1" s="1"/>
  <c r="U32" i="1"/>
  <c r="U89" i="1"/>
  <c r="P16" i="5"/>
  <c r="D17" i="1" s="1"/>
  <c r="M17" i="1" s="1"/>
  <c r="U35" i="1"/>
  <c r="U43" i="1"/>
  <c r="U85" i="1"/>
  <c r="P10" i="5"/>
  <c r="D11" i="1" s="1"/>
  <c r="M11" i="1" s="1"/>
  <c r="P28" i="5"/>
  <c r="D29" i="1" s="1"/>
  <c r="M29" i="1" s="1"/>
  <c r="P41" i="5"/>
  <c r="D42" i="1" s="1"/>
  <c r="M42" i="1" s="1"/>
  <c r="U14" i="1"/>
  <c r="P69" i="5"/>
  <c r="D70" i="1" s="1"/>
  <c r="M70" i="1" s="1"/>
  <c r="P75" i="5"/>
  <c r="D76" i="1" s="1"/>
  <c r="M76" i="1" s="1"/>
  <c r="P82" i="5"/>
  <c r="D83" i="1" s="1"/>
  <c r="M83" i="1" s="1"/>
  <c r="P88" i="5"/>
  <c r="D89" i="1" s="1"/>
  <c r="M89" i="1" s="1"/>
  <c r="B40" i="1"/>
  <c r="B87" i="1"/>
  <c r="B76" i="1"/>
  <c r="O13" i="6"/>
  <c r="U50" i="1" s="1"/>
  <c r="O14" i="6"/>
  <c r="U82" i="1" s="1"/>
  <c r="O15" i="6"/>
  <c r="O5" i="6"/>
  <c r="U33" i="1" s="1"/>
  <c r="B42" i="1"/>
  <c r="B52" i="1"/>
  <c r="B103" i="1"/>
  <c r="O6" i="6"/>
  <c r="U54" i="1" s="1"/>
  <c r="O7" i="6"/>
  <c r="U95" i="1" s="1"/>
  <c r="O8" i="6"/>
  <c r="U45" i="1" s="1"/>
  <c r="O9" i="6"/>
  <c r="U65" i="1" s="1"/>
  <c r="B38" i="1"/>
  <c r="B48" i="1"/>
  <c r="B58" i="1"/>
  <c r="B94" i="1"/>
  <c r="O10" i="6"/>
  <c r="U52" i="1" s="1"/>
  <c r="B96" i="1"/>
  <c r="O11" i="6"/>
  <c r="U7" i="1" s="1"/>
  <c r="B11" i="1"/>
  <c r="B27" i="1"/>
  <c r="O12" i="6"/>
  <c r="U38" i="1" s="1"/>
  <c r="B62" i="1"/>
  <c r="B60" i="1"/>
  <c r="B74" i="1"/>
  <c r="B5" i="1"/>
  <c r="B15" i="1"/>
  <c r="B33" i="1"/>
  <c r="B70" i="1"/>
  <c r="B89" i="1"/>
  <c r="B104" i="1"/>
  <c r="B13" i="1"/>
  <c r="B21" i="1"/>
  <c r="B68" i="1"/>
  <c r="B80" i="1"/>
  <c r="P40" i="1" a="1"/>
  <c r="P40" i="1" s="1"/>
  <c r="B54" i="1"/>
  <c r="B19" i="1"/>
  <c r="B82" i="1"/>
  <c r="B84" i="1"/>
  <c r="P71" i="1" a="1"/>
  <c r="P71" i="1" s="1"/>
  <c r="R95" i="1" a="1"/>
  <c r="R95" i="1" s="1"/>
  <c r="N25" i="1" a="1"/>
  <c r="N25" i="1" s="1"/>
  <c r="Q55" i="1" a="1"/>
  <c r="Q55" i="1" s="1"/>
  <c r="N82" i="1" a="1"/>
  <c r="N82" i="1" s="1"/>
  <c r="S5" i="1" a="1"/>
  <c r="S5" i="1" s="1"/>
  <c r="Q26" i="1" a="1"/>
  <c r="Q26" i="1" s="1"/>
  <c r="O57" i="1" a="1"/>
  <c r="O57" i="1" s="1"/>
  <c r="R83" i="1" a="1"/>
  <c r="R83" i="1" s="1"/>
  <c r="B9" i="1"/>
  <c r="B7" i="1"/>
  <c r="B29" i="1"/>
  <c r="B56" i="1"/>
  <c r="B78" i="1"/>
  <c r="B100" i="1"/>
  <c r="Q6" i="1" a="1"/>
  <c r="Q6" i="1" s="1"/>
  <c r="N28" i="1" a="1"/>
  <c r="N28" i="1" s="1"/>
  <c r="O59" i="1" a="1"/>
  <c r="O59" i="1" s="1"/>
  <c r="P85" i="1" a="1"/>
  <c r="P85" i="1" s="1"/>
  <c r="B31" i="1"/>
  <c r="S7" i="1" a="1"/>
  <c r="S7" i="1" s="1"/>
  <c r="S60" i="1" a="1"/>
  <c r="S60" i="1" s="1"/>
  <c r="O87" i="1" a="1"/>
  <c r="O87" i="1" s="1"/>
  <c r="B25" i="1"/>
  <c r="P8" i="1" a="1"/>
  <c r="P8" i="1" s="1"/>
  <c r="R32" i="1" a="1"/>
  <c r="R32" i="1" s="1"/>
  <c r="Q62" i="1" a="1"/>
  <c r="Q62" i="1" s="1"/>
  <c r="S88" i="1" a="1"/>
  <c r="S88" i="1" s="1"/>
  <c r="B23" i="1"/>
  <c r="B50" i="1"/>
  <c r="B72" i="1"/>
  <c r="B92" i="1"/>
  <c r="B99" i="1"/>
  <c r="Q9" i="1" a="1"/>
  <c r="Q9" i="1" s="1"/>
  <c r="O34" i="1" a="1"/>
  <c r="O34" i="1" s="1"/>
  <c r="P64" i="1" a="1"/>
  <c r="P64" i="1" s="1"/>
  <c r="N92" i="1" a="1"/>
  <c r="N92" i="1" s="1"/>
  <c r="S11" i="1" a="1"/>
  <c r="S11" i="1" s="1"/>
  <c r="R35" i="1" a="1"/>
  <c r="R35" i="1" s="1"/>
  <c r="Q69" i="1" a="1"/>
  <c r="Q69" i="1" s="1"/>
  <c r="S93" i="1" a="1"/>
  <c r="S93" i="1" s="1"/>
  <c r="Q13" i="1" a="1"/>
  <c r="Q13" i="1" s="1"/>
  <c r="B17" i="1"/>
  <c r="B46" i="1"/>
  <c r="B66" i="1"/>
  <c r="B85" i="1"/>
  <c r="O15" i="1" a="1"/>
  <c r="O15" i="1" s="1"/>
  <c r="N42" i="1" a="1"/>
  <c r="N42" i="1" s="1"/>
  <c r="O73" i="1" a="1"/>
  <c r="O73" i="1" s="1"/>
  <c r="O99" i="1" a="1"/>
  <c r="O99" i="1" s="1"/>
  <c r="B44" i="1"/>
  <c r="B64" i="1"/>
  <c r="N17" i="1" a="1"/>
  <c r="N17" i="1" s="1"/>
  <c r="P50" i="1" a="1"/>
  <c r="P50" i="1" s="1"/>
  <c r="N75" i="1" a="1"/>
  <c r="N75" i="1" s="1"/>
  <c r="S100" i="1" a="1"/>
  <c r="S100" i="1" s="1"/>
  <c r="B35" i="1"/>
  <c r="R18" i="1" a="1"/>
  <c r="R18" i="1" s="1"/>
  <c r="O52" i="1" a="1"/>
  <c r="O52" i="1" s="1"/>
  <c r="Q78" i="1" a="1"/>
  <c r="Q78" i="1" s="1"/>
  <c r="Q102" i="1" a="1"/>
  <c r="Q102" i="1" s="1"/>
  <c r="B107" i="1"/>
  <c r="S21" i="1" a="1"/>
  <c r="S21" i="1" s="1"/>
  <c r="N54" i="1" a="1"/>
  <c r="N54" i="1" s="1"/>
  <c r="P80" i="1" a="1"/>
  <c r="P80" i="1" s="1"/>
  <c r="S105" i="1" a="1"/>
  <c r="S105" i="1" s="1"/>
  <c r="N45" i="1" a="1"/>
  <c r="N45" i="1" s="1"/>
  <c r="B45" i="1"/>
  <c r="O45" i="1" a="1"/>
  <c r="O45" i="1" s="1"/>
  <c r="S45" i="1" a="1"/>
  <c r="S45" i="1" s="1"/>
  <c r="R45" i="1" a="1"/>
  <c r="R45" i="1" s="1"/>
  <c r="Q45" i="1" a="1"/>
  <c r="Q45" i="1" s="1"/>
  <c r="P45" i="1" a="1"/>
  <c r="P45" i="1" s="1"/>
  <c r="Q43" i="1" a="1"/>
  <c r="Q43" i="1" s="1"/>
  <c r="P43" i="1" a="1"/>
  <c r="P43" i="1" s="1"/>
  <c r="O43" i="1" a="1"/>
  <c r="O43" i="1" s="1"/>
  <c r="N43" i="1" a="1"/>
  <c r="N43" i="1" s="1"/>
  <c r="B43" i="1"/>
  <c r="S43" i="1" a="1"/>
  <c r="S43" i="1" s="1"/>
  <c r="R43" i="1" a="1"/>
  <c r="R43" i="1" s="1"/>
  <c r="S41" i="1" a="1"/>
  <c r="S41" i="1" s="1"/>
  <c r="R41" i="1" a="1"/>
  <c r="R41" i="1" s="1"/>
  <c r="Q41" i="1" a="1"/>
  <c r="Q41" i="1" s="1"/>
  <c r="B41" i="1"/>
  <c r="P41" i="1" a="1"/>
  <c r="P41" i="1" s="1"/>
  <c r="O41" i="1" a="1"/>
  <c r="O41" i="1" s="1"/>
  <c r="N41" i="1" a="1"/>
  <c r="N41" i="1" s="1"/>
  <c r="O90" i="1" a="1"/>
  <c r="O90" i="1" s="1"/>
  <c r="P90" i="1" a="1"/>
  <c r="P90" i="1" s="1"/>
  <c r="N90" i="1" a="1"/>
  <c r="N90" i="1" s="1"/>
  <c r="B90" i="1"/>
  <c r="S90" i="1" a="1"/>
  <c r="S90" i="1" s="1"/>
  <c r="R90" i="1" a="1"/>
  <c r="R90" i="1" s="1"/>
  <c r="Q90" i="1" a="1"/>
  <c r="Q90" i="1" s="1"/>
  <c r="S39" i="1" a="1"/>
  <c r="S39" i="1" s="1"/>
  <c r="B39" i="1"/>
  <c r="R39" i="1" a="1"/>
  <c r="R39" i="1" s="1"/>
  <c r="Q39" i="1" a="1"/>
  <c r="Q39" i="1" s="1"/>
  <c r="P39" i="1" a="1"/>
  <c r="P39" i="1" s="1"/>
  <c r="O39" i="1" a="1"/>
  <c r="O39" i="1" s="1"/>
  <c r="O37" i="1" a="1"/>
  <c r="O37" i="1" s="1"/>
  <c r="B37" i="1"/>
  <c r="N37" i="1" a="1"/>
  <c r="N37" i="1" s="1"/>
  <c r="S37" i="1" a="1"/>
  <c r="S37" i="1" s="1"/>
  <c r="R37" i="1" a="1"/>
  <c r="R37" i="1" s="1"/>
  <c r="Q37" i="1" a="1"/>
  <c r="Q37" i="1" s="1"/>
  <c r="P37" i="1" a="1"/>
  <c r="P37" i="1" s="1"/>
  <c r="N39" i="1" a="1"/>
  <c r="N39" i="1" s="1"/>
  <c r="B101" i="1"/>
  <c r="S101" i="1" a="1"/>
  <c r="S101" i="1" s="1"/>
  <c r="R101" i="1" a="1"/>
  <c r="R101" i="1" s="1"/>
  <c r="Q101" i="1" a="1"/>
  <c r="Q101" i="1" s="1"/>
  <c r="P101" i="1" a="1"/>
  <c r="P101" i="1" s="1"/>
  <c r="O101" i="1" a="1"/>
  <c r="O101" i="1" s="1"/>
  <c r="N101" i="1" a="1"/>
  <c r="N101" i="1" s="1"/>
  <c r="N47" i="1" a="1"/>
  <c r="N47" i="1" s="1"/>
  <c r="B47" i="1"/>
  <c r="S47" i="1" a="1"/>
  <c r="S47" i="1" s="1"/>
  <c r="O47" i="1" a="1"/>
  <c r="O47" i="1" s="1"/>
  <c r="R47" i="1" a="1"/>
  <c r="R47" i="1" s="1"/>
  <c r="Q47" i="1" a="1"/>
  <c r="Q47" i="1" s="1"/>
  <c r="P47" i="1" a="1"/>
  <c r="P47" i="1" s="1"/>
  <c r="O97" i="1" a="1"/>
  <c r="O97" i="1" s="1"/>
  <c r="N97" i="1" a="1"/>
  <c r="N97" i="1" s="1"/>
  <c r="B97" i="1"/>
  <c r="S97" i="1" a="1"/>
  <c r="S97" i="1" s="1"/>
  <c r="P97" i="1" a="1"/>
  <c r="P97" i="1" s="1"/>
  <c r="R97" i="1" a="1"/>
  <c r="R97" i="1" s="1"/>
  <c r="Q97" i="1" a="1"/>
  <c r="Q97" i="1" s="1"/>
  <c r="F1" i="4" a="1"/>
  <c r="F1" i="4" s="1"/>
  <c r="R6" i="1" a="1"/>
  <c r="R6" i="1" s="1"/>
  <c r="Q8" i="1" a="1"/>
  <c r="Q8" i="1" s="1"/>
  <c r="O10" i="1" a="1"/>
  <c r="O10" i="1" s="1"/>
  <c r="N12" i="1" a="1"/>
  <c r="N12" i="1" s="1"/>
  <c r="R13" i="1" a="1"/>
  <c r="R13" i="1" s="1"/>
  <c r="P15" i="1" a="1"/>
  <c r="P15" i="1" s="1"/>
  <c r="S18" i="1" a="1"/>
  <c r="S18" i="1" s="1"/>
  <c r="P20" i="1" a="1"/>
  <c r="P20" i="1" s="1"/>
  <c r="N22" i="1" a="1"/>
  <c r="N22" i="1" s="1"/>
  <c r="P23" i="1" a="1"/>
  <c r="P23" i="1" s="1"/>
  <c r="R26" i="1" a="1"/>
  <c r="R26" i="1" s="1"/>
  <c r="R29" i="1" a="1"/>
  <c r="R29" i="1" s="1"/>
  <c r="O31" i="1" a="1"/>
  <c r="O31" i="1" s="1"/>
  <c r="S32" i="1" a="1"/>
  <c r="S32" i="1" s="1"/>
  <c r="P34" i="1" a="1"/>
  <c r="P34" i="1" s="1"/>
  <c r="S35" i="1" a="1"/>
  <c r="S35" i="1" s="1"/>
  <c r="Q40" i="1" a="1"/>
  <c r="Q40" i="1" s="1"/>
  <c r="O42" i="1" a="1"/>
  <c r="O42" i="1" s="1"/>
  <c r="S48" i="1" a="1"/>
  <c r="S48" i="1" s="1"/>
  <c r="Q50" i="1" a="1"/>
  <c r="Q50" i="1" s="1"/>
  <c r="P52" i="1" a="1"/>
  <c r="P52" i="1" s="1"/>
  <c r="R55" i="1" a="1"/>
  <c r="R55" i="1" s="1"/>
  <c r="P57" i="1" a="1"/>
  <c r="P57" i="1" s="1"/>
  <c r="P59" i="1" a="1"/>
  <c r="P59" i="1" s="1"/>
  <c r="N61" i="1" a="1"/>
  <c r="N61" i="1" s="1"/>
  <c r="R62" i="1" a="1"/>
  <c r="R62" i="1" s="1"/>
  <c r="Q64" i="1" a="1"/>
  <c r="Q64" i="1" s="1"/>
  <c r="O66" i="1" a="1"/>
  <c r="O66" i="1" s="1"/>
  <c r="S67" i="1" a="1"/>
  <c r="S67" i="1" s="1"/>
  <c r="R69" i="1" a="1"/>
  <c r="R69" i="1" s="1"/>
  <c r="Q71" i="1" a="1"/>
  <c r="Q71" i="1" s="1"/>
  <c r="P73" i="1" a="1"/>
  <c r="P73" i="1" s="1"/>
  <c r="O75" i="1" a="1"/>
  <c r="O75" i="1" s="1"/>
  <c r="S76" i="1" a="1"/>
  <c r="S76" i="1" s="1"/>
  <c r="R78" i="1" a="1"/>
  <c r="R78" i="1" s="1"/>
  <c r="Q80" i="1" a="1"/>
  <c r="Q80" i="1" s="1"/>
  <c r="S83" i="1" a="1"/>
  <c r="S83" i="1" s="1"/>
  <c r="Q85" i="1" a="1"/>
  <c r="Q85" i="1" s="1"/>
  <c r="N89" i="1" a="1"/>
  <c r="N89" i="1" s="1"/>
  <c r="O92" i="1" a="1"/>
  <c r="O92" i="1" s="1"/>
  <c r="N94" i="1" a="1"/>
  <c r="N94" i="1" s="1"/>
  <c r="S95" i="1" a="1"/>
  <c r="S95" i="1" s="1"/>
  <c r="R102" i="1" a="1"/>
  <c r="R102" i="1" s="1"/>
  <c r="P104" i="1" a="1"/>
  <c r="P104" i="1" s="1"/>
  <c r="N106" i="1" a="1"/>
  <c r="N106" i="1" s="1"/>
  <c r="B91" i="1"/>
  <c r="B106" i="1"/>
  <c r="S6" i="1" a="1"/>
  <c r="S6" i="1" s="1"/>
  <c r="R8" i="1" a="1"/>
  <c r="R8" i="1" s="1"/>
  <c r="P10" i="1" a="1"/>
  <c r="P10" i="1" s="1"/>
  <c r="S13" i="1" a="1"/>
  <c r="S13" i="1" s="1"/>
  <c r="Q15" i="1" a="1"/>
  <c r="Q15" i="1" s="1"/>
  <c r="O17" i="1" a="1"/>
  <c r="O17" i="1" s="1"/>
  <c r="N19" i="1" a="1"/>
  <c r="N19" i="1" s="1"/>
  <c r="Q20" i="1" a="1"/>
  <c r="Q20" i="1" s="1"/>
  <c r="Q23" i="1" a="1"/>
  <c r="Q23" i="1" s="1"/>
  <c r="O25" i="1" a="1"/>
  <c r="O25" i="1" s="1"/>
  <c r="S26" i="1" a="1"/>
  <c r="S26" i="1" s="1"/>
  <c r="O28" i="1" a="1"/>
  <c r="O28" i="1" s="1"/>
  <c r="P31" i="1" a="1"/>
  <c r="P31" i="1" s="1"/>
  <c r="N33" i="1" a="1"/>
  <c r="N33" i="1" s="1"/>
  <c r="Q34" i="1" a="1"/>
  <c r="Q34" i="1" s="1"/>
  <c r="N36" i="1" a="1"/>
  <c r="N36" i="1" s="1"/>
  <c r="R40" i="1" a="1"/>
  <c r="R40" i="1" s="1"/>
  <c r="N49" i="1" a="1"/>
  <c r="N49" i="1" s="1"/>
  <c r="R50" i="1" a="1"/>
  <c r="R50" i="1" s="1"/>
  <c r="Q52" i="1" a="1"/>
  <c r="Q52" i="1" s="1"/>
  <c r="O54" i="1" a="1"/>
  <c r="O54" i="1" s="1"/>
  <c r="Q57" i="1" a="1"/>
  <c r="Q57" i="1" s="1"/>
  <c r="Q59" i="1" a="1"/>
  <c r="Q59" i="1" s="1"/>
  <c r="O61" i="1" a="1"/>
  <c r="O61" i="1" s="1"/>
  <c r="R64" i="1" a="1"/>
  <c r="R64" i="1" s="1"/>
  <c r="P66" i="1" a="1"/>
  <c r="P66" i="1" s="1"/>
  <c r="N68" i="1" a="1"/>
  <c r="N68" i="1" s="1"/>
  <c r="S69" i="1" a="1"/>
  <c r="S69" i="1" s="1"/>
  <c r="R71" i="1" a="1"/>
  <c r="R71" i="1" s="1"/>
  <c r="Q73" i="1" a="1"/>
  <c r="Q73" i="1" s="1"/>
  <c r="N77" i="1" a="1"/>
  <c r="N77" i="1" s="1"/>
  <c r="S78" i="1" a="1"/>
  <c r="S78" i="1" s="1"/>
  <c r="R80" i="1" a="1"/>
  <c r="R80" i="1" s="1"/>
  <c r="O82" i="1" a="1"/>
  <c r="O82" i="1" s="1"/>
  <c r="N84" i="1" a="1"/>
  <c r="N84" i="1" s="1"/>
  <c r="R85" i="1" a="1"/>
  <c r="R85" i="1" s="1"/>
  <c r="P87" i="1" a="1"/>
  <c r="P87" i="1" s="1"/>
  <c r="O89" i="1" a="1"/>
  <c r="O89" i="1" s="1"/>
  <c r="P92" i="1" a="1"/>
  <c r="P92" i="1" s="1"/>
  <c r="O94" i="1" a="1"/>
  <c r="O94" i="1" s="1"/>
  <c r="N96" i="1" a="1"/>
  <c r="N96" i="1" s="1"/>
  <c r="P99" i="1" a="1"/>
  <c r="P99" i="1" s="1"/>
  <c r="S102" i="1" a="1"/>
  <c r="S102" i="1" s="1"/>
  <c r="Q104" i="1" a="1"/>
  <c r="Q104" i="1" s="1"/>
  <c r="O106" i="1" a="1"/>
  <c r="O106" i="1" s="1"/>
  <c r="B34" i="1"/>
  <c r="B36" i="1"/>
  <c r="B86" i="1"/>
  <c r="N5" i="1" a="1"/>
  <c r="N5" i="1" s="1"/>
  <c r="N7" i="1" a="1"/>
  <c r="N7" i="1" s="1"/>
  <c r="S8" i="1" a="1"/>
  <c r="S8" i="1" s="1"/>
  <c r="Q10" i="1" a="1"/>
  <c r="Q10" i="1" s="1"/>
  <c r="O12" i="1" a="1"/>
  <c r="O12" i="1" s="1"/>
  <c r="N14" i="1" a="1"/>
  <c r="N14" i="1" s="1"/>
  <c r="R15" i="1" a="1"/>
  <c r="R15" i="1" s="1"/>
  <c r="P17" i="1" a="1"/>
  <c r="P17" i="1" s="1"/>
  <c r="R20" i="1" a="1"/>
  <c r="R20" i="1" s="1"/>
  <c r="O22" i="1" a="1"/>
  <c r="O22" i="1" s="1"/>
  <c r="R23" i="1" a="1"/>
  <c r="R23" i="1" s="1"/>
  <c r="N27" i="1" a="1"/>
  <c r="N27" i="1" s="1"/>
  <c r="P28" i="1" a="1"/>
  <c r="P28" i="1" s="1"/>
  <c r="S29" i="1" a="1"/>
  <c r="S29" i="1" s="1"/>
  <c r="Q31" i="1" a="1"/>
  <c r="Q31" i="1" s="1"/>
  <c r="O36" i="1" a="1"/>
  <c r="O36" i="1" s="1"/>
  <c r="S40" i="1" a="1"/>
  <c r="S40" i="1" s="1"/>
  <c r="P42" i="1" a="1"/>
  <c r="P42" i="1" s="1"/>
  <c r="O49" i="1" a="1"/>
  <c r="O49" i="1" s="1"/>
  <c r="R52" i="1" a="1"/>
  <c r="R52" i="1" s="1"/>
  <c r="P54" i="1" a="1"/>
  <c r="P54" i="1" s="1"/>
  <c r="S55" i="1" a="1"/>
  <c r="S55" i="1" s="1"/>
  <c r="R57" i="1" a="1"/>
  <c r="R57" i="1" s="1"/>
  <c r="R59" i="1" a="1"/>
  <c r="R59" i="1" s="1"/>
  <c r="S62" i="1" a="1"/>
  <c r="S62" i="1" s="1"/>
  <c r="S64" i="1" a="1"/>
  <c r="S64" i="1" s="1"/>
  <c r="Q66" i="1" a="1"/>
  <c r="Q66" i="1" s="1"/>
  <c r="O68" i="1" a="1"/>
  <c r="O68" i="1" s="1"/>
  <c r="N70" i="1" a="1"/>
  <c r="N70" i="1" s="1"/>
  <c r="S71" i="1" a="1"/>
  <c r="S71" i="1" s="1"/>
  <c r="R73" i="1" a="1"/>
  <c r="R73" i="1" s="1"/>
  <c r="P75" i="1" a="1"/>
  <c r="P75" i="1" s="1"/>
  <c r="O77" i="1" a="1"/>
  <c r="O77" i="1" s="1"/>
  <c r="N79" i="1" a="1"/>
  <c r="N79" i="1" s="1"/>
  <c r="P82" i="1" a="1"/>
  <c r="P82" i="1" s="1"/>
  <c r="O84" i="1" a="1"/>
  <c r="O84" i="1" s="1"/>
  <c r="S85" i="1" a="1"/>
  <c r="S85" i="1" s="1"/>
  <c r="Q87" i="1" a="1"/>
  <c r="Q87" i="1" s="1"/>
  <c r="Q92" i="1" a="1"/>
  <c r="Q92" i="1" s="1"/>
  <c r="Q99" i="1" a="1"/>
  <c r="Q99" i="1" s="1"/>
  <c r="N103" i="1" a="1"/>
  <c r="N103" i="1" s="1"/>
  <c r="R104" i="1" a="1"/>
  <c r="R104" i="1" s="1"/>
  <c r="P106" i="1" a="1"/>
  <c r="P106" i="1" s="1"/>
  <c r="B16" i="1"/>
  <c r="B20" i="1"/>
  <c r="B24" i="1"/>
  <c r="B28" i="1"/>
  <c r="B32" i="1"/>
  <c r="B79" i="1"/>
  <c r="B93" i="1"/>
  <c r="B98" i="1"/>
  <c r="O5" i="1" a="1"/>
  <c r="O5" i="1" s="1"/>
  <c r="O7" i="1" a="1"/>
  <c r="O7" i="1" s="1"/>
  <c r="N9" i="1" a="1"/>
  <c r="N9" i="1" s="1"/>
  <c r="R10" i="1" a="1"/>
  <c r="R10" i="1" s="1"/>
  <c r="P12" i="1" a="1"/>
  <c r="P12" i="1" s="1"/>
  <c r="S15" i="1" a="1"/>
  <c r="S15" i="1" s="1"/>
  <c r="Q17" i="1" a="1"/>
  <c r="Q17" i="1" s="1"/>
  <c r="O19" i="1" a="1"/>
  <c r="O19" i="1" s="1"/>
  <c r="S20" i="1" a="1"/>
  <c r="S20" i="1" s="1"/>
  <c r="S23" i="1" a="1"/>
  <c r="S23" i="1" s="1"/>
  <c r="P25" i="1" a="1"/>
  <c r="P25" i="1" s="1"/>
  <c r="O27" i="1" a="1"/>
  <c r="O27" i="1" s="1"/>
  <c r="Q28" i="1" a="1"/>
  <c r="Q28" i="1" s="1"/>
  <c r="N30" i="1" a="1"/>
  <c r="N30" i="1" s="1"/>
  <c r="O33" i="1" a="1"/>
  <c r="O33" i="1" s="1"/>
  <c r="R34" i="1" a="1"/>
  <c r="R34" i="1" s="1"/>
  <c r="P36" i="1" a="1"/>
  <c r="P36" i="1" s="1"/>
  <c r="Q42" i="1" a="1"/>
  <c r="Q42" i="1" s="1"/>
  <c r="N44" i="1" a="1"/>
  <c r="N44" i="1" s="1"/>
  <c r="S50" i="1" a="1"/>
  <c r="S50" i="1" s="1"/>
  <c r="S52" i="1" a="1"/>
  <c r="S52" i="1" s="1"/>
  <c r="Q54" i="1" a="1"/>
  <c r="Q54" i="1" s="1"/>
  <c r="N56" i="1" a="1"/>
  <c r="N56" i="1" s="1"/>
  <c r="S57" i="1" a="1"/>
  <c r="S57" i="1" s="1"/>
  <c r="P61" i="1" a="1"/>
  <c r="P61" i="1" s="1"/>
  <c r="N63" i="1" a="1"/>
  <c r="N63" i="1" s="1"/>
  <c r="N65" i="1" a="1"/>
  <c r="N65" i="1" s="1"/>
  <c r="R66" i="1" a="1"/>
  <c r="R66" i="1" s="1"/>
  <c r="P68" i="1" a="1"/>
  <c r="P68" i="1" s="1"/>
  <c r="O70" i="1" a="1"/>
  <c r="O70" i="1" s="1"/>
  <c r="N72" i="1" a="1"/>
  <c r="N72" i="1" s="1"/>
  <c r="S73" i="1" a="1"/>
  <c r="S73" i="1" s="1"/>
  <c r="Q75" i="1" a="1"/>
  <c r="Q75" i="1" s="1"/>
  <c r="P77" i="1" a="1"/>
  <c r="P77" i="1" s="1"/>
  <c r="O79" i="1" a="1"/>
  <c r="O79" i="1" s="1"/>
  <c r="S80" i="1" a="1"/>
  <c r="S80" i="1" s="1"/>
  <c r="Q82" i="1" a="1"/>
  <c r="Q82" i="1" s="1"/>
  <c r="P84" i="1" a="1"/>
  <c r="P84" i="1" s="1"/>
  <c r="N86" i="1" a="1"/>
  <c r="N86" i="1" s="1"/>
  <c r="R87" i="1" a="1"/>
  <c r="R87" i="1" s="1"/>
  <c r="P89" i="1" a="1"/>
  <c r="P89" i="1" s="1"/>
  <c r="N91" i="1" a="1"/>
  <c r="N91" i="1" s="1"/>
  <c r="R92" i="1" a="1"/>
  <c r="R92" i="1" s="1"/>
  <c r="P94" i="1" a="1"/>
  <c r="P94" i="1" s="1"/>
  <c r="O96" i="1" a="1"/>
  <c r="O96" i="1" s="1"/>
  <c r="N98" i="1" a="1"/>
  <c r="N98" i="1" s="1"/>
  <c r="R99" i="1" a="1"/>
  <c r="R99" i="1" s="1"/>
  <c r="O103" i="1" a="1"/>
  <c r="O103" i="1" s="1"/>
  <c r="S104" i="1" a="1"/>
  <c r="S104" i="1" s="1"/>
  <c r="Q106" i="1" a="1"/>
  <c r="Q106" i="1" s="1"/>
  <c r="B18" i="1"/>
  <c r="B22" i="1"/>
  <c r="B26" i="1"/>
  <c r="B30" i="1"/>
  <c r="B6" i="1"/>
  <c r="B8" i="1"/>
  <c r="B10" i="1"/>
  <c r="B12" i="1"/>
  <c r="B14" i="1"/>
  <c r="B63" i="1"/>
  <c r="B65" i="1"/>
  <c r="B67" i="1"/>
  <c r="B69" i="1"/>
  <c r="B71" i="1"/>
  <c r="B73" i="1"/>
  <c r="B75" i="1"/>
  <c r="B77" i="1"/>
  <c r="B81" i="1"/>
  <c r="B88" i="1"/>
  <c r="P5" i="1" a="1"/>
  <c r="P5" i="1" s="1"/>
  <c r="P7" i="1" a="1"/>
  <c r="P7" i="1" s="1"/>
  <c r="S10" i="1" a="1"/>
  <c r="S10" i="1" s="1"/>
  <c r="Q12" i="1" a="1"/>
  <c r="Q12" i="1" s="1"/>
  <c r="O14" i="1" a="1"/>
  <c r="O14" i="1" s="1"/>
  <c r="N16" i="1" a="1"/>
  <c r="N16" i="1" s="1"/>
  <c r="R17" i="1" a="1"/>
  <c r="R17" i="1" s="1"/>
  <c r="P19" i="1" a="1"/>
  <c r="P19" i="1" s="1"/>
  <c r="N21" i="1" a="1"/>
  <c r="N21" i="1" s="1"/>
  <c r="P22" i="1" a="1"/>
  <c r="P22" i="1" s="1"/>
  <c r="N24" i="1" a="1"/>
  <c r="N24" i="1" s="1"/>
  <c r="Q25" i="1" a="1"/>
  <c r="Q25" i="1" s="1"/>
  <c r="R28" i="1" a="1"/>
  <c r="R28" i="1" s="1"/>
  <c r="O30" i="1" a="1"/>
  <c r="O30" i="1" s="1"/>
  <c r="R31" i="1" a="1"/>
  <c r="R31" i="1" s="1"/>
  <c r="S34" i="1" a="1"/>
  <c r="S34" i="1" s="1"/>
  <c r="Q36" i="1" a="1"/>
  <c r="Q36" i="1" s="1"/>
  <c r="R42" i="1" a="1"/>
  <c r="R42" i="1" s="1"/>
  <c r="O44" i="1" a="1"/>
  <c r="O44" i="1" s="1"/>
  <c r="N46" i="1" a="1"/>
  <c r="N46" i="1" s="1"/>
  <c r="P49" i="1" a="1"/>
  <c r="P49" i="1" s="1"/>
  <c r="N51" i="1" a="1"/>
  <c r="N51" i="1" s="1"/>
  <c r="N53" i="1" a="1"/>
  <c r="N53" i="1" s="1"/>
  <c r="R54" i="1" a="1"/>
  <c r="R54" i="1" s="1"/>
  <c r="O56" i="1" a="1"/>
  <c r="O56" i="1" s="1"/>
  <c r="N58" i="1" a="1"/>
  <c r="N58" i="1" s="1"/>
  <c r="S59" i="1" a="1"/>
  <c r="S59" i="1" s="1"/>
  <c r="Q61" i="1" a="1"/>
  <c r="Q61" i="1" s="1"/>
  <c r="O63" i="1" a="1"/>
  <c r="O63" i="1" s="1"/>
  <c r="O65" i="1" a="1"/>
  <c r="O65" i="1" s="1"/>
  <c r="S66" i="1" a="1"/>
  <c r="S66" i="1" s="1"/>
  <c r="Q68" i="1" a="1"/>
  <c r="Q68" i="1" s="1"/>
  <c r="P70" i="1" a="1"/>
  <c r="P70" i="1" s="1"/>
  <c r="O72" i="1" a="1"/>
  <c r="O72" i="1" s="1"/>
  <c r="N74" i="1" a="1"/>
  <c r="N74" i="1" s="1"/>
  <c r="R75" i="1" a="1"/>
  <c r="R75" i="1" s="1"/>
  <c r="Q77" i="1" a="1"/>
  <c r="Q77" i="1" s="1"/>
  <c r="N81" i="1" a="1"/>
  <c r="N81" i="1" s="1"/>
  <c r="R82" i="1" a="1"/>
  <c r="R82" i="1" s="1"/>
  <c r="Q84" i="1" a="1"/>
  <c r="Q84" i="1" s="1"/>
  <c r="S87" i="1" a="1"/>
  <c r="S87" i="1" s="1"/>
  <c r="Q89" i="1" a="1"/>
  <c r="Q89" i="1" s="1"/>
  <c r="Q94" i="1" a="1"/>
  <c r="Q94" i="1" s="1"/>
  <c r="P96" i="1" a="1"/>
  <c r="P96" i="1" s="1"/>
  <c r="O98" i="1" a="1"/>
  <c r="O98" i="1" s="1"/>
  <c r="S99" i="1" a="1"/>
  <c r="S99" i="1" s="1"/>
  <c r="N105" i="1" a="1"/>
  <c r="N105" i="1" s="1"/>
  <c r="R106" i="1" a="1"/>
  <c r="R106" i="1" s="1"/>
  <c r="B49" i="1"/>
  <c r="B51" i="1"/>
  <c r="B53" i="1"/>
  <c r="B55" i="1"/>
  <c r="B57" i="1"/>
  <c r="B59" i="1"/>
  <c r="B61" i="1"/>
  <c r="B83" i="1"/>
  <c r="B95" i="1"/>
  <c r="B105" i="1"/>
  <c r="Q5" i="1" a="1"/>
  <c r="Q5" i="1" s="1"/>
  <c r="Q7" i="1" a="1"/>
  <c r="Q7" i="1" s="1"/>
  <c r="O9" i="1" a="1"/>
  <c r="O9" i="1" s="1"/>
  <c r="N11" i="1" a="1"/>
  <c r="N11" i="1" s="1"/>
  <c r="R12" i="1" a="1"/>
  <c r="R12" i="1" s="1"/>
  <c r="P14" i="1" a="1"/>
  <c r="P14" i="1" s="1"/>
  <c r="Q19" i="1" a="1"/>
  <c r="Q19" i="1" s="1"/>
  <c r="Q22" i="1" a="1"/>
  <c r="Q22" i="1" s="1"/>
  <c r="O24" i="1" a="1"/>
  <c r="O24" i="1" s="1"/>
  <c r="P27" i="1" a="1"/>
  <c r="P27" i="1" s="1"/>
  <c r="P33" i="1" a="1"/>
  <c r="P33" i="1" s="1"/>
  <c r="N35" i="1" a="1"/>
  <c r="N35" i="1" s="1"/>
  <c r="R36" i="1" a="1"/>
  <c r="R36" i="1" s="1"/>
  <c r="N38" i="1" a="1"/>
  <c r="N38" i="1" s="1"/>
  <c r="P44" i="1" a="1"/>
  <c r="P44" i="1" s="1"/>
  <c r="O46" i="1" a="1"/>
  <c r="O46" i="1" s="1"/>
  <c r="N48" i="1" a="1"/>
  <c r="N48" i="1" s="1"/>
  <c r="Q49" i="1" a="1"/>
  <c r="Q49" i="1" s="1"/>
  <c r="O51" i="1" a="1"/>
  <c r="O51" i="1" s="1"/>
  <c r="O53" i="1" a="1"/>
  <c r="O53" i="1" s="1"/>
  <c r="P56" i="1" a="1"/>
  <c r="P56" i="1" s="1"/>
  <c r="O58" i="1" a="1"/>
  <c r="O58" i="1" s="1"/>
  <c r="N60" i="1" a="1"/>
  <c r="N60" i="1" s="1"/>
  <c r="R61" i="1" a="1"/>
  <c r="R61" i="1" s="1"/>
  <c r="P63" i="1" a="1"/>
  <c r="P63" i="1" s="1"/>
  <c r="P65" i="1" a="1"/>
  <c r="P65" i="1" s="1"/>
  <c r="N67" i="1" a="1"/>
  <c r="N67" i="1" s="1"/>
  <c r="R68" i="1" a="1"/>
  <c r="R68" i="1" s="1"/>
  <c r="Q70" i="1" a="1"/>
  <c r="Q70" i="1" s="1"/>
  <c r="P72" i="1" a="1"/>
  <c r="P72" i="1" s="1"/>
  <c r="R77" i="1" a="1"/>
  <c r="R77" i="1" s="1"/>
  <c r="P79" i="1" a="1"/>
  <c r="P79" i="1" s="1"/>
  <c r="O81" i="1" a="1"/>
  <c r="O81" i="1" s="1"/>
  <c r="R84" i="1" a="1"/>
  <c r="R84" i="1" s="1"/>
  <c r="O86" i="1" a="1"/>
  <c r="O86" i="1" s="1"/>
  <c r="N88" i="1" a="1"/>
  <c r="N88" i="1" s="1"/>
  <c r="R89" i="1" a="1"/>
  <c r="R89" i="1" s="1"/>
  <c r="O91" i="1" a="1"/>
  <c r="O91" i="1" s="1"/>
  <c r="N93" i="1" a="1"/>
  <c r="N93" i="1" s="1"/>
  <c r="R94" i="1" a="1"/>
  <c r="R94" i="1" s="1"/>
  <c r="Q96" i="1" a="1"/>
  <c r="Q96" i="1" s="1"/>
  <c r="P98" i="1" a="1"/>
  <c r="P98" i="1" s="1"/>
  <c r="N100" i="1" a="1"/>
  <c r="N100" i="1" s="1"/>
  <c r="P103" i="1" a="1"/>
  <c r="P103" i="1" s="1"/>
  <c r="P9" i="1" a="1"/>
  <c r="P9" i="1" s="1"/>
  <c r="Q14" i="1" a="1"/>
  <c r="Q14" i="1" s="1"/>
  <c r="O16" i="1" a="1"/>
  <c r="O16" i="1" s="1"/>
  <c r="N18" i="1" a="1"/>
  <c r="N18" i="1" s="1"/>
  <c r="R19" i="1" a="1"/>
  <c r="R19" i="1" s="1"/>
  <c r="O21" i="1" a="1"/>
  <c r="O21" i="1" s="1"/>
  <c r="R22" i="1" a="1"/>
  <c r="R22" i="1" s="1"/>
  <c r="P24" i="1" a="1"/>
  <c r="P24" i="1" s="1"/>
  <c r="R25" i="1" a="1"/>
  <c r="R25" i="1" s="1"/>
  <c r="Q27" i="1" a="1"/>
  <c r="Q27" i="1" s="1"/>
  <c r="N29" i="1" a="1"/>
  <c r="N29" i="1" s="1"/>
  <c r="P30" i="1" a="1"/>
  <c r="P30" i="1" s="1"/>
  <c r="S31" i="1" a="1"/>
  <c r="S31" i="1" s="1"/>
  <c r="Q33" i="1" a="1"/>
  <c r="Q33" i="1" s="1"/>
  <c r="O38" i="1" a="1"/>
  <c r="O38" i="1" s="1"/>
  <c r="Q44" i="1" a="1"/>
  <c r="Q44" i="1" s="1"/>
  <c r="P46" i="1" a="1"/>
  <c r="P46" i="1" s="1"/>
  <c r="R49" i="1" a="1"/>
  <c r="R49" i="1" s="1"/>
  <c r="P51" i="1" a="1"/>
  <c r="P51" i="1" s="1"/>
  <c r="P53" i="1" a="1"/>
  <c r="P53" i="1" s="1"/>
  <c r="Q56" i="1" a="1"/>
  <c r="Q56" i="1" s="1"/>
  <c r="P58" i="1" a="1"/>
  <c r="P58" i="1" s="1"/>
  <c r="Q63" i="1" a="1"/>
  <c r="Q63" i="1" s="1"/>
  <c r="Q65" i="1" a="1"/>
  <c r="Q65" i="1" s="1"/>
  <c r="O67" i="1" a="1"/>
  <c r="O67" i="1" s="1"/>
  <c r="R70" i="1" a="1"/>
  <c r="R70" i="1" s="1"/>
  <c r="Q72" i="1" a="1"/>
  <c r="Q72" i="1" s="1"/>
  <c r="O74" i="1" a="1"/>
  <c r="O74" i="1" s="1"/>
  <c r="N76" i="1" a="1"/>
  <c r="N76" i="1" s="1"/>
  <c r="Q79" i="1" a="1"/>
  <c r="Q79" i="1" s="1"/>
  <c r="N83" i="1" a="1"/>
  <c r="N83" i="1" s="1"/>
  <c r="P86" i="1" a="1"/>
  <c r="P86" i="1" s="1"/>
  <c r="O88" i="1" a="1"/>
  <c r="O88" i="1" s="1"/>
  <c r="R96" i="1" a="1"/>
  <c r="R96" i="1" s="1"/>
  <c r="Q98" i="1" a="1"/>
  <c r="Q98" i="1" s="1"/>
  <c r="O100" i="1" a="1"/>
  <c r="O100" i="1" s="1"/>
  <c r="N102" i="1" a="1"/>
  <c r="N102" i="1" s="1"/>
  <c r="Q103" i="1" a="1"/>
  <c r="Q103" i="1" s="1"/>
  <c r="O105" i="1" a="1"/>
  <c r="O105" i="1" s="1"/>
  <c r="N107" i="1" a="1"/>
  <c r="N107" i="1" s="1"/>
  <c r="O11" i="1" a="1"/>
  <c r="O11" i="1" s="1"/>
  <c r="N13" i="1" a="1"/>
  <c r="N13" i="1" s="1"/>
  <c r="R14" i="1" a="1"/>
  <c r="R14" i="1" s="1"/>
  <c r="P16" i="1" a="1"/>
  <c r="P16" i="1" s="1"/>
  <c r="Q24" i="1" a="1"/>
  <c r="Q24" i="1" s="1"/>
  <c r="O29" i="1" a="1"/>
  <c r="O29" i="1" s="1"/>
  <c r="Q30" i="1" a="1"/>
  <c r="Q30" i="1" s="1"/>
  <c r="N32" i="1" a="1"/>
  <c r="N32" i="1" s="1"/>
  <c r="R33" i="1" a="1"/>
  <c r="R33" i="1" s="1"/>
  <c r="O35" i="1" a="1"/>
  <c r="O35" i="1" s="1"/>
  <c r="P38" i="1" a="1"/>
  <c r="P38" i="1" s="1"/>
  <c r="R44" i="1" a="1"/>
  <c r="R44" i="1" s="1"/>
  <c r="Q46" i="1" a="1"/>
  <c r="Q46" i="1" s="1"/>
  <c r="O48" i="1" a="1"/>
  <c r="O48" i="1" s="1"/>
  <c r="Q51" i="1" a="1"/>
  <c r="Q51" i="1" s="1"/>
  <c r="Q53" i="1" a="1"/>
  <c r="Q53" i="1" s="1"/>
  <c r="N55" i="1" a="1"/>
  <c r="N55" i="1" s="1"/>
  <c r="R56" i="1" a="1"/>
  <c r="R56" i="1" s="1"/>
  <c r="Q58" i="1" a="1"/>
  <c r="Q58" i="1" s="1"/>
  <c r="O60" i="1" a="1"/>
  <c r="O60" i="1" s="1"/>
  <c r="R63" i="1" a="1"/>
  <c r="R63" i="1" s="1"/>
  <c r="R65" i="1" a="1"/>
  <c r="R65" i="1" s="1"/>
  <c r="R72" i="1" a="1"/>
  <c r="R72" i="1" s="1"/>
  <c r="P74" i="1" a="1"/>
  <c r="P74" i="1" s="1"/>
  <c r="O76" i="1" a="1"/>
  <c r="O76" i="1" s="1"/>
  <c r="N78" i="1" a="1"/>
  <c r="N78" i="1" s="1"/>
  <c r="R79" i="1" a="1"/>
  <c r="R79" i="1" s="1"/>
  <c r="P81" i="1" a="1"/>
  <c r="P81" i="1" s="1"/>
  <c r="O83" i="1" a="1"/>
  <c r="O83" i="1" s="1"/>
  <c r="Q86" i="1" a="1"/>
  <c r="Q86" i="1" s="1"/>
  <c r="P88" i="1" a="1"/>
  <c r="P88" i="1" s="1"/>
  <c r="P91" i="1" a="1"/>
  <c r="P91" i="1" s="1"/>
  <c r="O93" i="1" a="1"/>
  <c r="O93" i="1" s="1"/>
  <c r="N95" i="1" a="1"/>
  <c r="N95" i="1" s="1"/>
  <c r="R98" i="1" a="1"/>
  <c r="R98" i="1" s="1"/>
  <c r="R103" i="1" a="1"/>
  <c r="R103" i="1" s="1"/>
  <c r="O107" i="1" a="1"/>
  <c r="O107" i="1" s="1"/>
  <c r="N6" i="1" a="1"/>
  <c r="N6" i="1" s="1"/>
  <c r="N8" i="1" a="1"/>
  <c r="N8" i="1" s="1"/>
  <c r="R9" i="1" a="1"/>
  <c r="R9" i="1" s="1"/>
  <c r="P11" i="1" a="1"/>
  <c r="P11" i="1" s="1"/>
  <c r="Q16" i="1" a="1"/>
  <c r="Q16" i="1" s="1"/>
  <c r="O18" i="1" a="1"/>
  <c r="O18" i="1" s="1"/>
  <c r="N20" i="1" a="1"/>
  <c r="N20" i="1" s="1"/>
  <c r="P21" i="1" a="1"/>
  <c r="P21" i="1" s="1"/>
  <c r="N23" i="1" a="1"/>
  <c r="N23" i="1" s="1"/>
  <c r="R24" i="1" a="1"/>
  <c r="R24" i="1" s="1"/>
  <c r="N26" i="1" a="1"/>
  <c r="N26" i="1" s="1"/>
  <c r="R27" i="1" a="1"/>
  <c r="R27" i="1" s="1"/>
  <c r="P29" i="1" a="1"/>
  <c r="P29" i="1" s="1"/>
  <c r="R30" i="1" a="1"/>
  <c r="R30" i="1" s="1"/>
  <c r="O32" i="1" a="1"/>
  <c r="O32" i="1" s="1"/>
  <c r="Q38" i="1" a="1"/>
  <c r="Q38" i="1" s="1"/>
  <c r="N40" i="1" a="1"/>
  <c r="N40" i="1" s="1"/>
  <c r="R46" i="1" a="1"/>
  <c r="R46" i="1" s="1"/>
  <c r="P48" i="1" a="1"/>
  <c r="P48" i="1" s="1"/>
  <c r="R51" i="1" a="1"/>
  <c r="R51" i="1" s="1"/>
  <c r="R53" i="1" a="1"/>
  <c r="R53" i="1" s="1"/>
  <c r="O55" i="1" a="1"/>
  <c r="O55" i="1" s="1"/>
  <c r="R58" i="1" a="1"/>
  <c r="R58" i="1" s="1"/>
  <c r="P60" i="1" a="1"/>
  <c r="P60" i="1" s="1"/>
  <c r="N62" i="1" a="1"/>
  <c r="N62" i="1" s="1"/>
  <c r="P67" i="1" a="1"/>
  <c r="P67" i="1" s="1"/>
  <c r="N69" i="1" a="1"/>
  <c r="N69" i="1" s="1"/>
  <c r="N71" i="1" a="1"/>
  <c r="N71" i="1" s="1"/>
  <c r="Q74" i="1" a="1"/>
  <c r="Q74" i="1" s="1"/>
  <c r="P76" i="1" a="1"/>
  <c r="P76" i="1" s="1"/>
  <c r="Q81" i="1" a="1"/>
  <c r="Q81" i="1" s="1"/>
  <c r="N85" i="1" a="1"/>
  <c r="N85" i="1" s="1"/>
  <c r="R86" i="1" a="1"/>
  <c r="R86" i="1" s="1"/>
  <c r="Q88" i="1" a="1"/>
  <c r="Q88" i="1" s="1"/>
  <c r="Q91" i="1" a="1"/>
  <c r="Q91" i="1" s="1"/>
  <c r="P93" i="1" a="1"/>
  <c r="P93" i="1" s="1"/>
  <c r="O95" i="1" a="1"/>
  <c r="O95" i="1" s="1"/>
  <c r="P100" i="1" a="1"/>
  <c r="P100" i="1" s="1"/>
  <c r="O102" i="1" a="1"/>
  <c r="O102" i="1" s="1"/>
  <c r="P105" i="1" a="1"/>
  <c r="P105" i="1" s="1"/>
  <c r="P107" i="1" a="1"/>
  <c r="P107" i="1" s="1"/>
  <c r="O6" i="1" a="1"/>
  <c r="O6" i="1" s="1"/>
  <c r="Q11" i="1" a="1"/>
  <c r="Q11" i="1" s="1"/>
  <c r="O13" i="1" a="1"/>
  <c r="O13" i="1" s="1"/>
  <c r="R16" i="1" a="1"/>
  <c r="R16" i="1" s="1"/>
  <c r="P18" i="1" a="1"/>
  <c r="P18" i="1" s="1"/>
  <c r="Q21" i="1" a="1"/>
  <c r="Q21" i="1" s="1"/>
  <c r="O26" i="1" a="1"/>
  <c r="O26" i="1" s="1"/>
  <c r="P32" i="1" a="1"/>
  <c r="P32" i="1" s="1"/>
  <c r="P35" i="1" a="1"/>
  <c r="P35" i="1" s="1"/>
  <c r="R38" i="1" a="1"/>
  <c r="R38" i="1" s="1"/>
  <c r="Q48" i="1" a="1"/>
  <c r="Q48" i="1" s="1"/>
  <c r="N50" i="1" a="1"/>
  <c r="N50" i="1" s="1"/>
  <c r="Q60" i="1" a="1"/>
  <c r="Q60" i="1" s="1"/>
  <c r="O62" i="1" a="1"/>
  <c r="O62" i="1" s="1"/>
  <c r="N64" i="1" a="1"/>
  <c r="N64" i="1" s="1"/>
  <c r="Q67" i="1" a="1"/>
  <c r="Q67" i="1" s="1"/>
  <c r="O69" i="1" a="1"/>
  <c r="O69" i="1" s="1"/>
  <c r="R74" i="1" a="1"/>
  <c r="R74" i="1" s="1"/>
  <c r="Q76" i="1" a="1"/>
  <c r="Q76" i="1" s="1"/>
  <c r="O78" i="1" a="1"/>
  <c r="O78" i="1" s="1"/>
  <c r="N80" i="1" a="1"/>
  <c r="N80" i="1" s="1"/>
  <c r="R81" i="1" a="1"/>
  <c r="R81" i="1" s="1"/>
  <c r="P83" i="1" a="1"/>
  <c r="P83" i="1" s="1"/>
  <c r="R91" i="1" a="1"/>
  <c r="R91" i="1" s="1"/>
  <c r="Q93" i="1" a="1"/>
  <c r="Q93" i="1" s="1"/>
  <c r="P95" i="1" a="1"/>
  <c r="P95" i="1" s="1"/>
  <c r="Q100" i="1" a="1"/>
  <c r="Q100" i="1" s="1"/>
  <c r="N104" i="1" a="1"/>
  <c r="N104" i="1" s="1"/>
  <c r="Q105" i="1" a="1"/>
  <c r="Q105" i="1" s="1"/>
  <c r="Q107" i="1" a="1"/>
  <c r="Q107" i="1" s="1"/>
  <c r="R107" i="1" a="1"/>
  <c r="R107" i="1" s="1"/>
  <c r="I4" i="3"/>
  <c r="I3" i="3"/>
  <c r="P95" i="5"/>
  <c r="P81" i="5"/>
  <c r="P77" i="5"/>
  <c r="P60" i="5"/>
  <c r="P47" i="5"/>
  <c r="P36" i="5"/>
  <c r="P35" i="5"/>
  <c r="P31" i="5"/>
  <c r="P13" i="5"/>
  <c r="Q5" i="5"/>
  <c r="Q6" i="5"/>
  <c r="Q7" i="5"/>
  <c r="Q8" i="5"/>
  <c r="Q9" i="5"/>
  <c r="Q10" i="5"/>
  <c r="Q11" i="5"/>
  <c r="Q12" i="5"/>
  <c r="Q14" i="5"/>
  <c r="Q15" i="5"/>
  <c r="Q17" i="5"/>
  <c r="Q19" i="5"/>
  <c r="Q21" i="5"/>
  <c r="Q23" i="5"/>
  <c r="Q24" i="5"/>
  <c r="Q25" i="5"/>
  <c r="Q26" i="5"/>
  <c r="Q27" i="5"/>
  <c r="Q29" i="5"/>
  <c r="Q30" i="5"/>
  <c r="Q32" i="5"/>
  <c r="Q34" i="5"/>
  <c r="Q37" i="5"/>
  <c r="Q38" i="5"/>
  <c r="Q40" i="5"/>
  <c r="Q41" i="5"/>
  <c r="Q42" i="5"/>
  <c r="Q43" i="5"/>
  <c r="Q44" i="5"/>
  <c r="Q45" i="5"/>
  <c r="Q46" i="5"/>
  <c r="Q48" i="5"/>
  <c r="Q50" i="5"/>
  <c r="Q51" i="5"/>
  <c r="Q53" i="5"/>
  <c r="Q54" i="5"/>
  <c r="Q56" i="5"/>
  <c r="Q58" i="5"/>
  <c r="Q59" i="5"/>
  <c r="Q61" i="5"/>
  <c r="Q62" i="5"/>
  <c r="Q64" i="5"/>
  <c r="Q66" i="5"/>
  <c r="Q70" i="5"/>
  <c r="Q72" i="5"/>
  <c r="Q73" i="5"/>
  <c r="Q78" i="5"/>
  <c r="Q79" i="5"/>
  <c r="Q80" i="5"/>
  <c r="Q83" i="5"/>
  <c r="Q84" i="5"/>
  <c r="Q85" i="5"/>
  <c r="Q86" i="5"/>
  <c r="Q89" i="5"/>
  <c r="Q90" i="5"/>
  <c r="Q92" i="5"/>
  <c r="Q93" i="5"/>
  <c r="Q94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28" i="5" l="1"/>
  <c r="Q74" i="5"/>
  <c r="Q76" i="5"/>
  <c r="Q39" i="5"/>
  <c r="Q20" i="5"/>
  <c r="Q33" i="5"/>
  <c r="Q57" i="5"/>
  <c r="Q71" i="5"/>
  <c r="Q68" i="5"/>
  <c r="Q67" i="5"/>
  <c r="S67" i="5" s="1"/>
  <c r="I68" i="1" s="1"/>
  <c r="Q69" i="5"/>
  <c r="Q55" i="5"/>
  <c r="Q65" i="5"/>
  <c r="Q49" i="5"/>
  <c r="Q18" i="5"/>
  <c r="Q91" i="5"/>
  <c r="S91" i="5" s="1"/>
  <c r="I92" i="1" s="1"/>
  <c r="U75" i="1"/>
  <c r="M5" i="1"/>
  <c r="U64" i="1"/>
  <c r="U93" i="1"/>
  <c r="U44" i="1"/>
  <c r="U57" i="1"/>
  <c r="U19" i="1"/>
  <c r="Q22" i="5"/>
  <c r="S22" i="5" s="1"/>
  <c r="I23" i="1" s="1"/>
  <c r="U51" i="1"/>
  <c r="U59" i="1"/>
  <c r="U17" i="1"/>
  <c r="U40" i="1"/>
  <c r="U77" i="1"/>
  <c r="U88" i="1"/>
  <c r="U23" i="1"/>
  <c r="U49" i="1"/>
  <c r="U16" i="1"/>
  <c r="U27" i="1"/>
  <c r="U69" i="1"/>
  <c r="U86" i="1"/>
  <c r="U6" i="1"/>
  <c r="U41" i="1"/>
  <c r="U13" i="1"/>
  <c r="Q52" i="5"/>
  <c r="S52" i="5" s="1"/>
  <c r="I53" i="1" s="1"/>
  <c r="U15" i="1"/>
  <c r="U80" i="1"/>
  <c r="U61" i="1"/>
  <c r="U74" i="1"/>
  <c r="U76" i="1"/>
  <c r="U92" i="1"/>
  <c r="U30" i="1"/>
  <c r="U8" i="1"/>
  <c r="Q87" i="5"/>
  <c r="S87" i="5" s="1"/>
  <c r="I88" i="1" s="1"/>
  <c r="U87" i="1"/>
  <c r="U72" i="1"/>
  <c r="U53" i="1"/>
  <c r="U84" i="1"/>
  <c r="U66" i="1"/>
  <c r="U68" i="1"/>
  <c r="U81" i="1"/>
  <c r="U25" i="1"/>
  <c r="U5" i="1"/>
  <c r="U34" i="1"/>
  <c r="U42" i="1"/>
  <c r="U58" i="1"/>
  <c r="U79" i="1"/>
  <c r="Q75" i="5"/>
  <c r="Q63" i="5"/>
  <c r="S63" i="5" s="1"/>
  <c r="I64" i="1" s="1"/>
  <c r="Q88" i="5"/>
  <c r="S88" i="5" s="1"/>
  <c r="I89" i="1" s="1"/>
  <c r="Q4" i="5"/>
  <c r="R4" i="5" s="1"/>
  <c r="H5" i="1" s="1"/>
  <c r="U62" i="1"/>
  <c r="U11" i="1"/>
  <c r="U37" i="1"/>
  <c r="U12" i="1"/>
  <c r="U31" i="1"/>
  <c r="U96" i="1"/>
  <c r="U55" i="1"/>
  <c r="Q16" i="5"/>
  <c r="U26" i="1"/>
  <c r="U47" i="1"/>
  <c r="U78" i="1"/>
  <c r="U36" i="1"/>
  <c r="U18" i="1"/>
  <c r="U48" i="1"/>
  <c r="U63" i="1"/>
  <c r="U9" i="1"/>
  <c r="U94" i="1"/>
  <c r="U70" i="1"/>
  <c r="U20" i="1"/>
  <c r="U83" i="1"/>
  <c r="U90" i="1"/>
  <c r="U73" i="1"/>
  <c r="U46" i="1"/>
  <c r="Q82" i="5"/>
  <c r="I83" i="1" s="1"/>
  <c r="U39" i="1"/>
  <c r="S179" i="5"/>
  <c r="R179" i="5"/>
  <c r="S178" i="5"/>
  <c r="R178" i="5"/>
  <c r="S177" i="5"/>
  <c r="R177" i="5"/>
  <c r="S176" i="5"/>
  <c r="R176" i="5"/>
  <c r="S175" i="5"/>
  <c r="R175" i="5"/>
  <c r="S174" i="5"/>
  <c r="R174" i="5"/>
  <c r="S173" i="5"/>
  <c r="R173" i="5"/>
  <c r="S172" i="5"/>
  <c r="R172" i="5"/>
  <c r="S171" i="5"/>
  <c r="R171" i="5"/>
  <c r="S170" i="5"/>
  <c r="R170" i="5"/>
  <c r="S169" i="5"/>
  <c r="R169" i="5"/>
  <c r="S168" i="5"/>
  <c r="R168" i="5"/>
  <c r="S167" i="5"/>
  <c r="R167" i="5"/>
  <c r="S166" i="5"/>
  <c r="R166" i="5"/>
  <c r="S165" i="5"/>
  <c r="R165" i="5"/>
  <c r="S164" i="5"/>
  <c r="R164" i="5"/>
  <c r="S163" i="5"/>
  <c r="R163" i="5"/>
  <c r="S162" i="5"/>
  <c r="R162" i="5"/>
  <c r="S161" i="5"/>
  <c r="R161" i="5"/>
  <c r="S160" i="5"/>
  <c r="R160" i="5"/>
  <c r="S159" i="5"/>
  <c r="R159" i="5"/>
  <c r="S158" i="5"/>
  <c r="R158" i="5"/>
  <c r="S157" i="5"/>
  <c r="R157" i="5"/>
  <c r="S156" i="5"/>
  <c r="R156" i="5"/>
  <c r="S155" i="5"/>
  <c r="R155" i="5"/>
  <c r="S154" i="5"/>
  <c r="R154" i="5"/>
  <c r="S153" i="5"/>
  <c r="R153" i="5"/>
  <c r="S152" i="5"/>
  <c r="R152" i="5"/>
  <c r="S151" i="5"/>
  <c r="R151" i="5"/>
  <c r="S150" i="5"/>
  <c r="R150" i="5"/>
  <c r="S149" i="5"/>
  <c r="R149" i="5"/>
  <c r="S148" i="5"/>
  <c r="R148" i="5"/>
  <c r="S147" i="5"/>
  <c r="R147" i="5"/>
  <c r="S146" i="5"/>
  <c r="R146" i="5"/>
  <c r="S145" i="5"/>
  <c r="R145" i="5"/>
  <c r="S144" i="5"/>
  <c r="R144" i="5"/>
  <c r="S143" i="5"/>
  <c r="R143" i="5"/>
  <c r="S142" i="5"/>
  <c r="R142" i="5"/>
  <c r="S141" i="5"/>
  <c r="R141" i="5"/>
  <c r="S140" i="5"/>
  <c r="R140" i="5"/>
  <c r="S139" i="5"/>
  <c r="R139" i="5"/>
  <c r="S138" i="5"/>
  <c r="R138" i="5"/>
  <c r="S137" i="5"/>
  <c r="R137" i="5"/>
  <c r="S136" i="5"/>
  <c r="R136" i="5"/>
  <c r="S135" i="5"/>
  <c r="R135" i="5"/>
  <c r="S134" i="5"/>
  <c r="R134" i="5"/>
  <c r="S133" i="5"/>
  <c r="R133" i="5"/>
  <c r="S132" i="5"/>
  <c r="R132" i="5"/>
  <c r="S131" i="5"/>
  <c r="R131" i="5"/>
  <c r="S130" i="5"/>
  <c r="R130" i="5"/>
  <c r="S129" i="5"/>
  <c r="R129" i="5"/>
  <c r="S128" i="5"/>
  <c r="R128" i="5"/>
  <c r="S127" i="5"/>
  <c r="R127" i="5"/>
  <c r="S126" i="5"/>
  <c r="R126" i="5"/>
  <c r="S125" i="5"/>
  <c r="R125" i="5"/>
  <c r="S124" i="5"/>
  <c r="R124" i="5"/>
  <c r="S123" i="5"/>
  <c r="R123" i="5"/>
  <c r="S122" i="5"/>
  <c r="R122" i="5"/>
  <c r="S121" i="5"/>
  <c r="R121" i="5"/>
  <c r="S120" i="5"/>
  <c r="R120" i="5"/>
  <c r="S119" i="5"/>
  <c r="R119" i="5"/>
  <c r="S118" i="5"/>
  <c r="R118" i="5"/>
  <c r="S117" i="5"/>
  <c r="R117" i="5"/>
  <c r="S116" i="5"/>
  <c r="R116" i="5"/>
  <c r="S115" i="5"/>
  <c r="R115" i="5"/>
  <c r="S114" i="5"/>
  <c r="R114" i="5"/>
  <c r="S113" i="5"/>
  <c r="R113" i="5"/>
  <c r="S112" i="5"/>
  <c r="R112" i="5"/>
  <c r="S111" i="5"/>
  <c r="R111" i="5"/>
  <c r="S110" i="5"/>
  <c r="R110" i="5"/>
  <c r="S109" i="5"/>
  <c r="R109" i="5"/>
  <c r="S108" i="5"/>
  <c r="R108" i="5"/>
  <c r="S107" i="5"/>
  <c r="R107" i="5"/>
  <c r="S106" i="5"/>
  <c r="R106" i="5"/>
  <c r="S105" i="5"/>
  <c r="R105" i="5"/>
  <c r="S104" i="5"/>
  <c r="R104" i="5"/>
  <c r="S103" i="5"/>
  <c r="R103" i="5"/>
  <c r="S102" i="5"/>
  <c r="R102" i="5"/>
  <c r="S101" i="5"/>
  <c r="R101" i="5"/>
  <c r="S100" i="5"/>
  <c r="R100" i="5"/>
  <c r="S99" i="5"/>
  <c r="R99" i="5"/>
  <c r="S98" i="5"/>
  <c r="R98" i="5"/>
  <c r="S97" i="5"/>
  <c r="R97" i="5"/>
  <c r="S96" i="5"/>
  <c r="R96" i="5"/>
  <c r="S94" i="5"/>
  <c r="I95" i="1" s="1"/>
  <c r="R94" i="5"/>
  <c r="H95" i="1" s="1"/>
  <c r="S93" i="5"/>
  <c r="I94" i="1" s="1"/>
  <c r="R93" i="5"/>
  <c r="H94" i="1" s="1"/>
  <c r="S92" i="5"/>
  <c r="I93" i="1" s="1"/>
  <c r="R92" i="5"/>
  <c r="H93" i="1" s="1"/>
  <c r="S90" i="5"/>
  <c r="I91" i="1" s="1"/>
  <c r="R90" i="5"/>
  <c r="H91" i="1" s="1"/>
  <c r="I90" i="1"/>
  <c r="S89" i="5"/>
  <c r="R89" i="5"/>
  <c r="H90" i="1" s="1"/>
  <c r="S86" i="5"/>
  <c r="I87" i="1" s="1"/>
  <c r="R86" i="5"/>
  <c r="H87" i="1" s="1"/>
  <c r="S85" i="5"/>
  <c r="I86" i="1" s="1"/>
  <c r="R85" i="5"/>
  <c r="H86" i="1" s="1"/>
  <c r="S84" i="5"/>
  <c r="I85" i="1" s="1"/>
  <c r="R84" i="5"/>
  <c r="H85" i="1" s="1"/>
  <c r="S83" i="5"/>
  <c r="I84" i="1" s="1"/>
  <c r="R83" i="5"/>
  <c r="H84" i="1" s="1"/>
  <c r="H81" i="1"/>
  <c r="S80" i="5"/>
  <c r="I81" i="1" s="1"/>
  <c r="R80" i="5"/>
  <c r="S79" i="5"/>
  <c r="I80" i="1" s="1"/>
  <c r="R79" i="5"/>
  <c r="H80" i="1" s="1"/>
  <c r="S78" i="5"/>
  <c r="I79" i="1" s="1"/>
  <c r="R78" i="5"/>
  <c r="H79" i="1" s="1"/>
  <c r="H77" i="1"/>
  <c r="S76" i="5"/>
  <c r="I77" i="1" s="1"/>
  <c r="R76" i="5"/>
  <c r="S75" i="5"/>
  <c r="I76" i="1" s="1"/>
  <c r="R75" i="5"/>
  <c r="H76" i="1" s="1"/>
  <c r="S74" i="5"/>
  <c r="I75" i="1" s="1"/>
  <c r="R74" i="5"/>
  <c r="H75" i="1" s="1"/>
  <c r="S73" i="5"/>
  <c r="I74" i="1" s="1"/>
  <c r="R73" i="5"/>
  <c r="H74" i="1" s="1"/>
  <c r="S72" i="5"/>
  <c r="I73" i="1" s="1"/>
  <c r="R72" i="5"/>
  <c r="H73" i="1" s="1"/>
  <c r="S71" i="5"/>
  <c r="I72" i="1" s="1"/>
  <c r="R71" i="5"/>
  <c r="H72" i="1" s="1"/>
  <c r="S70" i="5"/>
  <c r="I71" i="1" s="1"/>
  <c r="R70" i="5"/>
  <c r="H71" i="1" s="1"/>
  <c r="S69" i="5"/>
  <c r="I70" i="1" s="1"/>
  <c r="R69" i="5"/>
  <c r="H70" i="1" s="1"/>
  <c r="S68" i="5"/>
  <c r="I69" i="1" s="1"/>
  <c r="R68" i="5"/>
  <c r="H69" i="1" s="1"/>
  <c r="H67" i="1"/>
  <c r="S66" i="5"/>
  <c r="I67" i="1" s="1"/>
  <c r="R66" i="5"/>
  <c r="S65" i="5"/>
  <c r="I66" i="1" s="1"/>
  <c r="R65" i="5"/>
  <c r="H66" i="1" s="1"/>
  <c r="S64" i="5"/>
  <c r="I65" i="1" s="1"/>
  <c r="R64" i="5"/>
  <c r="H65" i="1" s="1"/>
  <c r="S62" i="5"/>
  <c r="I63" i="1" s="1"/>
  <c r="R62" i="5"/>
  <c r="H63" i="1" s="1"/>
  <c r="S61" i="5"/>
  <c r="I62" i="1" s="1"/>
  <c r="R61" i="5"/>
  <c r="H62" i="1" s="1"/>
  <c r="S59" i="5"/>
  <c r="I60" i="1" s="1"/>
  <c r="R59" i="5"/>
  <c r="H60" i="1" s="1"/>
  <c r="S58" i="5"/>
  <c r="I59" i="1" s="1"/>
  <c r="R58" i="5"/>
  <c r="H59" i="1" s="1"/>
  <c r="S57" i="5"/>
  <c r="I58" i="1" s="1"/>
  <c r="R57" i="5"/>
  <c r="H58" i="1" s="1"/>
  <c r="S56" i="5"/>
  <c r="I57" i="1" s="1"/>
  <c r="R56" i="5"/>
  <c r="H57" i="1" s="1"/>
  <c r="S55" i="5"/>
  <c r="I56" i="1" s="1"/>
  <c r="R55" i="5"/>
  <c r="H56" i="1" s="1"/>
  <c r="S54" i="5"/>
  <c r="I55" i="1" s="1"/>
  <c r="R54" i="5"/>
  <c r="H55" i="1" s="1"/>
  <c r="S53" i="5"/>
  <c r="I54" i="1" s="1"/>
  <c r="R53" i="5"/>
  <c r="H54" i="1" s="1"/>
  <c r="S51" i="5"/>
  <c r="I52" i="1" s="1"/>
  <c r="R51" i="5"/>
  <c r="H52" i="1" s="1"/>
  <c r="S50" i="5"/>
  <c r="I51" i="1" s="1"/>
  <c r="R50" i="5"/>
  <c r="H51" i="1" s="1"/>
  <c r="I50" i="1"/>
  <c r="S49" i="5"/>
  <c r="R49" i="5"/>
  <c r="H50" i="1" s="1"/>
  <c r="S48" i="5"/>
  <c r="I49" i="1" s="1"/>
  <c r="R48" i="5"/>
  <c r="H49" i="1" s="1"/>
  <c r="S46" i="5"/>
  <c r="I47" i="1" s="1"/>
  <c r="R46" i="5"/>
  <c r="H47" i="1" s="1"/>
  <c r="S45" i="5"/>
  <c r="I46" i="1" s="1"/>
  <c r="R45" i="5"/>
  <c r="H46" i="1" s="1"/>
  <c r="S44" i="5"/>
  <c r="I45" i="1" s="1"/>
  <c r="R44" i="5"/>
  <c r="H45" i="1" s="1"/>
  <c r="I44" i="1"/>
  <c r="S43" i="5"/>
  <c r="R43" i="5"/>
  <c r="H44" i="1" s="1"/>
  <c r="I43" i="1"/>
  <c r="S42" i="5"/>
  <c r="R42" i="5"/>
  <c r="H43" i="1" s="1"/>
  <c r="S41" i="5"/>
  <c r="I42" i="1" s="1"/>
  <c r="R41" i="5"/>
  <c r="H42" i="1" s="1"/>
  <c r="S40" i="5"/>
  <c r="I41" i="1" s="1"/>
  <c r="R40" i="5"/>
  <c r="H41" i="1" s="1"/>
  <c r="I40" i="1"/>
  <c r="S39" i="5"/>
  <c r="R39" i="5"/>
  <c r="H40" i="1" s="1"/>
  <c r="S38" i="5"/>
  <c r="I39" i="1" s="1"/>
  <c r="R38" i="5"/>
  <c r="H39" i="1" s="1"/>
  <c r="S37" i="5"/>
  <c r="I38" i="1" s="1"/>
  <c r="R37" i="5"/>
  <c r="H38" i="1" s="1"/>
  <c r="S34" i="5"/>
  <c r="I35" i="1" s="1"/>
  <c r="R34" i="5"/>
  <c r="H35" i="1" s="1"/>
  <c r="H34" i="1"/>
  <c r="S33" i="5"/>
  <c r="I34" i="1" s="1"/>
  <c r="R33" i="5"/>
  <c r="S32" i="5"/>
  <c r="I33" i="1" s="1"/>
  <c r="R32" i="5"/>
  <c r="H33" i="1" s="1"/>
  <c r="S30" i="5"/>
  <c r="I31" i="1" s="1"/>
  <c r="R30" i="5"/>
  <c r="H31" i="1" s="1"/>
  <c r="S29" i="5"/>
  <c r="I30" i="1" s="1"/>
  <c r="R29" i="5"/>
  <c r="H30" i="1" s="1"/>
  <c r="S28" i="5"/>
  <c r="I29" i="1" s="1"/>
  <c r="R28" i="5"/>
  <c r="H29" i="1" s="1"/>
  <c r="S27" i="5"/>
  <c r="I28" i="1" s="1"/>
  <c r="R27" i="5"/>
  <c r="H28" i="1" s="1"/>
  <c r="S26" i="5"/>
  <c r="I27" i="1" s="1"/>
  <c r="R26" i="5"/>
  <c r="H27" i="1" s="1"/>
  <c r="S25" i="5"/>
  <c r="I26" i="1" s="1"/>
  <c r="R25" i="5"/>
  <c r="H26" i="1" s="1"/>
  <c r="S24" i="5"/>
  <c r="I25" i="1" s="1"/>
  <c r="R24" i="5"/>
  <c r="H25" i="1" s="1"/>
  <c r="S23" i="5"/>
  <c r="I24" i="1" s="1"/>
  <c r="R23" i="5"/>
  <c r="H24" i="1" s="1"/>
  <c r="S21" i="5"/>
  <c r="I22" i="1" s="1"/>
  <c r="R21" i="5"/>
  <c r="H22" i="1" s="1"/>
  <c r="S20" i="5"/>
  <c r="I21" i="1" s="1"/>
  <c r="R20" i="5"/>
  <c r="H21" i="1" s="1"/>
  <c r="S19" i="5"/>
  <c r="I20" i="1" s="1"/>
  <c r="R19" i="5"/>
  <c r="H20" i="1" s="1"/>
  <c r="S18" i="5"/>
  <c r="I19" i="1" s="1"/>
  <c r="R18" i="5"/>
  <c r="H19" i="1" s="1"/>
  <c r="S17" i="5"/>
  <c r="I18" i="1" s="1"/>
  <c r="R17" i="5"/>
  <c r="H18" i="1" s="1"/>
  <c r="S16" i="5"/>
  <c r="I17" i="1" s="1"/>
  <c r="R16" i="5"/>
  <c r="H17" i="1" s="1"/>
  <c r="S15" i="5"/>
  <c r="I16" i="1" s="1"/>
  <c r="R15" i="5"/>
  <c r="H16" i="1" s="1"/>
  <c r="S14" i="5"/>
  <c r="I15" i="1" s="1"/>
  <c r="R14" i="5"/>
  <c r="H15" i="1" s="1"/>
  <c r="S12" i="5"/>
  <c r="I13" i="1" s="1"/>
  <c r="R12" i="5"/>
  <c r="H13" i="1" s="1"/>
  <c r="S11" i="5"/>
  <c r="I12" i="1" s="1"/>
  <c r="R11" i="5"/>
  <c r="H12" i="1" s="1"/>
  <c r="S10" i="5"/>
  <c r="I11" i="1" s="1"/>
  <c r="R10" i="5"/>
  <c r="H11" i="1" s="1"/>
  <c r="I10" i="1"/>
  <c r="S9" i="5"/>
  <c r="R9" i="5"/>
  <c r="H10" i="1" s="1"/>
  <c r="S8" i="5"/>
  <c r="I9" i="1" s="1"/>
  <c r="R8" i="5"/>
  <c r="H9" i="1" s="1"/>
  <c r="S7" i="5"/>
  <c r="I8" i="1" s="1"/>
  <c r="R7" i="5"/>
  <c r="H8" i="1" s="1"/>
  <c r="S6" i="5"/>
  <c r="I7" i="1" s="1"/>
  <c r="R6" i="5"/>
  <c r="H7" i="1" s="1"/>
  <c r="S5" i="5"/>
  <c r="I6" i="1" s="1"/>
  <c r="R5" i="5"/>
  <c r="H6" i="1" s="1"/>
  <c r="S4" i="5"/>
  <c r="I5" i="1" s="1"/>
  <c r="Q13" i="5"/>
  <c r="D14" i="1"/>
  <c r="Q31" i="5"/>
  <c r="D32" i="1"/>
  <c r="M32" i="1" s="1"/>
  <c r="Q35" i="5"/>
  <c r="D36" i="1"/>
  <c r="M36" i="1" s="1"/>
  <c r="Q36" i="5"/>
  <c r="D37" i="1"/>
  <c r="M37" i="1" s="1"/>
  <c r="Q47" i="5"/>
  <c r="D48" i="1"/>
  <c r="M48" i="1" s="1"/>
  <c r="Q60" i="5"/>
  <c r="D61" i="1"/>
  <c r="M61" i="1" s="1"/>
  <c r="Q77" i="5"/>
  <c r="D78" i="1"/>
  <c r="M78" i="1" s="1"/>
  <c r="Q81" i="5"/>
  <c r="D82" i="1"/>
  <c r="M82" i="1" s="1"/>
  <c r="Q95" i="5"/>
  <c r="D96" i="1"/>
  <c r="M96" i="1" s="1"/>
  <c r="R67" i="5" l="1"/>
  <c r="H68" i="1" s="1"/>
  <c r="R63" i="5"/>
  <c r="H64" i="1" s="1"/>
  <c r="R91" i="5"/>
  <c r="H92" i="1" s="1"/>
  <c r="R52" i="5"/>
  <c r="H53" i="1" s="1"/>
  <c r="U46" i="5"/>
  <c r="R22" i="5"/>
  <c r="H23" i="1" s="1"/>
  <c r="R87" i="5"/>
  <c r="H88" i="1" s="1"/>
  <c r="R82" i="5"/>
  <c r="S82" i="5"/>
  <c r="U35" i="5"/>
  <c r="U7" i="5"/>
  <c r="U55" i="5"/>
  <c r="U66" i="5"/>
  <c r="U44" i="5"/>
  <c r="H83" i="1"/>
  <c r="U62" i="5"/>
  <c r="U27" i="5"/>
  <c r="R88" i="5"/>
  <c r="H89" i="1" s="1"/>
  <c r="U57" i="5"/>
  <c r="U68" i="5"/>
  <c r="S95" i="5"/>
  <c r="I96" i="1" s="1"/>
  <c r="R95" i="5"/>
  <c r="H96" i="1" s="1"/>
  <c r="S81" i="5"/>
  <c r="I82" i="1" s="1"/>
  <c r="R81" i="5"/>
  <c r="H82" i="1" s="1"/>
  <c r="S77" i="5"/>
  <c r="I78" i="1" s="1"/>
  <c r="R77" i="5"/>
  <c r="H78" i="1" s="1"/>
  <c r="S60" i="5"/>
  <c r="I61" i="1" s="1"/>
  <c r="R60" i="5"/>
  <c r="H61" i="1" s="1"/>
  <c r="S47" i="5"/>
  <c r="I48" i="1" s="1"/>
  <c r="R47" i="5"/>
  <c r="H48" i="1" s="1"/>
  <c r="S36" i="5"/>
  <c r="I37" i="1" s="1"/>
  <c r="R36" i="5"/>
  <c r="H37" i="1" s="1"/>
  <c r="S35" i="5"/>
  <c r="I36" i="1" s="1"/>
  <c r="R35" i="5"/>
  <c r="H36" i="1" s="1"/>
  <c r="S31" i="5"/>
  <c r="I32" i="1" s="1"/>
  <c r="R31" i="5"/>
  <c r="H32" i="1" s="1"/>
  <c r="M14" i="1"/>
  <c r="U70" i="5"/>
  <c r="U69" i="5"/>
  <c r="U67" i="5"/>
  <c r="U65" i="5"/>
  <c r="U64" i="5"/>
  <c r="U63" i="5"/>
  <c r="U61" i="5"/>
  <c r="U60" i="5"/>
  <c r="U59" i="5"/>
  <c r="U58" i="5"/>
  <c r="U56" i="5"/>
  <c r="U54" i="5"/>
  <c r="U53" i="5"/>
  <c r="U52" i="5"/>
  <c r="U51" i="5"/>
  <c r="U50" i="5"/>
  <c r="U49" i="5"/>
  <c r="U48" i="5"/>
  <c r="U47" i="5"/>
  <c r="U45" i="5"/>
  <c r="U43" i="5"/>
  <c r="U42" i="5"/>
  <c r="U41" i="5"/>
  <c r="U40" i="5"/>
  <c r="U39" i="5"/>
  <c r="U38" i="5"/>
  <c r="U37" i="5"/>
  <c r="U36" i="5"/>
  <c r="U34" i="5"/>
  <c r="U33" i="5"/>
  <c r="U32" i="5"/>
  <c r="U31" i="5"/>
  <c r="U30" i="5"/>
  <c r="U29" i="5"/>
  <c r="U28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6" i="5"/>
  <c r="U5" i="5"/>
  <c r="S13" i="5"/>
  <c r="I14" i="1" s="1"/>
  <c r="R13" i="5"/>
  <c r="H14" i="1" s="1"/>
  <c r="K5" i="1"/>
  <c r="K2" i="1" s="1"/>
  <c r="L5" i="1"/>
  <c r="G2" i="3" l="1" a="1"/>
  <c r="G52" i="3" s="1"/>
  <c r="I2" i="1"/>
  <c r="B10" i="7" a="1"/>
  <c r="B10" i="7" s="1"/>
  <c r="H2" i="1"/>
  <c r="D3" i="1" a="1"/>
  <c r="D3" i="1" s="1"/>
  <c r="L2" i="1"/>
  <c r="H2" i="3" a="1"/>
  <c r="G35" i="3" l="1"/>
  <c r="G46" i="3"/>
  <c r="G11" i="3"/>
  <c r="G12" i="3"/>
  <c r="G48" i="3"/>
  <c r="G13" i="3"/>
  <c r="G37" i="3"/>
  <c r="G5" i="3"/>
  <c r="G17" i="3"/>
  <c r="G29" i="3"/>
  <c r="G41" i="3"/>
  <c r="G53" i="3"/>
  <c r="G6" i="3"/>
  <c r="G18" i="3"/>
  <c r="G30" i="3"/>
  <c r="G42" i="3"/>
  <c r="G54" i="3"/>
  <c r="G7" i="3"/>
  <c r="G19" i="3"/>
  <c r="G31" i="3"/>
  <c r="G43" i="3"/>
  <c r="G55" i="3"/>
  <c r="G10" i="3"/>
  <c r="G34" i="3"/>
  <c r="G47" i="3"/>
  <c r="G8" i="3"/>
  <c r="G20" i="3"/>
  <c r="G32" i="3"/>
  <c r="G44" i="3"/>
  <c r="G56" i="3"/>
  <c r="G9" i="3"/>
  <c r="G21" i="3"/>
  <c r="G33" i="3"/>
  <c r="G45" i="3"/>
  <c r="G57" i="3"/>
  <c r="G22" i="3"/>
  <c r="G23" i="3"/>
  <c r="G24" i="3"/>
  <c r="G36" i="3"/>
  <c r="G25" i="3"/>
  <c r="G49" i="3"/>
  <c r="G2" i="3"/>
  <c r="G14" i="3"/>
  <c r="G26" i="3"/>
  <c r="G38" i="3"/>
  <c r="G50" i="3"/>
  <c r="G3" i="3"/>
  <c r="G15" i="3"/>
  <c r="G27" i="3"/>
  <c r="G39" i="3"/>
  <c r="G51" i="3"/>
  <c r="G4" i="3"/>
  <c r="G16" i="3"/>
  <c r="G28" i="3"/>
  <c r="G40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G1" i="3" l="1"/>
  <c r="AC2" i="1"/>
  <c r="AD2" i="1"/>
  <c r="H1" i="3"/>
  <c r="H23" i="4" l="1"/>
  <c r="H28" i="4"/>
  <c r="H33" i="4"/>
  <c r="E7" i="4"/>
  <c r="H15" i="4"/>
  <c r="H20" i="4"/>
  <c r="H31" i="4"/>
  <c r="H36" i="4"/>
  <c r="E31" i="4"/>
  <c r="H42" i="4"/>
  <c r="H16" i="4"/>
  <c r="E36" i="4"/>
  <c r="E9" i="4"/>
  <c r="E25" i="4"/>
  <c r="E41" i="4"/>
  <c r="E46" i="4"/>
  <c r="F5" i="4" a="1"/>
  <c r="H27" i="4" l="1"/>
  <c r="H41" i="4"/>
  <c r="H40" i="4"/>
  <c r="H39" i="4"/>
  <c r="E17" i="4"/>
  <c r="H13" i="4"/>
  <c r="E43" i="4"/>
  <c r="H35" i="4"/>
  <c r="E12" i="4"/>
  <c r="G33" i="4"/>
  <c r="H32" i="4"/>
  <c r="I32" i="4" s="1"/>
  <c r="G23" i="4"/>
  <c r="I23" i="4" s="1"/>
  <c r="H44" i="4"/>
  <c r="E15" i="4"/>
  <c r="E16" i="4"/>
  <c r="G37" i="4"/>
  <c r="E8" i="4"/>
  <c r="G36" i="4"/>
  <c r="E29" i="4"/>
  <c r="H22" i="4"/>
  <c r="H43" i="4"/>
  <c r="E20" i="4"/>
  <c r="E35" i="4"/>
  <c r="U5" i="4" a="1"/>
  <c r="U5" i="4" s="1"/>
  <c r="G29" i="4"/>
  <c r="U12" i="4" a="1"/>
  <c r="U12" i="4" s="1"/>
  <c r="E45" i="4"/>
  <c r="H25" i="4"/>
  <c r="G18" i="4"/>
  <c r="G20" i="4"/>
  <c r="G42" i="4"/>
  <c r="H38" i="4"/>
  <c r="H21" i="4"/>
  <c r="E37" i="4"/>
  <c r="H14" i="4"/>
  <c r="G12" i="4"/>
  <c r="G28" i="4"/>
  <c r="I28" i="4" s="1"/>
  <c r="G25" i="4"/>
  <c r="G30" i="4"/>
  <c r="E28" i="4"/>
  <c r="G43" i="4"/>
  <c r="G41" i="4"/>
  <c r="G32" i="4"/>
  <c r="G11" i="4"/>
  <c r="H46" i="4"/>
  <c r="E24" i="4"/>
  <c r="G44" i="4"/>
  <c r="I44" i="4" s="1"/>
  <c r="G13" i="4"/>
  <c r="I13" i="4" s="1"/>
  <c r="H12" i="4"/>
  <c r="H37" i="4"/>
  <c r="E27" i="4"/>
  <c r="G40" i="4"/>
  <c r="I40" i="4" s="1"/>
  <c r="E19" i="4"/>
  <c r="G39" i="4"/>
  <c r="U33" i="4" a="1"/>
  <c r="U33" i="4" s="1"/>
  <c r="U13" i="4" a="1"/>
  <c r="U13" i="4" s="1"/>
  <c r="G26" i="4"/>
  <c r="H18" i="4"/>
  <c r="E44" i="4"/>
  <c r="U22" i="4" a="1"/>
  <c r="U22" i="4" s="1"/>
  <c r="U23" i="4" a="1"/>
  <c r="U23" i="4" s="1"/>
  <c r="G8" i="4"/>
  <c r="U25" i="4" a="1"/>
  <c r="U25" i="4" s="1"/>
  <c r="G9" i="4"/>
  <c r="E23" i="4"/>
  <c r="G35" i="4"/>
  <c r="H9" i="4"/>
  <c r="G22" i="4"/>
  <c r="E33" i="4"/>
  <c r="U6" i="4" a="1"/>
  <c r="U6" i="4" s="1"/>
  <c r="E39" i="4"/>
  <c r="G16" i="4"/>
  <c r="I16" i="4" s="1"/>
  <c r="G15" i="4"/>
  <c r="I15" i="4" s="1"/>
  <c r="G38" i="4"/>
  <c r="I38" i="4" s="1"/>
  <c r="H7" i="4"/>
  <c r="H30" i="4"/>
  <c r="G27" i="4"/>
  <c r="I27" i="4" s="1"/>
  <c r="H11" i="4"/>
  <c r="G17" i="4"/>
  <c r="H17" i="4"/>
  <c r="E40" i="4"/>
  <c r="H8" i="4"/>
  <c r="G7" i="4"/>
  <c r="G21" i="4"/>
  <c r="I21" i="4" s="1"/>
  <c r="F7" i="4"/>
  <c r="E21" i="4"/>
  <c r="U8" i="4" a="1"/>
  <c r="U8" i="4" s="1"/>
  <c r="U46" i="4" a="1"/>
  <c r="U46" i="4" s="1"/>
  <c r="U24" i="4" a="1"/>
  <c r="U24" i="4" s="1"/>
  <c r="U29" i="4" a="1"/>
  <c r="U29" i="4" s="1"/>
  <c r="U20" i="4" a="1"/>
  <c r="U20" i="4" s="1"/>
  <c r="U17" i="4" a="1"/>
  <c r="U17" i="4" s="1"/>
  <c r="U26" i="4" a="1"/>
  <c r="U26" i="4" s="1"/>
  <c r="U41" i="4" a="1"/>
  <c r="U41" i="4" s="1"/>
  <c r="U32" i="4" a="1"/>
  <c r="U32" i="4" s="1"/>
  <c r="U37" i="4" a="1"/>
  <c r="U37" i="4" s="1"/>
  <c r="U38" i="4" a="1"/>
  <c r="U38" i="4" s="1"/>
  <c r="U11" i="4" a="1"/>
  <c r="U11" i="4" s="1"/>
  <c r="U44" i="4" a="1"/>
  <c r="U44" i="4" s="1"/>
  <c r="H34" i="4"/>
  <c r="U15" i="4" a="1"/>
  <c r="U15" i="4" s="1"/>
  <c r="U18" i="4" a="1"/>
  <c r="U18" i="4" s="1"/>
  <c r="U9" i="4" a="1"/>
  <c r="U9" i="4" s="1"/>
  <c r="E32" i="4"/>
  <c r="G46" i="4"/>
  <c r="I46" i="4" s="1"/>
  <c r="H26" i="4"/>
  <c r="U27" i="4" a="1"/>
  <c r="U27" i="4" s="1"/>
  <c r="U30" i="4" a="1"/>
  <c r="U30" i="4" s="1"/>
  <c r="U21" i="4" a="1"/>
  <c r="U21" i="4" s="1"/>
  <c r="G31" i="4"/>
  <c r="I31" i="4" s="1"/>
  <c r="H19" i="4"/>
  <c r="G24" i="4"/>
  <c r="U39" i="4" a="1"/>
  <c r="U39" i="4" s="1"/>
  <c r="U42" i="4" a="1"/>
  <c r="U42" i="4" s="1"/>
  <c r="E11" i="4"/>
  <c r="G19" i="4"/>
  <c r="H24" i="4"/>
  <c r="U35" i="4" a="1"/>
  <c r="U35" i="4" s="1"/>
  <c r="U7" i="4" a="1"/>
  <c r="U7" i="4" s="1"/>
  <c r="U45" i="4" a="1"/>
  <c r="U45" i="4" s="1"/>
  <c r="E18" i="4"/>
  <c r="E13" i="4"/>
  <c r="U36" i="4" a="1"/>
  <c r="U36" i="4" s="1"/>
  <c r="U16" i="4" a="1"/>
  <c r="U16" i="4" s="1"/>
  <c r="U19" i="4" a="1"/>
  <c r="U19" i="4" s="1"/>
  <c r="U28" i="4" a="1"/>
  <c r="U28" i="4" s="1"/>
  <c r="U31" i="4" a="1"/>
  <c r="U31" i="4" s="1"/>
  <c r="U34" i="4" a="1"/>
  <c r="U34" i="4" s="1"/>
  <c r="U14" i="4" a="1"/>
  <c r="U14" i="4" s="1"/>
  <c r="H10" i="4"/>
  <c r="E5" i="4"/>
  <c r="U40" i="4" a="1"/>
  <c r="U40" i="4" s="1"/>
  <c r="U43" i="4" a="1"/>
  <c r="U43" i="4" s="1"/>
  <c r="U10" i="4" a="1"/>
  <c r="U10" i="4" s="1"/>
  <c r="E42" i="4"/>
  <c r="G14" i="4"/>
  <c r="G45" i="4"/>
  <c r="E22" i="4"/>
  <c r="H45" i="4"/>
  <c r="E6" i="4"/>
  <c r="H5" i="4"/>
  <c r="G5" i="4"/>
  <c r="I42" i="4"/>
  <c r="E30" i="4"/>
  <c r="I41" i="4"/>
  <c r="E14" i="4"/>
  <c r="H29" i="4"/>
  <c r="G34" i="4"/>
  <c r="E38" i="4"/>
  <c r="G10" i="4"/>
  <c r="I39" i="4"/>
  <c r="I33" i="4"/>
  <c r="E34" i="4"/>
  <c r="E26" i="4"/>
  <c r="I37" i="4"/>
  <c r="G6" i="4"/>
  <c r="H6" i="4"/>
  <c r="E10" i="4"/>
  <c r="I22" i="4"/>
  <c r="F34" i="4"/>
  <c r="F26" i="4"/>
  <c r="F22" i="4"/>
  <c r="F18" i="4"/>
  <c r="F14" i="4"/>
  <c r="F10" i="4"/>
  <c r="F6" i="4"/>
  <c r="F46" i="4"/>
  <c r="F21" i="4"/>
  <c r="F5" i="4"/>
  <c r="F30" i="4"/>
  <c r="F41" i="4"/>
  <c r="F25" i="4"/>
  <c r="F33" i="4"/>
  <c r="F38" i="4"/>
  <c r="F45" i="4"/>
  <c r="F9" i="4"/>
  <c r="F44" i="4"/>
  <c r="F40" i="4"/>
  <c r="F36" i="4"/>
  <c r="F32" i="4"/>
  <c r="F28" i="4"/>
  <c r="F24" i="4"/>
  <c r="F20" i="4"/>
  <c r="F16" i="4"/>
  <c r="F12" i="4"/>
  <c r="F8" i="4"/>
  <c r="F29" i="4"/>
  <c r="F37" i="4"/>
  <c r="F17" i="4"/>
  <c r="F42" i="4"/>
  <c r="F13" i="4"/>
  <c r="F43" i="4"/>
  <c r="F39" i="4"/>
  <c r="F35" i="4"/>
  <c r="F31" i="4"/>
  <c r="F27" i="4"/>
  <c r="F23" i="4"/>
  <c r="F19" i="4"/>
  <c r="F15" i="4"/>
  <c r="F11" i="4"/>
  <c r="F198" i="4"/>
  <c r="F186" i="4"/>
  <c r="F174" i="4"/>
  <c r="F162" i="4"/>
  <c r="F150" i="4"/>
  <c r="F138" i="4"/>
  <c r="F126" i="4"/>
  <c r="F114" i="4"/>
  <c r="F102" i="4"/>
  <c r="F90" i="4"/>
  <c r="F78" i="4"/>
  <c r="F66" i="4"/>
  <c r="F54" i="4"/>
  <c r="F158" i="4"/>
  <c r="F74" i="4"/>
  <c r="F193" i="4"/>
  <c r="F145" i="4"/>
  <c r="F97" i="4"/>
  <c r="F73" i="4"/>
  <c r="F71" i="4"/>
  <c r="F175" i="4"/>
  <c r="F55" i="4"/>
  <c r="F197" i="4"/>
  <c r="F185" i="4"/>
  <c r="F173" i="4"/>
  <c r="F161" i="4"/>
  <c r="F149" i="4"/>
  <c r="F137" i="4"/>
  <c r="F125" i="4"/>
  <c r="F113" i="4"/>
  <c r="F101" i="4"/>
  <c r="F89" i="4"/>
  <c r="F77" i="4"/>
  <c r="F65" i="4"/>
  <c r="F53" i="4"/>
  <c r="F170" i="4"/>
  <c r="F98" i="4"/>
  <c r="F181" i="4"/>
  <c r="F139" i="4"/>
  <c r="F196" i="4"/>
  <c r="F184" i="4"/>
  <c r="F172" i="4"/>
  <c r="F160" i="4"/>
  <c r="F148" i="4"/>
  <c r="F136" i="4"/>
  <c r="F124" i="4"/>
  <c r="F112" i="4"/>
  <c r="F100" i="4"/>
  <c r="F88" i="4"/>
  <c r="F76" i="4"/>
  <c r="F64" i="4"/>
  <c r="F52" i="4"/>
  <c r="F194" i="4"/>
  <c r="F146" i="4"/>
  <c r="F110" i="4"/>
  <c r="F62" i="4"/>
  <c r="F121" i="4"/>
  <c r="F49" i="4"/>
  <c r="F191" i="4"/>
  <c r="F155" i="4"/>
  <c r="F131" i="4"/>
  <c r="F95" i="4"/>
  <c r="F91" i="4"/>
  <c r="F195" i="4"/>
  <c r="F183" i="4"/>
  <c r="F171" i="4"/>
  <c r="F159" i="4"/>
  <c r="F147" i="4"/>
  <c r="F135" i="4"/>
  <c r="F123" i="4"/>
  <c r="F111" i="4"/>
  <c r="F99" i="4"/>
  <c r="F87" i="4"/>
  <c r="F75" i="4"/>
  <c r="F63" i="4"/>
  <c r="F51" i="4"/>
  <c r="F182" i="4"/>
  <c r="F134" i="4"/>
  <c r="F122" i="4"/>
  <c r="F86" i="4"/>
  <c r="F50" i="4"/>
  <c r="F169" i="4"/>
  <c r="F133" i="4"/>
  <c r="F109" i="4"/>
  <c r="F85" i="4"/>
  <c r="F61" i="4"/>
  <c r="F167" i="4"/>
  <c r="F143" i="4"/>
  <c r="F119" i="4"/>
  <c r="F59" i="4"/>
  <c r="F103" i="4"/>
  <c r="F179" i="4"/>
  <c r="F107" i="4"/>
  <c r="F47" i="4"/>
  <c r="F127" i="4"/>
  <c r="F157" i="4"/>
  <c r="F192" i="4"/>
  <c r="F180" i="4"/>
  <c r="F168" i="4"/>
  <c r="F156" i="4"/>
  <c r="F144" i="4"/>
  <c r="F132" i="4"/>
  <c r="F120" i="4"/>
  <c r="F108" i="4"/>
  <c r="F96" i="4"/>
  <c r="F84" i="4"/>
  <c r="F72" i="4"/>
  <c r="F60" i="4"/>
  <c r="F48" i="4"/>
  <c r="F83" i="4"/>
  <c r="F79" i="4"/>
  <c r="F190" i="4"/>
  <c r="F178" i="4"/>
  <c r="F166" i="4"/>
  <c r="F154" i="4"/>
  <c r="F142" i="4"/>
  <c r="F130" i="4"/>
  <c r="F118" i="4"/>
  <c r="F106" i="4"/>
  <c r="F94" i="4"/>
  <c r="F82" i="4"/>
  <c r="F70" i="4"/>
  <c r="F58" i="4"/>
  <c r="F177" i="4"/>
  <c r="F165" i="4"/>
  <c r="F153" i="4"/>
  <c r="F141" i="4"/>
  <c r="F129" i="4"/>
  <c r="F117" i="4"/>
  <c r="F105" i="4"/>
  <c r="F93" i="4"/>
  <c r="F81" i="4"/>
  <c r="F69" i="4"/>
  <c r="F57" i="4"/>
  <c r="F163" i="4"/>
  <c r="F67" i="4"/>
  <c r="F189" i="4"/>
  <c r="F199" i="4"/>
  <c r="F200" i="4"/>
  <c r="F188" i="4"/>
  <c r="F176" i="4"/>
  <c r="F164" i="4"/>
  <c r="F152" i="4"/>
  <c r="F140" i="4"/>
  <c r="F128" i="4"/>
  <c r="F116" i="4"/>
  <c r="F104" i="4"/>
  <c r="F92" i="4"/>
  <c r="F80" i="4"/>
  <c r="F68" i="4"/>
  <c r="F56" i="4"/>
  <c r="F187" i="4"/>
  <c r="F151" i="4"/>
  <c r="F115" i="4"/>
  <c r="I17" i="4"/>
  <c r="I36" i="4"/>
  <c r="I20" i="4"/>
  <c r="I8" i="4"/>
  <c r="I26" i="4" l="1"/>
  <c r="I19" i="4"/>
  <c r="I35" i="4"/>
  <c r="I12" i="4"/>
  <c r="I5" i="4"/>
  <c r="I29" i="4"/>
  <c r="I43" i="4"/>
  <c r="I18" i="4"/>
  <c r="I30" i="4"/>
  <c r="I9" i="4"/>
  <c r="I25" i="4"/>
  <c r="I7" i="4"/>
  <c r="I6" i="4"/>
  <c r="I10" i="4"/>
  <c r="I14" i="4"/>
  <c r="I24" i="4"/>
  <c r="I11" i="4"/>
  <c r="I45" i="4"/>
  <c r="I34" i="4"/>
  <c r="J5" i="4" a="1"/>
  <c r="J30" i="4" s="1"/>
  <c r="N30" i="4" l="1"/>
  <c r="K30" i="4"/>
  <c r="J23" i="4"/>
  <c r="J44" i="4"/>
  <c r="J15" i="4"/>
  <c r="J13" i="4"/>
  <c r="J17" i="4"/>
  <c r="J39" i="4"/>
  <c r="J35" i="4"/>
  <c r="J36" i="4"/>
  <c r="J34" i="4"/>
  <c r="J14" i="4"/>
  <c r="J21" i="4"/>
  <c r="J42" i="4"/>
  <c r="J19" i="4"/>
  <c r="J46" i="4"/>
  <c r="J20" i="4"/>
  <c r="J27" i="4"/>
  <c r="J9" i="4"/>
  <c r="J32" i="4"/>
  <c r="J28" i="4"/>
  <c r="J38" i="4"/>
  <c r="J18" i="4"/>
  <c r="J45" i="4"/>
  <c r="J24" i="4"/>
  <c r="J11" i="4"/>
  <c r="J43" i="4"/>
  <c r="J22" i="4"/>
  <c r="J31" i="4"/>
  <c r="J26" i="4"/>
  <c r="J10" i="4"/>
  <c r="J8" i="4"/>
  <c r="J50" i="4"/>
  <c r="J61" i="4"/>
  <c r="J73" i="4"/>
  <c r="J85" i="4"/>
  <c r="J95" i="4"/>
  <c r="J105" i="4"/>
  <c r="J117" i="4"/>
  <c r="J135" i="4"/>
  <c r="J145" i="4"/>
  <c r="J153" i="4"/>
  <c r="J164" i="4"/>
  <c r="J176" i="4"/>
  <c r="J184" i="4"/>
  <c r="J195" i="4"/>
  <c r="J51" i="4"/>
  <c r="J62" i="4"/>
  <c r="J74" i="4"/>
  <c r="J96" i="4"/>
  <c r="J106" i="4"/>
  <c r="J118" i="4"/>
  <c r="J146" i="4"/>
  <c r="J154" i="4"/>
  <c r="J165" i="4"/>
  <c r="J177" i="4"/>
  <c r="J107" i="4"/>
  <c r="J136" i="4"/>
  <c r="J166" i="4"/>
  <c r="J185" i="4"/>
  <c r="J89" i="4"/>
  <c r="J156" i="4"/>
  <c r="J33" i="4"/>
  <c r="J54" i="4"/>
  <c r="J78" i="4"/>
  <c r="J90" i="4"/>
  <c r="J99" i="4"/>
  <c r="J129" i="4"/>
  <c r="J67" i="4"/>
  <c r="J130" i="4"/>
  <c r="J5" i="4"/>
  <c r="J41" i="4"/>
  <c r="J113" i="4"/>
  <c r="J131" i="4"/>
  <c r="J181" i="4"/>
  <c r="J114" i="4"/>
  <c r="J12" i="4"/>
  <c r="J86" i="4"/>
  <c r="J196" i="4"/>
  <c r="J63" i="4"/>
  <c r="J75" i="4"/>
  <c r="J76" i="4"/>
  <c r="J97" i="4"/>
  <c r="J198" i="4"/>
  <c r="J29" i="4"/>
  <c r="J120" i="4"/>
  <c r="J168" i="4"/>
  <c r="J187" i="4"/>
  <c r="J110" i="4"/>
  <c r="J188" i="4"/>
  <c r="J111" i="4"/>
  <c r="J170" i="4"/>
  <c r="J91" i="4"/>
  <c r="J93" i="4"/>
  <c r="J151" i="4"/>
  <c r="J104" i="4"/>
  <c r="J16" i="4"/>
  <c r="J52" i="4"/>
  <c r="J87" i="4"/>
  <c r="J119" i="4"/>
  <c r="J126" i="4"/>
  <c r="J147" i="4"/>
  <c r="J178" i="4"/>
  <c r="J197" i="4"/>
  <c r="J64" i="4"/>
  <c r="J108" i="4"/>
  <c r="J137" i="4"/>
  <c r="J155" i="4"/>
  <c r="J167" i="4"/>
  <c r="J65" i="4"/>
  <c r="J77" i="4"/>
  <c r="J109" i="4"/>
  <c r="J128" i="4"/>
  <c r="J138" i="4"/>
  <c r="J169" i="4"/>
  <c r="J55" i="4"/>
  <c r="J122" i="4"/>
  <c r="J158" i="4"/>
  <c r="J200" i="4"/>
  <c r="J101" i="4"/>
  <c r="J191" i="4"/>
  <c r="J47" i="4"/>
  <c r="J82" i="4"/>
  <c r="J142" i="4"/>
  <c r="J192" i="4"/>
  <c r="J103" i="4"/>
  <c r="J49" i="4"/>
  <c r="J94" i="4"/>
  <c r="J134" i="4"/>
  <c r="J175" i="4"/>
  <c r="J25" i="4"/>
  <c r="J88" i="4"/>
  <c r="J127" i="4"/>
  <c r="J186" i="4"/>
  <c r="J98" i="4"/>
  <c r="J179" i="4"/>
  <c r="J66" i="4"/>
  <c r="J139" i="4"/>
  <c r="J180" i="4"/>
  <c r="J190" i="4"/>
  <c r="J92" i="4"/>
  <c r="J160" i="4"/>
  <c r="J150" i="4"/>
  <c r="J83" i="4"/>
  <c r="J162" i="4"/>
  <c r="J53" i="4"/>
  <c r="J157" i="4"/>
  <c r="J37" i="4"/>
  <c r="J68" i="4"/>
  <c r="J171" i="4"/>
  <c r="J69" i="4"/>
  <c r="J58" i="4"/>
  <c r="J132" i="4"/>
  <c r="J59" i="4"/>
  <c r="J174" i="4"/>
  <c r="J72" i="4"/>
  <c r="J194" i="4"/>
  <c r="J121" i="4"/>
  <c r="J199" i="4"/>
  <c r="J100" i="4"/>
  <c r="J148" i="4"/>
  <c r="J189" i="4"/>
  <c r="J40" i="4"/>
  <c r="J57" i="4"/>
  <c r="J123" i="4"/>
  <c r="J141" i="4"/>
  <c r="J172" i="4"/>
  <c r="J71" i="4"/>
  <c r="J143" i="4"/>
  <c r="J193" i="4"/>
  <c r="J6" i="4"/>
  <c r="J163" i="4"/>
  <c r="J79" i="4"/>
  <c r="J80" i="4"/>
  <c r="J112" i="4"/>
  <c r="J140" i="4"/>
  <c r="J133" i="4"/>
  <c r="J144" i="4"/>
  <c r="J56" i="4"/>
  <c r="J159" i="4"/>
  <c r="J81" i="4"/>
  <c r="J149" i="4"/>
  <c r="J102" i="4"/>
  <c r="J161" i="4"/>
  <c r="J48" i="4"/>
  <c r="J124" i="4"/>
  <c r="J182" i="4"/>
  <c r="J84" i="4"/>
  <c r="J173" i="4"/>
  <c r="J115" i="4"/>
  <c r="J60" i="4"/>
  <c r="J116" i="4"/>
  <c r="J152" i="4"/>
  <c r="J183" i="4"/>
  <c r="J70" i="4"/>
  <c r="J125" i="4"/>
  <c r="J7" i="4"/>
  <c r="O30" i="4" l="1"/>
  <c r="L30" i="4" s="1"/>
  <c r="M30" i="4" s="1"/>
  <c r="L186" i="4"/>
  <c r="K186" i="4"/>
  <c r="N186" i="4"/>
  <c r="N120" i="4"/>
  <c r="L120" i="4"/>
  <c r="K120" i="4"/>
  <c r="N96" i="4"/>
  <c r="L96" i="4"/>
  <c r="K96" i="4"/>
  <c r="L191" i="4"/>
  <c r="K191" i="4"/>
  <c r="N191" i="4"/>
  <c r="K95" i="4"/>
  <c r="L95" i="4"/>
  <c r="N95" i="4"/>
  <c r="K159" i="4"/>
  <c r="L159" i="4"/>
  <c r="N159" i="4"/>
  <c r="N104" i="4"/>
  <c r="L104" i="4"/>
  <c r="K104" i="4"/>
  <c r="K85" i="4"/>
  <c r="N85" i="4"/>
  <c r="L85" i="4"/>
  <c r="K200" i="4"/>
  <c r="L200" i="4"/>
  <c r="N200" i="4"/>
  <c r="K51" i="4"/>
  <c r="L51" i="4"/>
  <c r="N51" i="4"/>
  <c r="K61" i="4"/>
  <c r="L61" i="4"/>
  <c r="N61" i="4"/>
  <c r="N124" i="4"/>
  <c r="L124" i="4"/>
  <c r="K124" i="4"/>
  <c r="L193" i="4"/>
  <c r="K193" i="4"/>
  <c r="N193" i="4"/>
  <c r="K42" i="4"/>
  <c r="N42" i="4"/>
  <c r="N152" i="4"/>
  <c r="L152" i="4"/>
  <c r="K152" i="4"/>
  <c r="K143" i="4"/>
  <c r="L143" i="4"/>
  <c r="N143" i="4"/>
  <c r="K194" i="4"/>
  <c r="N194" i="4"/>
  <c r="L194" i="4"/>
  <c r="N162" i="4"/>
  <c r="K162" i="4"/>
  <c r="L162" i="4"/>
  <c r="K167" i="4"/>
  <c r="N167" i="4"/>
  <c r="L167" i="4"/>
  <c r="K29" i="4"/>
  <c r="N29" i="4"/>
  <c r="K89" i="4"/>
  <c r="N89" i="4"/>
  <c r="L89" i="4"/>
  <c r="K21" i="4"/>
  <c r="N21" i="4"/>
  <c r="N72" i="4"/>
  <c r="L72" i="4"/>
  <c r="K72" i="4"/>
  <c r="K83" i="4"/>
  <c r="N83" i="4"/>
  <c r="L83" i="4"/>
  <c r="N88" i="4"/>
  <c r="L88" i="4"/>
  <c r="K88" i="4"/>
  <c r="L155" i="4"/>
  <c r="K155" i="4"/>
  <c r="N155" i="4"/>
  <c r="K198" i="4"/>
  <c r="L198" i="4"/>
  <c r="N198" i="4"/>
  <c r="L185" i="4"/>
  <c r="N185" i="4"/>
  <c r="K185" i="4"/>
  <c r="K14" i="4"/>
  <c r="N14" i="4"/>
  <c r="N60" i="4"/>
  <c r="K60" i="4"/>
  <c r="L60" i="4"/>
  <c r="N174" i="4"/>
  <c r="K174" i="4"/>
  <c r="L174" i="4"/>
  <c r="N150" i="4"/>
  <c r="L150" i="4"/>
  <c r="K150" i="4"/>
  <c r="L151" i="4"/>
  <c r="K151" i="4"/>
  <c r="N151" i="4"/>
  <c r="K97" i="4"/>
  <c r="N97" i="4"/>
  <c r="L97" i="4"/>
  <c r="N166" i="4"/>
  <c r="K166" i="4"/>
  <c r="L166" i="4"/>
  <c r="N34" i="4"/>
  <c r="K34" i="4"/>
  <c r="K115" i="4"/>
  <c r="L115" i="4"/>
  <c r="N115" i="4"/>
  <c r="N141" i="4"/>
  <c r="L141" i="4"/>
  <c r="K141" i="4"/>
  <c r="N160" i="4"/>
  <c r="L160" i="4"/>
  <c r="K160" i="4"/>
  <c r="L175" i="4"/>
  <c r="N175" i="4"/>
  <c r="K175" i="4"/>
  <c r="N158" i="4"/>
  <c r="K158" i="4"/>
  <c r="L158" i="4"/>
  <c r="K93" i="4"/>
  <c r="N93" i="4"/>
  <c r="L93" i="4"/>
  <c r="N130" i="4"/>
  <c r="K130" i="4"/>
  <c r="L130" i="4"/>
  <c r="L195" i="4"/>
  <c r="K195" i="4"/>
  <c r="N195" i="4"/>
  <c r="K36" i="4"/>
  <c r="N36" i="4"/>
  <c r="N133" i="4"/>
  <c r="L133" i="4"/>
  <c r="K133" i="4"/>
  <c r="K123" i="4"/>
  <c r="L123" i="4"/>
  <c r="N123" i="4"/>
  <c r="N132" i="4"/>
  <c r="L132" i="4"/>
  <c r="K132" i="4"/>
  <c r="N134" i="4"/>
  <c r="K134" i="4"/>
  <c r="L134" i="4"/>
  <c r="N122" i="4"/>
  <c r="L122" i="4"/>
  <c r="K122" i="4"/>
  <c r="K91" i="4"/>
  <c r="L91" i="4"/>
  <c r="N91" i="4"/>
  <c r="K67" i="4"/>
  <c r="N67" i="4"/>
  <c r="L67" i="4"/>
  <c r="N184" i="4"/>
  <c r="L184" i="4"/>
  <c r="K184" i="4"/>
  <c r="N28" i="4"/>
  <c r="K28" i="4"/>
  <c r="K55" i="4"/>
  <c r="L55" i="4"/>
  <c r="N55" i="4"/>
  <c r="N32" i="4"/>
  <c r="K32" i="4"/>
  <c r="K12" i="4"/>
  <c r="N12" i="4"/>
  <c r="N20" i="4"/>
  <c r="K20" i="4"/>
  <c r="K149" i="4"/>
  <c r="L149" i="4"/>
  <c r="N149" i="4"/>
  <c r="K121" i="4"/>
  <c r="L121" i="4"/>
  <c r="N121" i="4"/>
  <c r="K47" i="4"/>
  <c r="N47" i="4"/>
  <c r="L47" i="4"/>
  <c r="K65" i="4"/>
  <c r="L65" i="4"/>
  <c r="N65" i="4"/>
  <c r="L131" i="4"/>
  <c r="N131" i="4"/>
  <c r="K131" i="4"/>
  <c r="N156" i="4"/>
  <c r="L156" i="4"/>
  <c r="K156" i="4"/>
  <c r="K105" i="4"/>
  <c r="N105" i="4"/>
  <c r="L105" i="4"/>
  <c r="K81" i="4"/>
  <c r="N81" i="4"/>
  <c r="L81" i="4"/>
  <c r="K16" i="4"/>
  <c r="N16" i="4"/>
  <c r="N74" i="4"/>
  <c r="L74" i="4"/>
  <c r="K74" i="4"/>
  <c r="K71" i="4"/>
  <c r="L71" i="4"/>
  <c r="N71" i="4"/>
  <c r="N62" i="4"/>
  <c r="K62" i="4"/>
  <c r="L62" i="4"/>
  <c r="N172" i="4"/>
  <c r="K172" i="4"/>
  <c r="L172" i="4"/>
  <c r="K25" i="4"/>
  <c r="N25" i="4"/>
  <c r="N5" i="4"/>
  <c r="K5" i="4"/>
  <c r="N18" i="4"/>
  <c r="K18" i="4"/>
  <c r="K59" i="4"/>
  <c r="N59" i="4"/>
  <c r="L59" i="4"/>
  <c r="N108" i="4"/>
  <c r="K108" i="4"/>
  <c r="L108" i="4"/>
  <c r="N136" i="4"/>
  <c r="L136" i="4"/>
  <c r="K136" i="4"/>
  <c r="K38" i="4"/>
  <c r="N38" i="4"/>
  <c r="K173" i="4"/>
  <c r="L173" i="4"/>
  <c r="N173" i="4"/>
  <c r="N92" i="4"/>
  <c r="L92" i="4"/>
  <c r="K92" i="4"/>
  <c r="N64" i="4"/>
  <c r="K64" i="4"/>
  <c r="L64" i="4"/>
  <c r="K107" i="4"/>
  <c r="L107" i="4"/>
  <c r="N107" i="4"/>
  <c r="N50" i="4"/>
  <c r="K50" i="4"/>
  <c r="L50" i="4"/>
  <c r="K190" i="4"/>
  <c r="N190" i="4"/>
  <c r="L190" i="4"/>
  <c r="K129" i="4"/>
  <c r="N129" i="4"/>
  <c r="L129" i="4"/>
  <c r="K39" i="4"/>
  <c r="N39" i="4"/>
  <c r="N182" i="4"/>
  <c r="L182" i="4"/>
  <c r="K182" i="4"/>
  <c r="N112" i="4"/>
  <c r="L112" i="4"/>
  <c r="K112" i="4"/>
  <c r="K69" i="4"/>
  <c r="N69" i="4"/>
  <c r="L69" i="4"/>
  <c r="N180" i="4"/>
  <c r="K180" i="4"/>
  <c r="L180" i="4"/>
  <c r="K49" i="4"/>
  <c r="L49" i="4"/>
  <c r="N49" i="4"/>
  <c r="K169" i="4"/>
  <c r="L169" i="4"/>
  <c r="N169" i="4"/>
  <c r="K111" i="4"/>
  <c r="N111" i="4"/>
  <c r="L111" i="4"/>
  <c r="N196" i="4"/>
  <c r="K196" i="4"/>
  <c r="L196" i="4"/>
  <c r="K99" i="4"/>
  <c r="L99" i="4"/>
  <c r="N99" i="4"/>
  <c r="N164" i="4"/>
  <c r="K164" i="4"/>
  <c r="L164" i="4"/>
  <c r="K10" i="4"/>
  <c r="N10" i="4"/>
  <c r="K9" i="4"/>
  <c r="N9" i="4"/>
  <c r="N80" i="4"/>
  <c r="L80" i="4"/>
  <c r="K80" i="4"/>
  <c r="N154" i="4"/>
  <c r="L154" i="4"/>
  <c r="K154" i="4"/>
  <c r="L187" i="4"/>
  <c r="N187" i="4"/>
  <c r="K187" i="4"/>
  <c r="N54" i="4"/>
  <c r="K54" i="4"/>
  <c r="L54" i="4"/>
  <c r="N118" i="4"/>
  <c r="L118" i="4"/>
  <c r="K118" i="4"/>
  <c r="K135" i="4"/>
  <c r="N135" i="4"/>
  <c r="L135" i="4"/>
  <c r="N22" i="4"/>
  <c r="K22" i="4"/>
  <c r="N46" i="4"/>
  <c r="K46" i="4"/>
  <c r="K44" i="4"/>
  <c r="N44" i="4"/>
  <c r="L183" i="4"/>
  <c r="N183" i="4"/>
  <c r="K183" i="4"/>
  <c r="K53" i="4"/>
  <c r="N53" i="4"/>
  <c r="L53" i="4"/>
  <c r="N52" i="4"/>
  <c r="L52" i="4"/>
  <c r="K52" i="4"/>
  <c r="K11" i="4"/>
  <c r="N11" i="4"/>
  <c r="L127" i="4"/>
  <c r="K127" i="4"/>
  <c r="N127" i="4"/>
  <c r="K113" i="4"/>
  <c r="L113" i="4"/>
  <c r="N113" i="4"/>
  <c r="K24" i="4"/>
  <c r="N24" i="4"/>
  <c r="N116" i="4"/>
  <c r="K116" i="4"/>
  <c r="L116" i="4"/>
  <c r="K101" i="4"/>
  <c r="L101" i="4"/>
  <c r="N101" i="4"/>
  <c r="K41" i="4"/>
  <c r="N41" i="4"/>
  <c r="K45" i="4"/>
  <c r="N45" i="4"/>
  <c r="N56" i="4"/>
  <c r="K56" i="4"/>
  <c r="L56" i="4"/>
  <c r="K137" i="4"/>
  <c r="L137" i="4"/>
  <c r="N137" i="4"/>
  <c r="K73" i="4"/>
  <c r="N73" i="4"/>
  <c r="L73" i="4"/>
  <c r="N144" i="4"/>
  <c r="K144" i="4"/>
  <c r="L144" i="4"/>
  <c r="N76" i="4"/>
  <c r="K76" i="4"/>
  <c r="L76" i="4"/>
  <c r="K75" i="4"/>
  <c r="N75" i="4"/>
  <c r="L75" i="4"/>
  <c r="K35" i="4"/>
  <c r="N35" i="4"/>
  <c r="N84" i="4"/>
  <c r="K84" i="4"/>
  <c r="L84" i="4"/>
  <c r="N140" i="4"/>
  <c r="K140" i="4"/>
  <c r="L140" i="4"/>
  <c r="K57" i="4"/>
  <c r="L57" i="4"/>
  <c r="N57" i="4"/>
  <c r="N58" i="4"/>
  <c r="L58" i="4"/>
  <c r="K58" i="4"/>
  <c r="N94" i="4"/>
  <c r="L94" i="4"/>
  <c r="K94" i="4"/>
  <c r="L197" i="4"/>
  <c r="N197" i="4"/>
  <c r="K197" i="4"/>
  <c r="N170" i="4"/>
  <c r="K170" i="4"/>
  <c r="L170" i="4"/>
  <c r="K63" i="4"/>
  <c r="L63" i="4"/>
  <c r="N63" i="4"/>
  <c r="L177" i="4"/>
  <c r="K177" i="4"/>
  <c r="N177" i="4"/>
  <c r="K176" i="4"/>
  <c r="L176" i="4"/>
  <c r="N176" i="4"/>
  <c r="K8" i="4"/>
  <c r="N8" i="4"/>
  <c r="K40" i="4"/>
  <c r="N40" i="4"/>
  <c r="N178" i="4"/>
  <c r="L178" i="4"/>
  <c r="K178" i="4"/>
  <c r="K165" i="4"/>
  <c r="N165" i="4"/>
  <c r="L165" i="4"/>
  <c r="K17" i="4"/>
  <c r="N17" i="4"/>
  <c r="L189" i="4"/>
  <c r="N189" i="4"/>
  <c r="K189" i="4"/>
  <c r="L171" i="4"/>
  <c r="K171" i="4"/>
  <c r="N171" i="4"/>
  <c r="K139" i="4"/>
  <c r="N139" i="4"/>
  <c r="L139" i="4"/>
  <c r="K103" i="4"/>
  <c r="N103" i="4"/>
  <c r="L103" i="4"/>
  <c r="N138" i="4"/>
  <c r="L138" i="4"/>
  <c r="K138" i="4"/>
  <c r="K147" i="4"/>
  <c r="N147" i="4"/>
  <c r="L147" i="4"/>
  <c r="K188" i="4"/>
  <c r="N188" i="4"/>
  <c r="L188" i="4"/>
  <c r="N86" i="4"/>
  <c r="L86" i="4"/>
  <c r="K86" i="4"/>
  <c r="N90" i="4"/>
  <c r="K90" i="4"/>
  <c r="L90" i="4"/>
  <c r="L153" i="4"/>
  <c r="K153" i="4"/>
  <c r="N153" i="4"/>
  <c r="K26" i="4"/>
  <c r="N26" i="4"/>
  <c r="K27" i="4"/>
  <c r="N27" i="4"/>
  <c r="K13" i="4"/>
  <c r="N13" i="4"/>
  <c r="K7" i="4"/>
  <c r="N7" i="4"/>
  <c r="N48" i="4"/>
  <c r="K48" i="4"/>
  <c r="L48" i="4"/>
  <c r="K79" i="4"/>
  <c r="L79" i="4"/>
  <c r="N79" i="4"/>
  <c r="N148" i="4"/>
  <c r="L148" i="4"/>
  <c r="K148" i="4"/>
  <c r="N68" i="4"/>
  <c r="K68" i="4"/>
  <c r="L68" i="4"/>
  <c r="N66" i="4"/>
  <c r="L66" i="4"/>
  <c r="K66" i="4"/>
  <c r="K192" i="4"/>
  <c r="N192" i="4"/>
  <c r="L192" i="4"/>
  <c r="N128" i="4"/>
  <c r="L128" i="4"/>
  <c r="K128" i="4"/>
  <c r="N126" i="4"/>
  <c r="L126" i="4"/>
  <c r="K126" i="4"/>
  <c r="N110" i="4"/>
  <c r="L110" i="4"/>
  <c r="K110" i="4"/>
  <c r="N78" i="4"/>
  <c r="L78" i="4"/>
  <c r="K78" i="4"/>
  <c r="N146" i="4"/>
  <c r="K146" i="4"/>
  <c r="L146" i="4"/>
  <c r="K145" i="4"/>
  <c r="N145" i="4"/>
  <c r="L145" i="4"/>
  <c r="N31" i="4"/>
  <c r="K31" i="4"/>
  <c r="K15" i="4"/>
  <c r="N15" i="4"/>
  <c r="K125" i="4"/>
  <c r="L125" i="4"/>
  <c r="N125" i="4"/>
  <c r="K161" i="4"/>
  <c r="L161" i="4"/>
  <c r="N161" i="4"/>
  <c r="K163" i="4"/>
  <c r="L163" i="4"/>
  <c r="N163" i="4"/>
  <c r="N100" i="4"/>
  <c r="L100" i="4"/>
  <c r="K100" i="4"/>
  <c r="K37" i="4"/>
  <c r="N37" i="4"/>
  <c r="L179" i="4"/>
  <c r="K179" i="4"/>
  <c r="N179" i="4"/>
  <c r="N142" i="4"/>
  <c r="K142" i="4"/>
  <c r="L142" i="4"/>
  <c r="K109" i="4"/>
  <c r="L109" i="4"/>
  <c r="N109" i="4"/>
  <c r="L119" i="4"/>
  <c r="K119" i="4"/>
  <c r="N119" i="4"/>
  <c r="N114" i="4"/>
  <c r="K114" i="4"/>
  <c r="L114" i="4"/>
  <c r="N70" i="4"/>
  <c r="K70" i="4"/>
  <c r="L70" i="4"/>
  <c r="N102" i="4"/>
  <c r="L102" i="4"/>
  <c r="K102" i="4"/>
  <c r="K6" i="4"/>
  <c r="N6" i="4"/>
  <c r="L199" i="4"/>
  <c r="N199" i="4"/>
  <c r="K199" i="4"/>
  <c r="N157" i="4"/>
  <c r="K157" i="4"/>
  <c r="L157" i="4"/>
  <c r="N98" i="4"/>
  <c r="K98" i="4"/>
  <c r="L98" i="4"/>
  <c r="N82" i="4"/>
  <c r="L82" i="4"/>
  <c r="K82" i="4"/>
  <c r="K77" i="4"/>
  <c r="L77" i="4"/>
  <c r="N77" i="4"/>
  <c r="K87" i="4"/>
  <c r="L87" i="4"/>
  <c r="N87" i="4"/>
  <c r="N168" i="4"/>
  <c r="K168" i="4"/>
  <c r="L168" i="4"/>
  <c r="L181" i="4"/>
  <c r="K181" i="4"/>
  <c r="N181" i="4"/>
  <c r="K33" i="4"/>
  <c r="N33" i="4"/>
  <c r="N106" i="4"/>
  <c r="L106" i="4"/>
  <c r="K106" i="4"/>
  <c r="K117" i="4"/>
  <c r="L117" i="4"/>
  <c r="N117" i="4"/>
  <c r="K43" i="4"/>
  <c r="N43" i="4"/>
  <c r="K19" i="4"/>
  <c r="N19" i="4"/>
  <c r="K23" i="4"/>
  <c r="N23" i="4"/>
  <c r="O8" i="4" l="1"/>
  <c r="L8" i="4" s="1"/>
  <c r="M8" i="4" s="1"/>
  <c r="O6" i="4"/>
  <c r="L6" i="4" s="1"/>
  <c r="M6" i="4" s="1"/>
  <c r="O38" i="4"/>
  <c r="L38" i="4" s="1"/>
  <c r="M38" i="4" s="1"/>
  <c r="O34" i="4"/>
  <c r="L34" i="4" s="1"/>
  <c r="M34" i="4" s="1"/>
  <c r="O29" i="4"/>
  <c r="L29" i="4" s="1"/>
  <c r="M29" i="4" s="1"/>
  <c r="O21" i="4"/>
  <c r="L21" i="4" s="1"/>
  <c r="M21" i="4" s="1"/>
  <c r="O5" i="4"/>
  <c r="L5" i="4" s="1"/>
  <c r="M5" i="4" s="1"/>
  <c r="O14" i="4"/>
  <c r="L14" i="4" s="1"/>
  <c r="M14" i="4" s="1"/>
  <c r="O13" i="4"/>
  <c r="L13" i="4" s="1"/>
  <c r="M13" i="4" s="1"/>
  <c r="O17" i="4"/>
  <c r="L17" i="4" s="1"/>
  <c r="M17" i="4" s="1"/>
  <c r="O22" i="4"/>
  <c r="L22" i="4" s="1"/>
  <c r="M22" i="4" s="1"/>
  <c r="O20" i="4"/>
  <c r="L20" i="4" s="1"/>
  <c r="M20" i="4" s="1"/>
  <c r="O26" i="4"/>
  <c r="L26" i="4" s="1"/>
  <c r="M26" i="4" s="1"/>
  <c r="O41" i="4"/>
  <c r="L41" i="4" s="1"/>
  <c r="M41" i="4" s="1"/>
  <c r="O10" i="4"/>
  <c r="L10" i="4" s="1"/>
  <c r="M10" i="4" s="1"/>
  <c r="O12" i="4"/>
  <c r="L12" i="4" s="1"/>
  <c r="M12" i="4" s="1"/>
  <c r="O54" i="4"/>
  <c r="M54" i="4"/>
  <c r="M64" i="4"/>
  <c r="O64" i="4"/>
  <c r="O131" i="4"/>
  <c r="M131" i="4"/>
  <c r="O28" i="4"/>
  <c r="L28" i="4" s="1"/>
  <c r="M28" i="4" s="1"/>
  <c r="M93" i="4"/>
  <c r="O93" i="4"/>
  <c r="O88" i="4"/>
  <c r="M88" i="4"/>
  <c r="M194" i="4"/>
  <c r="O194" i="4"/>
  <c r="M124" i="4"/>
  <c r="O124" i="4"/>
  <c r="M126" i="4"/>
  <c r="O126" i="4"/>
  <c r="O46" i="4"/>
  <c r="L46" i="4" s="1"/>
  <c r="M46" i="4" s="1"/>
  <c r="O129" i="4"/>
  <c r="M129" i="4"/>
  <c r="O16" i="4"/>
  <c r="L16" i="4" s="1"/>
  <c r="M16" i="4" s="1"/>
  <c r="M151" i="4"/>
  <c r="O151" i="4"/>
  <c r="M89" i="4"/>
  <c r="O89" i="4"/>
  <c r="M191" i="4"/>
  <c r="O191" i="4"/>
  <c r="O11" i="4"/>
  <c r="L11" i="4" s="1"/>
  <c r="M11" i="4" s="1"/>
  <c r="O106" i="4"/>
  <c r="M106" i="4"/>
  <c r="M157" i="4"/>
  <c r="O157" i="4"/>
  <c r="M145" i="4"/>
  <c r="O145" i="4"/>
  <c r="M170" i="4"/>
  <c r="O170" i="4"/>
  <c r="M137" i="4"/>
  <c r="O137" i="4"/>
  <c r="M116" i="4"/>
  <c r="O116" i="4"/>
  <c r="M111" i="4"/>
  <c r="O111" i="4"/>
  <c r="M69" i="4"/>
  <c r="O69" i="4"/>
  <c r="O92" i="4"/>
  <c r="M92" i="4"/>
  <c r="O108" i="4"/>
  <c r="M108" i="4"/>
  <c r="O172" i="4"/>
  <c r="M172" i="4"/>
  <c r="M149" i="4"/>
  <c r="O149" i="4"/>
  <c r="M184" i="4"/>
  <c r="O184" i="4"/>
  <c r="M158" i="4"/>
  <c r="O158" i="4"/>
  <c r="M85" i="4"/>
  <c r="O85" i="4"/>
  <c r="O7" i="4"/>
  <c r="L7" i="4" s="1"/>
  <c r="M7" i="4" s="1"/>
  <c r="M52" i="4"/>
  <c r="O52" i="4"/>
  <c r="O148" i="4"/>
  <c r="M148" i="4"/>
  <c r="M57" i="4"/>
  <c r="O57" i="4"/>
  <c r="O112" i="4"/>
  <c r="M112" i="4"/>
  <c r="M134" i="4"/>
  <c r="O134" i="4"/>
  <c r="O36" i="4"/>
  <c r="L36" i="4" s="1"/>
  <c r="M36" i="4" s="1"/>
  <c r="M115" i="4"/>
  <c r="O115" i="4"/>
  <c r="M150" i="4"/>
  <c r="O150" i="4"/>
  <c r="M185" i="4"/>
  <c r="O185" i="4"/>
  <c r="M143" i="4"/>
  <c r="O143" i="4"/>
  <c r="O104" i="4"/>
  <c r="M104" i="4"/>
  <c r="O96" i="4"/>
  <c r="M96" i="4"/>
  <c r="O90" i="4"/>
  <c r="M90" i="4"/>
  <c r="M63" i="4"/>
  <c r="O63" i="4"/>
  <c r="M101" i="4"/>
  <c r="O101" i="4"/>
  <c r="M70" i="4"/>
  <c r="O70" i="4"/>
  <c r="O142" i="4"/>
  <c r="M142" i="4"/>
  <c r="M68" i="4"/>
  <c r="O68" i="4"/>
  <c r="M86" i="4"/>
  <c r="O86" i="4"/>
  <c r="M75" i="4"/>
  <c r="O75" i="4"/>
  <c r="M187" i="4"/>
  <c r="O187" i="4"/>
  <c r="M199" i="4"/>
  <c r="O199" i="4"/>
  <c r="M114" i="4"/>
  <c r="O114" i="4"/>
  <c r="M179" i="4"/>
  <c r="O179" i="4"/>
  <c r="M161" i="4"/>
  <c r="O161" i="4"/>
  <c r="M146" i="4"/>
  <c r="O146" i="4"/>
  <c r="M103" i="4"/>
  <c r="O103" i="4"/>
  <c r="M197" i="4"/>
  <c r="O197" i="4"/>
  <c r="O76" i="4"/>
  <c r="M76" i="4"/>
  <c r="O56" i="4"/>
  <c r="M56" i="4"/>
  <c r="M164" i="4"/>
  <c r="O164" i="4"/>
  <c r="M190" i="4"/>
  <c r="O190" i="4"/>
  <c r="M175" i="4"/>
  <c r="O175" i="4"/>
  <c r="M152" i="4"/>
  <c r="O152" i="4"/>
  <c r="M87" i="4"/>
  <c r="O87" i="4"/>
  <c r="O128" i="4"/>
  <c r="M128" i="4"/>
  <c r="O33" i="4"/>
  <c r="L33" i="4" s="1"/>
  <c r="M33" i="4" s="1"/>
  <c r="O27" i="4"/>
  <c r="L27" i="4" s="1"/>
  <c r="M27" i="4" s="1"/>
  <c r="M140" i="4"/>
  <c r="O140" i="4"/>
  <c r="O24" i="4"/>
  <c r="L24" i="4" s="1"/>
  <c r="M24" i="4" s="1"/>
  <c r="O154" i="4"/>
  <c r="M154" i="4"/>
  <c r="M169" i="4"/>
  <c r="O169" i="4"/>
  <c r="M62" i="4"/>
  <c r="O62" i="4"/>
  <c r="M81" i="4"/>
  <c r="O81" i="4"/>
  <c r="O65" i="4"/>
  <c r="M65" i="4"/>
  <c r="O132" i="4"/>
  <c r="M132" i="4"/>
  <c r="M195" i="4"/>
  <c r="O195" i="4"/>
  <c r="M83" i="4"/>
  <c r="O83" i="4"/>
  <c r="M61" i="4"/>
  <c r="O61" i="4"/>
  <c r="M117" i="4"/>
  <c r="O117" i="4"/>
  <c r="M163" i="4"/>
  <c r="O163" i="4"/>
  <c r="O23" i="4"/>
  <c r="L23" i="4" s="1"/>
  <c r="M23" i="4" s="1"/>
  <c r="M77" i="4"/>
  <c r="O77" i="4"/>
  <c r="O37" i="4"/>
  <c r="L37" i="4" s="1"/>
  <c r="M37" i="4" s="1"/>
  <c r="M78" i="4"/>
  <c r="O78" i="4"/>
  <c r="M176" i="4"/>
  <c r="O176" i="4"/>
  <c r="O45" i="4"/>
  <c r="L45" i="4" s="1"/>
  <c r="M45" i="4" s="1"/>
  <c r="M182" i="4"/>
  <c r="O182" i="4"/>
  <c r="O50" i="4"/>
  <c r="M50" i="4"/>
  <c r="M59" i="4"/>
  <c r="O59" i="4"/>
  <c r="O72" i="4"/>
  <c r="M72" i="4"/>
  <c r="O167" i="4"/>
  <c r="M167" i="4"/>
  <c r="M120" i="4"/>
  <c r="O120" i="4"/>
  <c r="M125" i="4"/>
  <c r="O125" i="4"/>
  <c r="M188" i="4"/>
  <c r="O188" i="4"/>
  <c r="M139" i="4"/>
  <c r="O139" i="4"/>
  <c r="M165" i="4"/>
  <c r="O165" i="4"/>
  <c r="M94" i="4"/>
  <c r="O94" i="4"/>
  <c r="M144" i="4"/>
  <c r="O144" i="4"/>
  <c r="M53" i="4"/>
  <c r="O53" i="4"/>
  <c r="O135" i="4"/>
  <c r="M135" i="4"/>
  <c r="M173" i="4"/>
  <c r="O173" i="4"/>
  <c r="O18" i="4"/>
  <c r="L18" i="4" s="1"/>
  <c r="M18" i="4" s="1"/>
  <c r="O32" i="4"/>
  <c r="L32" i="4" s="1"/>
  <c r="M32" i="4" s="1"/>
  <c r="M67" i="4"/>
  <c r="O67" i="4"/>
  <c r="O160" i="4"/>
  <c r="M160" i="4"/>
  <c r="O166" i="4"/>
  <c r="M166" i="4"/>
  <c r="O174" i="4"/>
  <c r="M174" i="4"/>
  <c r="O82" i="4"/>
  <c r="M82" i="4"/>
  <c r="O19" i="4"/>
  <c r="L19" i="4" s="1"/>
  <c r="M19" i="4" s="1"/>
  <c r="M181" i="4"/>
  <c r="O181" i="4"/>
  <c r="O192" i="4"/>
  <c r="M192" i="4"/>
  <c r="M79" i="4"/>
  <c r="O79" i="4"/>
  <c r="M178" i="4"/>
  <c r="O178" i="4"/>
  <c r="M177" i="4"/>
  <c r="O177" i="4"/>
  <c r="M84" i="4"/>
  <c r="O84" i="4"/>
  <c r="M113" i="4"/>
  <c r="O113" i="4"/>
  <c r="M183" i="4"/>
  <c r="O183" i="4"/>
  <c r="M118" i="4"/>
  <c r="O118" i="4"/>
  <c r="O80" i="4"/>
  <c r="M80" i="4"/>
  <c r="M99" i="4"/>
  <c r="O99" i="4"/>
  <c r="O49" i="4"/>
  <c r="M49" i="4"/>
  <c r="M105" i="4"/>
  <c r="O105" i="4"/>
  <c r="O47" i="4"/>
  <c r="M47" i="4"/>
  <c r="M130" i="4"/>
  <c r="O130" i="4"/>
  <c r="M198" i="4"/>
  <c r="O198" i="4"/>
  <c r="M162" i="4"/>
  <c r="O162" i="4"/>
  <c r="O42" i="4"/>
  <c r="L42" i="4" s="1"/>
  <c r="M42" i="4" s="1"/>
  <c r="M51" i="4"/>
  <c r="O51" i="4"/>
  <c r="O159" i="4"/>
  <c r="M159" i="4"/>
  <c r="M119" i="4"/>
  <c r="O119" i="4"/>
  <c r="O100" i="4"/>
  <c r="M100" i="4"/>
  <c r="O102" i="4"/>
  <c r="M102" i="4"/>
  <c r="O15" i="4"/>
  <c r="L15" i="4" s="1"/>
  <c r="M15" i="4" s="1"/>
  <c r="M110" i="4"/>
  <c r="O110" i="4"/>
  <c r="O66" i="4"/>
  <c r="M66" i="4"/>
  <c r="M153" i="4"/>
  <c r="O153" i="4"/>
  <c r="M171" i="4"/>
  <c r="O171" i="4"/>
  <c r="M71" i="4"/>
  <c r="O71" i="4"/>
  <c r="M156" i="4"/>
  <c r="O156" i="4"/>
  <c r="O43" i="4"/>
  <c r="L43" i="4" s="1"/>
  <c r="M43" i="4" s="1"/>
  <c r="O31" i="4"/>
  <c r="L31" i="4" s="1"/>
  <c r="M31" i="4" s="1"/>
  <c r="O48" i="4"/>
  <c r="M48" i="4"/>
  <c r="O147" i="4"/>
  <c r="M147" i="4"/>
  <c r="M58" i="4"/>
  <c r="O58" i="4"/>
  <c r="M127" i="4"/>
  <c r="O127" i="4"/>
  <c r="M196" i="4"/>
  <c r="O196" i="4"/>
  <c r="M180" i="4"/>
  <c r="O180" i="4"/>
  <c r="O39" i="4"/>
  <c r="L39" i="4" s="1"/>
  <c r="M39" i="4" s="1"/>
  <c r="M107" i="4"/>
  <c r="O107" i="4"/>
  <c r="O136" i="4"/>
  <c r="M136" i="4"/>
  <c r="O74" i="4"/>
  <c r="M74" i="4"/>
  <c r="M91" i="4"/>
  <c r="O91" i="4"/>
  <c r="M123" i="4"/>
  <c r="O123" i="4"/>
  <c r="M141" i="4"/>
  <c r="O141" i="4"/>
  <c r="O60" i="4"/>
  <c r="M60" i="4"/>
  <c r="M155" i="4"/>
  <c r="O155" i="4"/>
  <c r="M193" i="4"/>
  <c r="O193" i="4"/>
  <c r="M186" i="4"/>
  <c r="O186" i="4"/>
  <c r="M168" i="4"/>
  <c r="O168" i="4"/>
  <c r="O98" i="4"/>
  <c r="M98" i="4"/>
  <c r="M109" i="4"/>
  <c r="O109" i="4"/>
  <c r="M138" i="4"/>
  <c r="O138" i="4"/>
  <c r="M189" i="4"/>
  <c r="O189" i="4"/>
  <c r="O40" i="4"/>
  <c r="L40" i="4" s="1"/>
  <c r="M40" i="4" s="1"/>
  <c r="O35" i="4"/>
  <c r="L35" i="4" s="1"/>
  <c r="M35" i="4" s="1"/>
  <c r="M73" i="4"/>
  <c r="O73" i="4"/>
  <c r="O44" i="4"/>
  <c r="L44" i="4" s="1"/>
  <c r="M44" i="4" s="1"/>
  <c r="O9" i="4"/>
  <c r="L9" i="4" s="1"/>
  <c r="M9" i="4" s="1"/>
  <c r="O25" i="4"/>
  <c r="L25" i="4" s="1"/>
  <c r="M25" i="4" s="1"/>
  <c r="M121" i="4"/>
  <c r="O121" i="4"/>
  <c r="M55" i="4"/>
  <c r="O55" i="4"/>
  <c r="M122" i="4"/>
  <c r="O122" i="4"/>
  <c r="M133" i="4"/>
  <c r="O133" i="4"/>
  <c r="M97" i="4"/>
  <c r="O97" i="4"/>
  <c r="O200" i="4"/>
  <c r="M200" i="4"/>
  <c r="M95" i="4"/>
  <c r="O95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<sst xmlns="http://schemas.openxmlformats.org/spreadsheetml/2006/main" count="1361" uniqueCount="494">
  <si>
    <t>현재 모두 dummy날짜입니다</t>
  </si>
  <si>
    <t>최소/최대날짜:</t>
  </si>
  <si>
    <t>This Year</t>
  </si>
  <si>
    <t>O표시하면 제외시킵니다.</t>
  </si>
  <si>
    <t>Last Year</t>
  </si>
  <si>
    <t>Tier</t>
  </si>
  <si>
    <t>RHQ</t>
  </si>
  <si>
    <t>Subs</t>
  </si>
  <si>
    <t>COUNTRY</t>
  </si>
  <si>
    <t>RS</t>
  </si>
  <si>
    <t>site_code</t>
  </si>
  <si>
    <t>start_date</t>
  </si>
  <si>
    <t>end_date</t>
  </si>
  <si>
    <t>end_date(컷)</t>
  </si>
  <si>
    <t>api수기제외</t>
  </si>
  <si>
    <t>고객Note</t>
  </si>
  <si>
    <t>URL</t>
  </si>
  <si>
    <t>Page Name</t>
  </si>
  <si>
    <t>Note</t>
  </si>
  <si>
    <t>TBD</t>
  </si>
  <si>
    <t>O</t>
  </si>
  <si>
    <t>#(자동함수)</t>
  </si>
  <si>
    <t>Tier(자동함수)</t>
  </si>
  <si>
    <t>cn</t>
  </si>
  <si>
    <t>de</t>
  </si>
  <si>
    <t>es</t>
  </si>
  <si>
    <t>uk</t>
  </si>
  <si>
    <t>sec</t>
  </si>
  <si>
    <t>br</t>
  </si>
  <si>
    <t>mx</t>
  </si>
  <si>
    <t>tr</t>
  </si>
  <si>
    <t>us</t>
  </si>
  <si>
    <t>This/Last Year</t>
  </si>
  <si>
    <t>url (반드시 https://포함하기)</t>
  </si>
  <si>
    <t>pagename</t>
  </si>
  <si>
    <t>note</t>
  </si>
  <si>
    <t>TY</t>
  </si>
  <si>
    <t>LY</t>
  </si>
  <si>
    <t>us:offer:testcampaign2026</t>
  </si>
  <si>
    <t>us:offer:testcampaign2026other</t>
  </si>
  <si>
    <t>us:offer:testcampaign2026another</t>
  </si>
  <si>
    <t>us:offer:testcampaign2025</t>
  </si>
  <si>
    <t>us:offer:testcampaign2025other</t>
  </si>
  <si>
    <t>de:offer:testcampaign2026</t>
  </si>
  <si>
    <t>de:offer:testcampaign2026other</t>
  </si>
  <si>
    <t>de:offer:testcampaign2025</t>
  </si>
  <si>
    <t>sec:offer:testcampaign2026</t>
  </si>
  <si>
    <t>date cutoff</t>
  </si>
  <si>
    <t>*Master에서 Last Year 공란은 This Year와 같은 월/일로 처리</t>
  </si>
  <si>
    <t>Prior</t>
  </si>
  <si>
    <t>고객파일(값붙/복붙)</t>
  </si>
  <si>
    <t>1차정제</t>
  </si>
  <si>
    <t>Region</t>
  </si>
  <si>
    <t>Period</t>
  </si>
  <si>
    <t>AU열(Subs명)의 변형 접미어를 제거한 정제값(하이픈연결sitecode를 제외처리)</t>
  </si>
  <si>
    <t>Z-AG의 각 site에 대응하는 AU열 조회 키 (3단계 우선순위)</t>
  </si>
  <si>
    <t>AM키로 AW열(Participation)을 가져옴</t>
  </si>
  <si>
    <t>AN = O 일 때만 AX열(Starts at)에서 날짜 or `TBC`를 가져옴</t>
  </si>
  <si>
    <t>AN = O 일 때만 AZ열(Ends at)에서 날짜 or `TBC`를 가져옴</t>
  </si>
  <si>
    <t>Global</t>
  </si>
  <si>
    <t>PIC</t>
  </si>
  <si>
    <t>Participation</t>
  </si>
  <si>
    <t>Starts at</t>
  </si>
  <si>
    <t>Ends at</t>
  </si>
  <si>
    <t>AR_clean</t>
  </si>
  <si>
    <t>AR_key</t>
  </si>
  <si>
    <t>start_raw</t>
  </si>
  <si>
    <t>end_raw</t>
  </si>
  <si>
    <t>subs사용 여부</t>
  </si>
  <si>
    <t>N.America</t>
  </si>
  <si>
    <t>Total</t>
  </si>
  <si>
    <t>W20</t>
  </si>
  <si>
    <t>EU</t>
  </si>
  <si>
    <t>X</t>
  </si>
  <si>
    <t>L.America</t>
  </si>
  <si>
    <t>S.E.Asia</t>
  </si>
  <si>
    <t>S.W.Asia</t>
  </si>
  <si>
    <t>MENA</t>
  </si>
  <si>
    <t>TBC</t>
  </si>
  <si>
    <t>CIS</t>
  </si>
  <si>
    <t>Africa</t>
  </si>
  <si>
    <t>China</t>
  </si>
  <si>
    <t>Japan</t>
  </si>
  <si>
    <t>Korea</t>
  </si>
  <si>
    <t>한총</t>
  </si>
  <si>
    <t>태깅기획파일</t>
  </si>
  <si>
    <t>추가작업분</t>
  </si>
  <si>
    <t>#</t>
  </si>
  <si>
    <t>Country</t>
  </si>
  <si>
    <t>Site Code</t>
  </si>
  <si>
    <t>Shop Platform</t>
  </si>
  <si>
    <t>App 론치 (O/X)</t>
  </si>
  <si>
    <t>App 구분</t>
  </si>
  <si>
    <t>비고_CampaignPart</t>
  </si>
  <si>
    <t>UAE</t>
  </si>
  <si>
    <t>ae</t>
  </si>
  <si>
    <t>HQ Shop - Hybris</t>
  </si>
  <si>
    <t>Global Shop App</t>
  </si>
  <si>
    <t>ae_ar</t>
  </si>
  <si>
    <t>UAE (ar)</t>
  </si>
  <si>
    <t>Africa Pan</t>
  </si>
  <si>
    <t>africa_en</t>
  </si>
  <si>
    <t>Non-shop</t>
  </si>
  <si>
    <t>AFRICA (en)</t>
  </si>
  <si>
    <t>-</t>
  </si>
  <si>
    <t>africa_fr</t>
  </si>
  <si>
    <t>AFRICA (fr)</t>
  </si>
  <si>
    <t>africa_pt</t>
  </si>
  <si>
    <t>AFRICA (pt)</t>
  </si>
  <si>
    <t>Albania</t>
  </si>
  <si>
    <t>al</t>
  </si>
  <si>
    <t>Argentina</t>
  </si>
  <si>
    <t>ar</t>
  </si>
  <si>
    <t>Austria</t>
  </si>
  <si>
    <t>at</t>
  </si>
  <si>
    <t>Australia</t>
  </si>
  <si>
    <t>au</t>
  </si>
  <si>
    <t>Azerbaijan</t>
  </si>
  <si>
    <t>az</t>
  </si>
  <si>
    <t>Bosnia</t>
  </si>
  <si>
    <t>ba</t>
  </si>
  <si>
    <t>Bangladesh</t>
  </si>
  <si>
    <t>bd</t>
  </si>
  <si>
    <t>Belgium</t>
  </si>
  <si>
    <t>be</t>
  </si>
  <si>
    <t>Belgium(NL)</t>
  </si>
  <si>
    <t>be_fr</t>
  </si>
  <si>
    <t>Bulgaria</t>
  </si>
  <si>
    <t>bg</t>
  </si>
  <si>
    <t>Brazil</t>
  </si>
  <si>
    <t>Local App</t>
  </si>
  <si>
    <t>Canada</t>
  </si>
  <si>
    <t>ca</t>
  </si>
  <si>
    <t>ca_fr</t>
  </si>
  <si>
    <t>Canada (fr)</t>
  </si>
  <si>
    <t>Switzerland</t>
  </si>
  <si>
    <t>ch</t>
  </si>
  <si>
    <t>ch_fr</t>
  </si>
  <si>
    <t>Switzerland(FR)</t>
  </si>
  <si>
    <t>Chile</t>
  </si>
  <si>
    <t>cl</t>
  </si>
  <si>
    <t>Colombia</t>
  </si>
  <si>
    <t>co</t>
  </si>
  <si>
    <t>Czech</t>
  </si>
  <si>
    <t>cz</t>
  </si>
  <si>
    <t>Germany</t>
  </si>
  <si>
    <t>Denmark</t>
  </si>
  <si>
    <t>dk</t>
  </si>
  <si>
    <t>Estonia</t>
  </si>
  <si>
    <t>ee</t>
  </si>
  <si>
    <t>Egypt</t>
  </si>
  <si>
    <t>eg</t>
  </si>
  <si>
    <t>Spain</t>
  </si>
  <si>
    <t>Finland</t>
  </si>
  <si>
    <t>fi</t>
  </si>
  <si>
    <t>France</t>
  </si>
  <si>
    <t>fr</t>
  </si>
  <si>
    <t>Georgia</t>
  </si>
  <si>
    <t>ge</t>
  </si>
  <si>
    <t>Greece</t>
  </si>
  <si>
    <t>gr</t>
  </si>
  <si>
    <t>Hong Kong</t>
  </si>
  <si>
    <t>hk</t>
  </si>
  <si>
    <t>hk_en</t>
  </si>
  <si>
    <t>Croatia</t>
  </si>
  <si>
    <t>hr</t>
  </si>
  <si>
    <t>Hungary</t>
  </si>
  <si>
    <t>hu</t>
  </si>
  <si>
    <t>Indonesia</t>
  </si>
  <si>
    <t>id</t>
  </si>
  <si>
    <t>Ireland</t>
  </si>
  <si>
    <t>ie</t>
  </si>
  <si>
    <t>Israel</t>
  </si>
  <si>
    <t>il</t>
  </si>
  <si>
    <t>India</t>
  </si>
  <si>
    <t>in</t>
  </si>
  <si>
    <t>HQ Shop - GPv2</t>
  </si>
  <si>
    <t>Iraq</t>
  </si>
  <si>
    <t>iq_ar</t>
  </si>
  <si>
    <t>iq_ku</t>
  </si>
  <si>
    <t>Kurdistan</t>
  </si>
  <si>
    <t>Iran</t>
  </si>
  <si>
    <t>iran</t>
  </si>
  <si>
    <t>Italy</t>
  </si>
  <si>
    <t>it</t>
  </si>
  <si>
    <t>jp</t>
  </si>
  <si>
    <t>Kazakhstan</t>
  </si>
  <si>
    <t>kz_kz</t>
  </si>
  <si>
    <t>Kazakhstan (Kazakh)</t>
  </si>
  <si>
    <t>kz_ru</t>
  </si>
  <si>
    <t>Panama</t>
  </si>
  <si>
    <t>latin</t>
  </si>
  <si>
    <t>Panama (Spanish)</t>
  </si>
  <si>
    <t>latin_en</t>
  </si>
  <si>
    <t>Panama (English)</t>
  </si>
  <si>
    <t>Lebanon</t>
  </si>
  <si>
    <t>lb</t>
  </si>
  <si>
    <t>Jordan</t>
  </si>
  <si>
    <t>levant</t>
  </si>
  <si>
    <t>LEVANT</t>
  </si>
  <si>
    <t>levant_ar</t>
  </si>
  <si>
    <t>LEVANT (ar)</t>
  </si>
  <si>
    <t>Lithuania</t>
  </si>
  <si>
    <t>lt</t>
  </si>
  <si>
    <t>Latvia</t>
  </si>
  <si>
    <t>lv</t>
  </si>
  <si>
    <t>Macedonia</t>
  </si>
  <si>
    <t>mk</t>
  </si>
  <si>
    <t>Myanmar</t>
  </si>
  <si>
    <t>mm</t>
  </si>
  <si>
    <t>Mongolia</t>
  </si>
  <si>
    <t>mn</t>
  </si>
  <si>
    <t>Mexico</t>
  </si>
  <si>
    <t>Malaysia</t>
  </si>
  <si>
    <t>my</t>
  </si>
  <si>
    <t>Morocco</t>
  </si>
  <si>
    <t>n_africa</t>
  </si>
  <si>
    <t>North Africa</t>
  </si>
  <si>
    <t>Netherlands</t>
  </si>
  <si>
    <t>nl</t>
  </si>
  <si>
    <t>Norway</t>
  </si>
  <si>
    <t>no</t>
  </si>
  <si>
    <t>New Zealand</t>
  </si>
  <si>
    <t>nz</t>
  </si>
  <si>
    <t>Peru</t>
  </si>
  <si>
    <t>pe</t>
  </si>
  <si>
    <t>Philippines</t>
  </si>
  <si>
    <t>ph</t>
  </si>
  <si>
    <t>Pakistan</t>
  </si>
  <si>
    <t>pk</t>
  </si>
  <si>
    <t>Poland</t>
  </si>
  <si>
    <t>pl</t>
  </si>
  <si>
    <t>Palestine</t>
  </si>
  <si>
    <t>ps</t>
  </si>
  <si>
    <t>Portugal</t>
  </si>
  <si>
    <t>pt</t>
  </si>
  <si>
    <t>Paraguay</t>
  </si>
  <si>
    <t>py</t>
  </si>
  <si>
    <t>Romania</t>
  </si>
  <si>
    <t>ro</t>
  </si>
  <si>
    <t>Serbia</t>
  </si>
  <si>
    <t>rs</t>
  </si>
  <si>
    <t>Russia</t>
  </si>
  <si>
    <t>ru</t>
  </si>
  <si>
    <t>Saudi Arabia</t>
  </si>
  <si>
    <t>sa</t>
  </si>
  <si>
    <t>sa_en</t>
  </si>
  <si>
    <t>Saudi Arabia (en)</t>
  </si>
  <si>
    <t>Sweden</t>
  </si>
  <si>
    <t>se</t>
  </si>
  <si>
    <t>Singapore</t>
  </si>
  <si>
    <t>sg</t>
  </si>
  <si>
    <t>Slovenia</t>
  </si>
  <si>
    <t>si</t>
  </si>
  <si>
    <t>Slovakia</t>
  </si>
  <si>
    <t>sk</t>
  </si>
  <si>
    <t>Thailand</t>
  </si>
  <si>
    <t>th</t>
  </si>
  <si>
    <t>Turkey</t>
  </si>
  <si>
    <t>Taiwan</t>
  </si>
  <si>
    <t>tw</t>
  </si>
  <si>
    <t>Ukraine</t>
  </si>
  <si>
    <t>ua</t>
  </si>
  <si>
    <t>UK</t>
  </si>
  <si>
    <t>USA</t>
  </si>
  <si>
    <t>US NEW</t>
  </si>
  <si>
    <t>Uruguay</t>
  </si>
  <si>
    <t>uy</t>
  </si>
  <si>
    <t>Uzbekistan</t>
  </si>
  <si>
    <t>uz_ru</t>
  </si>
  <si>
    <t>Uzbekistan (Russian)</t>
  </si>
  <si>
    <t>uz_uz</t>
  </si>
  <si>
    <t>Vietnam</t>
  </si>
  <si>
    <t>vn</t>
  </si>
  <si>
    <t>South Africa</t>
  </si>
  <si>
    <t>za</t>
  </si>
  <si>
    <t>노트test1</t>
  </si>
  <si>
    <t>노트test2</t>
  </si>
  <si>
    <t>노트test3</t>
  </si>
  <si>
    <t>Sort by tier</t>
    <phoneticPr fontId="16" type="noConversion"/>
  </si>
  <si>
    <t>* 수기 수정</t>
    <phoneticPr fontId="16" type="noConversion"/>
  </si>
  <si>
    <t>컷은 api용csv시트에서 설정합니다.</t>
    <phoneticPr fontId="16" type="noConversion"/>
  </si>
  <si>
    <t>함수로 RAW_URL,PageName에서 호출</t>
    <phoneticPr fontId="16" type="noConversion"/>
  </si>
  <si>
    <t>Data Cutoff</t>
    <phoneticPr fontId="16" type="noConversion"/>
  </si>
  <si>
    <t>참조 N차 대비 N+1차 cutoff</t>
    <phoneticPr fontId="16" type="noConversion"/>
  </si>
  <si>
    <t>* 이전 N차 기간을 값으로 붙여넣기 해주시면 됩니다. (고정참조용)</t>
    <phoneticPr fontId="16" type="noConversion"/>
  </si>
  <si>
    <t>N+1차 필요여부</t>
    <phoneticPr fontId="16" type="noConversion"/>
  </si>
  <si>
    <t>참조할 N차 기간(Only This Year)</t>
    <phoneticPr fontId="16" type="noConversion"/>
  </si>
  <si>
    <r>
      <t xml:space="preserve">* </t>
    </r>
    <r>
      <rPr>
        <i/>
        <sz val="10"/>
        <rFont val="Arial"/>
        <family val="3"/>
      </rPr>
      <t>Notes: Based on pre-defined campaign period and page scope.</t>
    </r>
    <phoneticPr fontId="24" type="noConversion"/>
  </si>
  <si>
    <t>CAMPAIGN COUNTRY LIST &amp; PAGE URL</t>
    <phoneticPr fontId="24" type="noConversion"/>
  </si>
  <si>
    <t>Last Updated</t>
    <phoneticPr fontId="24" type="noConversion"/>
  </si>
  <si>
    <r>
      <t xml:space="preserve">* </t>
    </r>
    <r>
      <rPr>
        <sz val="9"/>
        <color theme="0" tint="-0.499984740745262"/>
        <rFont val="맑은 고딕"/>
        <family val="2"/>
        <charset val="129"/>
      </rPr>
      <t>캠페인 페이지 미확인 국가 딤처리</t>
    </r>
    <phoneticPr fontId="24" type="noConversion"/>
  </si>
  <si>
    <t>Region</t>
    <phoneticPr fontId="16" type="noConversion"/>
  </si>
  <si>
    <t>Site Code</t>
    <phoneticPr fontId="24" type="noConversion"/>
  </si>
  <si>
    <t>This Year</t>
    <phoneticPr fontId="24" type="noConversion"/>
  </si>
  <si>
    <t>Last Year</t>
    <phoneticPr fontId="24" type="noConversion"/>
  </si>
  <si>
    <t>L.America</t>
    <phoneticPr fontId="16" type="noConversion"/>
  </si>
  <si>
    <t>S.E.Asia</t>
    <phoneticPr fontId="16" type="noConversion"/>
  </si>
  <si>
    <t>S.W.Asia</t>
    <phoneticPr fontId="16" type="noConversion"/>
  </si>
  <si>
    <t>Region_#(Appendix정렬용)</t>
    <phoneticPr fontId="16" type="noConversion"/>
  </si>
  <si>
    <t>Tier</t>
    <phoneticPr fontId="16" type="noConversion"/>
  </si>
  <si>
    <t>Region순서용 매핑</t>
    <phoneticPr fontId="16" type="noConversion"/>
  </si>
  <si>
    <t>Site_Code</t>
  </si>
  <si>
    <t>Start_Date</t>
  </si>
  <si>
    <t>End_Date</t>
  </si>
  <si>
    <t>End_Date(실제)</t>
  </si>
  <si>
    <t>Days</t>
  </si>
  <si>
    <t>Site Code</t>
    <phoneticPr fontId="16" type="noConversion"/>
  </si>
  <si>
    <t>Start Date</t>
  </si>
  <si>
    <t>End Date</t>
  </si>
  <si>
    <t>2026 Campaign Name 캠페인 법인별 일정_v0.99_260326.xlsx</t>
    <phoneticPr fontId="16" type="noConversion"/>
  </si>
  <si>
    <t>Subs</t>
    <phoneticPr fontId="16" type="noConversion"/>
  </si>
  <si>
    <t>TotUl</t>
  </si>
  <si>
    <t>XADU</t>
  </si>
  <si>
    <t>김철수</t>
    <phoneticPr fontId="16" type="noConversion"/>
  </si>
  <si>
    <t>XADCU</t>
  </si>
  <si>
    <t>XADUK</t>
  </si>
  <si>
    <t>XADG</t>
  </si>
  <si>
    <t>XADF</t>
  </si>
  <si>
    <t>XADI</t>
  </si>
  <si>
    <t>XADIB-PT</t>
  </si>
  <si>
    <t>XADBN-NL</t>
  </si>
  <si>
    <t>XADNU</t>
  </si>
  <si>
    <t>XADROM</t>
  </si>
  <si>
    <t>XADCZ</t>
  </si>
  <si>
    <t>XADPOL</t>
  </si>
  <si>
    <t>XADUX-UT</t>
  </si>
  <si>
    <t>XADUX-CH</t>
  </si>
  <si>
    <t>XADH</t>
  </si>
  <si>
    <t>XADUD</t>
  </si>
  <si>
    <t>XADB</t>
  </si>
  <si>
    <t>XADUC</t>
  </si>
  <si>
    <t>XADDU</t>
  </si>
  <si>
    <t>홍길동</t>
    <phoneticPr fontId="16" type="noConversion"/>
  </si>
  <si>
    <t>XADM</t>
  </si>
  <si>
    <t>XADCH</t>
  </si>
  <si>
    <t>XUMCOL</t>
  </si>
  <si>
    <t>XADUXU</t>
  </si>
  <si>
    <t>XADLU</t>
  </si>
  <si>
    <t>XADPR</t>
  </si>
  <si>
    <t>XADUU</t>
  </si>
  <si>
    <t>XADPCO</t>
  </si>
  <si>
    <t>XADIN</t>
  </si>
  <si>
    <t>XADNZ</t>
  </si>
  <si>
    <t>XUVINU</t>
  </si>
  <si>
    <t>TXAD-TH</t>
  </si>
  <si>
    <t>XMAD</t>
  </si>
  <si>
    <t>2026-06-40</t>
  </si>
  <si>
    <t>XADXP</t>
  </si>
  <si>
    <t>XIADL</t>
  </si>
  <si>
    <t>XGAD</t>
  </si>
  <si>
    <t>XADTK</t>
  </si>
  <si>
    <t>XADMUG</t>
  </si>
  <si>
    <t>XADLV</t>
  </si>
  <si>
    <t>XADXUR</t>
  </si>
  <si>
    <t>XADADG</t>
  </si>
  <si>
    <t>XADIL</t>
  </si>
  <si>
    <t>XADPUK</t>
  </si>
  <si>
    <t>XADCAD</t>
  </si>
  <si>
    <t>김늠름</t>
    <phoneticPr fontId="16" type="noConversion"/>
  </si>
  <si>
    <t>XXU (ZU)</t>
  </si>
  <si>
    <t>XADWU (UfricU_ADN)</t>
  </si>
  <si>
    <t>XADWU (UfricU_FR)</t>
  </si>
  <si>
    <t>XADADU</t>
  </si>
  <si>
    <t>XCIC</t>
  </si>
  <si>
    <t>XADHK</t>
  </si>
  <si>
    <t>XADT</t>
  </si>
  <si>
    <t>XADJ</t>
  </si>
  <si>
    <t>SUBSIDIARY(법인)</t>
    <phoneticPr fontId="16" type="noConversion"/>
  </si>
  <si>
    <t>https://www.company-name.com/ae/</t>
  </si>
  <si>
    <t>https://www.company-name.com/ae_ar/</t>
  </si>
  <si>
    <t>XADWU</t>
  </si>
  <si>
    <t>https://www.company-name.com/africa_en/</t>
  </si>
  <si>
    <t>https://www.company-name.com/africa_fr/</t>
  </si>
  <si>
    <t>https://www.company-name.com/africa_pt/</t>
  </si>
  <si>
    <t>https://www.company-name.com/al/</t>
  </si>
  <si>
    <t>https://www.company-name.com/ar/</t>
  </si>
  <si>
    <t>4rd Party Shop - Vtex</t>
  </si>
  <si>
    <t>XADUX</t>
  </si>
  <si>
    <t>https://www.company-name.com/at/</t>
  </si>
  <si>
    <t>https://www.company-name.com/au/</t>
  </si>
  <si>
    <t>XADRC</t>
  </si>
  <si>
    <t>https://www.company-name.com/az/</t>
  </si>
  <si>
    <t>https://www.company-name.com/ba/</t>
  </si>
  <si>
    <t>https://www.company-name.com/bd/</t>
  </si>
  <si>
    <t>XADBN</t>
  </si>
  <si>
    <t>https://www.company-name.com/be/</t>
  </si>
  <si>
    <t>https://www.company-name.com/be_fr/</t>
  </si>
  <si>
    <t>https://www.company-name.com/bg/</t>
  </si>
  <si>
    <t>https://www.company-name.com/br/</t>
  </si>
  <si>
    <t>https://www.company-name.com/ca/</t>
  </si>
  <si>
    <t>https://www.company-name.com/ca_fr/</t>
  </si>
  <si>
    <t>https://www.company-name.com/ch/</t>
  </si>
  <si>
    <t>https://www.company-name.com/ch_fr/</t>
  </si>
  <si>
    <t>https://www.company-name.com/cl/</t>
  </si>
  <si>
    <t>https://www.company-name.com.cn</t>
  </si>
  <si>
    <t>https://www.company-name.com/co/</t>
  </si>
  <si>
    <t>https://www.company-name.com/cz/</t>
  </si>
  <si>
    <t>https://www.company-name.com/de/</t>
  </si>
  <si>
    <t>https://www.company-name.com/dk/</t>
  </si>
  <si>
    <t>https://www.company-name.com/ee/</t>
  </si>
  <si>
    <t>XADADG-X</t>
  </si>
  <si>
    <t>https://www.company-name.com/eg/</t>
  </si>
  <si>
    <t>XADIB</t>
  </si>
  <si>
    <t>https://www.company-name.com/es/</t>
  </si>
  <si>
    <t>https://www.company-name.com/fi/</t>
  </si>
  <si>
    <t>https://www.company-name.com/fr/</t>
  </si>
  <si>
    <t>https://www.company-name.com/ge/</t>
  </si>
  <si>
    <t>XADGR</t>
  </si>
  <si>
    <t>https://www.company-name.com/gr/</t>
  </si>
  <si>
    <t>https://www.company-name.com/hk/</t>
  </si>
  <si>
    <t>https://www.company-name.com/hk_en/</t>
  </si>
  <si>
    <t>~21.08 : Hong Kong(en)</t>
  </si>
  <si>
    <t>https://www.company-name.com/hr/</t>
  </si>
  <si>
    <t>https://www.company-name.com/hu/</t>
  </si>
  <si>
    <t>https://www.company-name.com/id/</t>
  </si>
  <si>
    <t>https://www.company-name.com/ie/</t>
  </si>
  <si>
    <t>4rd Party Shop - Holbi</t>
  </si>
  <si>
    <t>https://www.company-name.com/il/</t>
  </si>
  <si>
    <t>https://www.company-name.com/in/</t>
  </si>
  <si>
    <t>https://www.company-name.com/iq_ar/</t>
  </si>
  <si>
    <t>https://www.company-name.com/iq_ku/</t>
  </si>
  <si>
    <t>IrUn</t>
  </si>
  <si>
    <t>https://www.company-name.com/iran/</t>
  </si>
  <si>
    <t>https://www.company-name.com/it/</t>
  </si>
  <si>
    <t>https://www.company-name.com/jp/</t>
  </si>
  <si>
    <t>https://www.company-name.com/kz_kz/</t>
  </si>
  <si>
    <t>https://www.company-name.com/kz_ru/</t>
  </si>
  <si>
    <t>https://www.company-name.com/latin/</t>
  </si>
  <si>
    <t>4rd Party Shop - Magento</t>
  </si>
  <si>
    <t>https://www.company-name.com/latin_en/</t>
  </si>
  <si>
    <t>https://www.company-name.com/lb/</t>
  </si>
  <si>
    <t>https://www.company-name.com/levant/</t>
  </si>
  <si>
    <t>https://www.company-name.com/levant_ar/</t>
  </si>
  <si>
    <t>https://www.company-name.com/lt/</t>
  </si>
  <si>
    <t>https://www.company-name.com/lv/</t>
  </si>
  <si>
    <t>https://www.company-name.com/mk/</t>
  </si>
  <si>
    <t>TXAD</t>
  </si>
  <si>
    <t>https://www.company-name.com/mm/</t>
  </si>
  <si>
    <t>https://www.company-name.com/mn/</t>
  </si>
  <si>
    <t>https://www.company-name.com/mx/</t>
  </si>
  <si>
    <t>https://www.company-name.com/my/</t>
  </si>
  <si>
    <t>https://www.company-name.com/n_africa/</t>
  </si>
  <si>
    <t>https://www.company-name.com/nl/</t>
  </si>
  <si>
    <t>https://www.company-name.com/no/</t>
  </si>
  <si>
    <t>https://www.company-name.com/nz/</t>
  </si>
  <si>
    <t>https://www.company-name.com/pe/</t>
  </si>
  <si>
    <t>https://www.company-name.com/ph/</t>
  </si>
  <si>
    <t>https://www.company-name.com/pk/</t>
  </si>
  <si>
    <t>https://www.company-name.com/pl/</t>
  </si>
  <si>
    <t>https://www.company-name.com/ps/</t>
  </si>
  <si>
    <t>https://www.company-name.com/pt/</t>
  </si>
  <si>
    <t>https://www.company-name.com/py/</t>
  </si>
  <si>
    <t>https://www.company-name.com/ro/</t>
  </si>
  <si>
    <t>https://www.company-name.com/rs/</t>
  </si>
  <si>
    <t>https://www.company-name.com/ru/</t>
  </si>
  <si>
    <t>https://www.company-name.com/sa/</t>
  </si>
  <si>
    <t>https://www.company-name.com/sa_en/</t>
  </si>
  <si>
    <t>https://www.company-name.com/se/</t>
  </si>
  <si>
    <t>XADC</t>
  </si>
  <si>
    <t>https://www.company-name.com/sec/</t>
  </si>
  <si>
    <t>4rd Party Shop - IBM</t>
  </si>
  <si>
    <t>https://www.company-name.com/sg/</t>
  </si>
  <si>
    <t>https://www.company-name.com/si/</t>
  </si>
  <si>
    <t>https://www.company-name.com/sk/</t>
  </si>
  <si>
    <t>https://www.company-name.com/th/</t>
  </si>
  <si>
    <t>https://www.company-name.com/tr/</t>
  </si>
  <si>
    <t>https://www.company-name.com/tw/</t>
  </si>
  <si>
    <t>https://www.company-name.com/ua/</t>
  </si>
  <si>
    <t>https://www.company-name.com/uk/</t>
  </si>
  <si>
    <t>https://www.company-name.com/us/</t>
  </si>
  <si>
    <t>https://www.company-name.com/uy/</t>
  </si>
  <si>
    <t>XADUZ</t>
  </si>
  <si>
    <t>https://www.company-name.com/uz_ru/</t>
  </si>
  <si>
    <t>https://www.company-name.com/uz_uz/</t>
  </si>
  <si>
    <t>https://www.company-name.com/vn/</t>
  </si>
  <si>
    <t>XXU</t>
  </si>
  <si>
    <t>https://www.company-name.com/za/</t>
  </si>
  <si>
    <t>fr</t>
    <phoneticPr fontId="16" type="noConversion"/>
  </si>
  <si>
    <t>jp</t>
    <phoneticPr fontId="16" type="noConversion"/>
  </si>
  <si>
    <t>https://company_name.com/us/offer/test-campaign-2026</t>
  </si>
  <si>
    <t>https://company_name.com/us/offer/test-campaign-2026-other</t>
  </si>
  <si>
    <t>https://company_name.com/us/offer/test-campaign-2026-another</t>
  </si>
  <si>
    <t>https://company_name.com/us/offer/test-campaign-2025</t>
  </si>
  <si>
    <t>https://company_name.com/us/offer/test-campaign-2025-other</t>
  </si>
  <si>
    <t>https://company_name.com/de/offer/test-campaign-2026</t>
  </si>
  <si>
    <t>https://company_name.com/de/offer/test-campaign-2026-other</t>
  </si>
  <si>
    <t>https://company_name.com/de/offer/test-campaign-2025</t>
  </si>
  <si>
    <t>https://company_name.com/sec/offer/test-campaign-2026</t>
  </si>
  <si>
    <t>2026 TEST Campaign Execution Summary</t>
    <phoneticPr fontId="24" type="noConversion"/>
  </si>
  <si>
    <t>[2026 TEST] Appendix (URL)</t>
    <phoneticPr fontId="24" type="noConversion"/>
  </si>
  <si>
    <t>XADIB-ES</t>
    <phoneticPr fontId="16" type="noConversion"/>
  </si>
  <si>
    <t>XADBN-BE</t>
    <phoneticPr fontId="16" type="noConversion"/>
  </si>
  <si>
    <t>XADUK-IE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</si>
</sst>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76" formatCode="_(* #,##0_);_(* \(#,##0\);_(* &quot;-&quot;_);_(@_)"/>
    <numFmt numFmtId="177" formatCode="#,###&quot;일&quot;"/>
  </numFmts>
  <fonts count="46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u/>
      <sz val="11"/>
      <color theme="1"/>
      <name val="맑은 고딕"/>
      <family val="2"/>
      <scheme val="minor"/>
    </font>
    <font>
      <b/>
      <u/>
      <sz val="11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11"/>
      <color rgb="FF0070C0"/>
      <name val="맑은 고딕"/>
      <family val="2"/>
      <scheme val="minor"/>
    </font>
    <font>
      <sz val="11"/>
      <color rgb="FF0070C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u/>
      <sz val="11"/>
      <color theme="1"/>
      <name val="Malgun Gothic"/>
      <family val="3"/>
      <charset val="129"/>
    </font>
    <font>
      <i/>
      <sz val="9"/>
      <color theme="1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2" tint="-0.249977111117893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Arial"/>
      <family val="2"/>
    </font>
    <font>
      <b/>
      <sz val="16"/>
      <name val="Arial"/>
      <family val="2"/>
    </font>
    <font>
      <sz val="8"/>
      <name val="맑은 고딕"/>
      <family val="2"/>
      <charset val="129"/>
      <scheme val="minor"/>
    </font>
    <font>
      <b/>
      <sz val="14"/>
      <color theme="0"/>
      <name val="Arial"/>
      <family val="2"/>
    </font>
    <font>
      <i/>
      <sz val="10"/>
      <name val="Arial"/>
      <family val="2"/>
    </font>
    <font>
      <i/>
      <sz val="10"/>
      <name val="Arial"/>
      <family val="3"/>
    </font>
    <font>
      <b/>
      <sz val="12"/>
      <color theme="1"/>
      <name val="Arial"/>
      <family val="2"/>
    </font>
    <font>
      <i/>
      <sz val="10"/>
      <color theme="1"/>
      <name val="Arial"/>
      <family val="2"/>
    </font>
    <font>
      <sz val="9"/>
      <color theme="0" tint="-0.499984740745262"/>
      <name val="Arial"/>
      <family val="2"/>
    </font>
    <font>
      <sz val="9"/>
      <color theme="0" tint="-0.499984740745262"/>
      <name val="맑은 고딕"/>
      <family val="2"/>
      <charset val="129"/>
    </font>
    <font>
      <sz val="10"/>
      <color rgb="FF000000"/>
      <name val="맑은 고딕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 tint="-0.1499984740745262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ajor"/>
    </font>
    <font>
      <sz val="11"/>
      <color theme="0"/>
      <name val="맑은 고딕"/>
      <family val="2"/>
      <scheme val="minor"/>
    </font>
    <font>
      <b/>
      <sz val="10"/>
      <color theme="2" tint="-0.249977111117893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</borders>
  <cellStyleXfs count="6">
    <xf numFmtId="0" fontId="0" fillId="0" borderId="0"/>
    <xf numFmtId="176" fontId="8" fillId="0" borderId="0">
      <alignment vertical="center"/>
    </xf>
    <xf numFmtId="0" fontId="13" fillId="0" borderId="0"/>
    <xf numFmtId="0" fontId="32" fillId="0" borderId="0"/>
    <xf numFmtId="0" fontId="37" fillId="0" borderId="0"/>
    <xf numFmtId="41" fontId="38" fillId="0" borderId="0" applyFont="0" applyFill="0" applyBorder="0" applyAlignment="0" applyProtection="0">
      <alignment vertical="center"/>
    </xf>
  </cellStyleXfs>
  <cellXfs count="191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14" fontId="0" fillId="2" borderId="0" xfId="0" applyNumberFormat="1" applyFill="1" applyAlignment="1">
      <alignment vertical="center"/>
    </xf>
    <xf numFmtId="0" fontId="5" fillId="2" borderId="0" xfId="0" applyFont="1" applyFill="1" applyAlignment="1">
      <alignment vertical="center" wrapText="1"/>
    </xf>
    <xf numFmtId="14" fontId="5" fillId="2" borderId="0" xfId="0" applyNumberFormat="1" applyFont="1" applyFill="1" applyAlignment="1">
      <alignment vertical="center" wrapText="1"/>
    </xf>
    <xf numFmtId="0" fontId="9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0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2"/>
    <xf numFmtId="0" fontId="0" fillId="0" borderId="0" xfId="0" applyAlignment="1">
      <alignment horizont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14" fontId="15" fillId="0" borderId="0" xfId="0" applyNumberFormat="1" applyFont="1" applyAlignment="1">
      <alignment vertical="center"/>
    </xf>
    <xf numFmtId="0" fontId="0" fillId="0" borderId="2" xfId="0" applyBorder="1" applyAlignment="1">
      <alignment vertical="center"/>
    </xf>
    <xf numFmtId="14" fontId="0" fillId="0" borderId="2" xfId="0" applyNumberFormat="1" applyBorder="1" applyAlignment="1">
      <alignment vertical="center"/>
    </xf>
    <xf numFmtId="0" fontId="14" fillId="0" borderId="2" xfId="0" applyFont="1" applyBorder="1" applyAlignment="1">
      <alignment vertical="center" wrapText="1"/>
    </xf>
    <xf numFmtId="14" fontId="0" fillId="0" borderId="0" xfId="0" applyNumberFormat="1"/>
    <xf numFmtId="0" fontId="0" fillId="0" borderId="4" xfId="0" applyBorder="1" applyAlignment="1">
      <alignment vertical="center"/>
    </xf>
    <xf numFmtId="0" fontId="14" fillId="0" borderId="4" xfId="0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14" fillId="0" borderId="3" xfId="0" applyFont="1" applyBorder="1" applyAlignment="1">
      <alignment vertical="center" wrapText="1"/>
    </xf>
    <xf numFmtId="14" fontId="0" fillId="0" borderId="4" xfId="0" applyNumberFormat="1" applyBorder="1" applyAlignment="1">
      <alignment vertical="center"/>
    </xf>
    <xf numFmtId="0" fontId="12" fillId="0" borderId="5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/>
    <xf numFmtId="14" fontId="0" fillId="0" borderId="3" xfId="0" applyNumberFormat="1" applyBorder="1" applyAlignment="1">
      <alignment vertical="center"/>
    </xf>
    <xf numFmtId="14" fontId="0" fillId="0" borderId="1" xfId="0" applyNumberFormat="1" applyBorder="1"/>
    <xf numFmtId="0" fontId="0" fillId="0" borderId="3" xfId="0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14" fontId="7" fillId="0" borderId="3" xfId="0" applyNumberFormat="1" applyFont="1" applyBorder="1" applyAlignment="1">
      <alignment vertical="center"/>
    </xf>
    <xf numFmtId="14" fontId="17" fillId="0" borderId="0" xfId="0" applyNumberFormat="1" applyFont="1" applyAlignment="1">
      <alignment vertical="center"/>
    </xf>
    <xf numFmtId="0" fontId="17" fillId="0" borderId="0" xfId="0" applyFont="1" applyAlignment="1">
      <alignment horizontal="right" vertical="center"/>
    </xf>
    <xf numFmtId="0" fontId="18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0" fillId="0" borderId="6" xfId="0" applyBorder="1"/>
    <xf numFmtId="0" fontId="14" fillId="0" borderId="7" xfId="0" applyFont="1" applyBorder="1" applyAlignment="1">
      <alignment vertical="center" wrapText="1"/>
    </xf>
    <xf numFmtId="0" fontId="0" fillId="0" borderId="10" xfId="0" applyBorder="1" applyAlignment="1">
      <alignment vertical="center"/>
    </xf>
    <xf numFmtId="0" fontId="6" fillId="0" borderId="11" xfId="0" applyFont="1" applyBorder="1" applyAlignment="1">
      <alignment vertical="center"/>
    </xf>
    <xf numFmtId="14" fontId="7" fillId="0" borderId="9" xfId="0" applyNumberFormat="1" applyFont="1" applyBorder="1" applyAlignment="1">
      <alignment vertical="center"/>
    </xf>
    <xf numFmtId="14" fontId="0" fillId="0" borderId="10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2" xfId="0" applyBorder="1" applyAlignment="1">
      <alignment vertical="center"/>
    </xf>
    <xf numFmtId="0" fontId="6" fillId="0" borderId="13" xfId="0" applyFont="1" applyBorder="1" applyAlignment="1">
      <alignment vertical="center"/>
    </xf>
    <xf numFmtId="14" fontId="7" fillId="0" borderId="8" xfId="0" applyNumberFormat="1" applyFont="1" applyBorder="1" applyAlignment="1">
      <alignment vertical="center"/>
    </xf>
    <xf numFmtId="14" fontId="0" fillId="0" borderId="12" xfId="0" applyNumberForma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14" fontId="0" fillId="0" borderId="9" xfId="0" applyNumberFormat="1" applyBorder="1" applyAlignment="1">
      <alignment vertical="center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vertical="center"/>
    </xf>
    <xf numFmtId="0" fontId="12" fillId="0" borderId="15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0" fontId="14" fillId="0" borderId="11" xfId="0" applyFont="1" applyBorder="1" applyAlignment="1">
      <alignment vertical="center" wrapText="1"/>
    </xf>
    <xf numFmtId="0" fontId="14" fillId="0" borderId="16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14" fontId="0" fillId="0" borderId="8" xfId="0" applyNumberFormat="1" applyBorder="1" applyAlignment="1">
      <alignment vertical="center"/>
    </xf>
    <xf numFmtId="0" fontId="1" fillId="0" borderId="13" xfId="0" applyFont="1" applyBorder="1" applyAlignment="1">
      <alignment vertical="center"/>
    </xf>
    <xf numFmtId="14" fontId="0" fillId="0" borderId="13" xfId="0" applyNumberFormat="1" applyBorder="1" applyAlignment="1">
      <alignment vertical="center"/>
    </xf>
    <xf numFmtId="0" fontId="0" fillId="0" borderId="14" xfId="0" applyBorder="1" applyAlignment="1">
      <alignment vertical="center" wrapText="1"/>
    </xf>
    <xf numFmtId="0" fontId="0" fillId="0" borderId="17" xfId="0" applyBorder="1" applyAlignment="1">
      <alignment vertical="center"/>
    </xf>
    <xf numFmtId="14" fontId="0" fillId="0" borderId="6" xfId="0" applyNumberFormat="1" applyBorder="1"/>
    <xf numFmtId="14" fontId="6" fillId="0" borderId="17" xfId="0" applyNumberFormat="1" applyFont="1" applyBorder="1" applyAlignment="1">
      <alignment vertical="center"/>
    </xf>
    <xf numFmtId="14" fontId="6" fillId="0" borderId="16" xfId="0" applyNumberFormat="1" applyFont="1" applyBorder="1" applyAlignment="1">
      <alignment vertical="center"/>
    </xf>
    <xf numFmtId="14" fontId="6" fillId="0" borderId="7" xfId="0" applyNumberFormat="1" applyFont="1" applyBorder="1" applyAlignment="1">
      <alignment vertical="center"/>
    </xf>
    <xf numFmtId="0" fontId="19" fillId="0" borderId="0" xfId="0" applyFont="1"/>
    <xf numFmtId="0" fontId="20" fillId="0" borderId="0" xfId="0" applyFont="1"/>
    <xf numFmtId="14" fontId="17" fillId="0" borderId="1" xfId="0" applyNumberFormat="1" applyFont="1" applyBorder="1" applyAlignment="1">
      <alignment vertical="center"/>
    </xf>
    <xf numFmtId="177" fontId="20" fillId="0" borderId="0" xfId="1" applyNumberFormat="1" applyFont="1" applyAlignment="1">
      <alignment horizontal="center" vertical="center"/>
    </xf>
    <xf numFmtId="14" fontId="19" fillId="0" borderId="1" xfId="0" applyNumberFormat="1" applyFont="1" applyBorder="1" applyAlignment="1">
      <alignment vertical="center"/>
    </xf>
    <xf numFmtId="14" fontId="19" fillId="0" borderId="0" xfId="0" applyNumberFormat="1" applyFont="1"/>
    <xf numFmtId="14" fontId="19" fillId="0" borderId="1" xfId="0" applyNumberFormat="1" applyFont="1" applyBorder="1"/>
    <xf numFmtId="0" fontId="19" fillId="0" borderId="1" xfId="0" applyFont="1" applyBorder="1"/>
    <xf numFmtId="0" fontId="10" fillId="0" borderId="0" xfId="0" applyFont="1"/>
    <xf numFmtId="177" fontId="20" fillId="0" borderId="6" xfId="1" applyNumberFormat="1" applyFont="1" applyBorder="1" applyAlignment="1">
      <alignment horizontal="center" vertical="center"/>
    </xf>
    <xf numFmtId="177" fontId="21" fillId="0" borderId="0" xfId="1" applyNumberFormat="1" applyFont="1" applyAlignment="1">
      <alignment horizontal="center" vertical="center"/>
    </xf>
    <xf numFmtId="0" fontId="19" fillId="0" borderId="6" xfId="0" applyFont="1" applyBorder="1"/>
    <xf numFmtId="177" fontId="21" fillId="0" borderId="21" xfId="1" applyNumberFormat="1" applyFont="1" applyBorder="1" applyAlignment="1">
      <alignment horizontal="center" vertical="center"/>
    </xf>
    <xf numFmtId="0" fontId="19" fillId="0" borderId="21" xfId="0" applyFont="1" applyBorder="1"/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14" fontId="29" fillId="4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35" fillId="0" borderId="25" xfId="3" applyFont="1" applyBorder="1" applyAlignment="1">
      <alignment horizontal="center" vertical="center"/>
    </xf>
    <xf numFmtId="0" fontId="33" fillId="5" borderId="23" xfId="3" applyFont="1" applyFill="1" applyBorder="1" applyAlignment="1">
      <alignment horizontal="center" vertical="center"/>
    </xf>
    <xf numFmtId="0" fontId="33" fillId="5" borderId="24" xfId="3" applyFont="1" applyFill="1" applyBorder="1" applyAlignment="1">
      <alignment horizontal="center" vertical="center"/>
    </xf>
    <xf numFmtId="0" fontId="36" fillId="0" borderId="2" xfId="3" applyFont="1" applyBorder="1" applyAlignment="1">
      <alignment horizontal="center" vertical="center"/>
    </xf>
    <xf numFmtId="0" fontId="35" fillId="0" borderId="7" xfId="3" applyFont="1" applyBorder="1" applyAlignment="1">
      <alignment horizontal="center" vertical="center"/>
    </xf>
    <xf numFmtId="14" fontId="35" fillId="0" borderId="5" xfId="3" applyNumberFormat="1" applyFont="1" applyBorder="1" applyAlignment="1">
      <alignment horizontal="left" vertical="center" wrapText="1" indent="1"/>
    </xf>
    <xf numFmtId="0" fontId="14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33" fillId="5" borderId="27" xfId="3" applyFont="1" applyFill="1" applyBorder="1" applyAlignment="1">
      <alignment horizontal="center" vertical="center"/>
    </xf>
    <xf numFmtId="0" fontId="34" fillId="5" borderId="29" xfId="0" applyFont="1" applyFill="1" applyBorder="1" applyAlignment="1">
      <alignment horizontal="center" vertical="center"/>
    </xf>
    <xf numFmtId="0" fontId="34" fillId="5" borderId="28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4" fontId="35" fillId="0" borderId="26" xfId="3" applyNumberFormat="1" applyFont="1" applyBorder="1" applyAlignment="1">
      <alignment horizontal="left" vertical="center" wrapText="1" indent="1"/>
    </xf>
    <xf numFmtId="0" fontId="35" fillId="0" borderId="30" xfId="3" applyFont="1" applyBorder="1" applyAlignment="1">
      <alignment horizontal="center" vertical="center"/>
    </xf>
    <xf numFmtId="0" fontId="36" fillId="0" borderId="31" xfId="3" applyFont="1" applyBorder="1" applyAlignment="1">
      <alignment horizontal="center" vertical="center"/>
    </xf>
    <xf numFmtId="0" fontId="35" fillId="0" borderId="32" xfId="3" applyFont="1" applyBorder="1" applyAlignment="1">
      <alignment horizontal="center" vertical="center"/>
    </xf>
    <xf numFmtId="14" fontId="35" fillId="0" borderId="33" xfId="3" applyNumberFormat="1" applyFont="1" applyBorder="1" applyAlignment="1">
      <alignment horizontal="left" vertical="center" wrapText="1" indent="1"/>
    </xf>
    <xf numFmtId="14" fontId="35" fillId="0" borderId="34" xfId="3" applyNumberFormat="1" applyFont="1" applyBorder="1" applyAlignment="1">
      <alignment horizontal="left" vertical="center" wrapText="1" indent="1"/>
    </xf>
    <xf numFmtId="0" fontId="19" fillId="6" borderId="0" xfId="0" applyFont="1" applyFill="1"/>
    <xf numFmtId="14" fontId="20" fillId="6" borderId="0" xfId="0" applyNumberFormat="1" applyFont="1" applyFill="1" applyAlignment="1">
      <alignment vertical="center"/>
    </xf>
    <xf numFmtId="0" fontId="20" fillId="6" borderId="0" xfId="0" applyFont="1" applyFill="1"/>
    <xf numFmtId="0" fontId="10" fillId="6" borderId="0" xfId="0" applyFont="1" applyFill="1"/>
    <xf numFmtId="0" fontId="4" fillId="6" borderId="0" xfId="0" applyFont="1" applyFill="1" applyAlignment="1">
      <alignment vertical="center"/>
    </xf>
    <xf numFmtId="0" fontId="0" fillId="6" borderId="0" xfId="0" applyFill="1"/>
    <xf numFmtId="14" fontId="1" fillId="6" borderId="0" xfId="0" applyNumberFormat="1" applyFont="1" applyFill="1" applyAlignment="1">
      <alignment vertical="center"/>
    </xf>
    <xf numFmtId="0" fontId="4" fillId="6" borderId="0" xfId="0" applyFont="1" applyFill="1"/>
    <xf numFmtId="0" fontId="0" fillId="6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0" fontId="41" fillId="6" borderId="0" xfId="0" applyFont="1" applyFill="1" applyAlignment="1">
      <alignment horizontal="left" vertical="center" indent="1"/>
    </xf>
    <xf numFmtId="0" fontId="39" fillId="6" borderId="0" xfId="0" applyFont="1" applyFill="1" applyAlignment="1">
      <alignment horizontal="center" vertical="center"/>
    </xf>
    <xf numFmtId="0" fontId="42" fillId="6" borderId="0" xfId="0" applyFont="1" applyFill="1" applyAlignment="1">
      <alignment horizontal="center" vertical="center"/>
    </xf>
    <xf numFmtId="14" fontId="15" fillId="0" borderId="2" xfId="0" applyNumberFormat="1" applyFont="1" applyBorder="1" applyAlignment="1">
      <alignment vertical="center"/>
    </xf>
    <xf numFmtId="14" fontId="15" fillId="0" borderId="2" xfId="0" applyNumberFormat="1" applyFont="1" applyBorder="1"/>
    <xf numFmtId="0" fontId="15" fillId="0" borderId="3" xfId="0" applyFont="1" applyBorder="1"/>
    <xf numFmtId="0" fontId="15" fillId="0" borderId="3" xfId="0" applyFont="1" applyBorder="1" applyAlignment="1">
      <alignment vertical="center"/>
    </xf>
    <xf numFmtId="0" fontId="15" fillId="0" borderId="39" xfId="0" applyFont="1" applyBorder="1"/>
    <xf numFmtId="14" fontId="15" fillId="0" borderId="40" xfId="0" applyNumberFormat="1" applyFont="1" applyBorder="1" applyAlignment="1">
      <alignment vertical="center"/>
    </xf>
    <xf numFmtId="0" fontId="1" fillId="6" borderId="0" xfId="0" applyFont="1" applyFill="1" applyAlignment="1">
      <alignment vertical="center" wrapText="1"/>
    </xf>
    <xf numFmtId="0" fontId="15" fillId="0" borderId="16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15" fillId="0" borderId="7" xfId="0" applyFont="1" applyBorder="1" applyAlignment="1">
      <alignment wrapText="1"/>
    </xf>
    <xf numFmtId="0" fontId="15" fillId="0" borderId="41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19" xfId="0" applyFill="1" applyBorder="1" applyAlignment="1">
      <alignment vertical="center"/>
    </xf>
    <xf numFmtId="14" fontId="0" fillId="2" borderId="19" xfId="0" applyNumberFormat="1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4" fillId="0" borderId="19" xfId="0" applyFont="1" applyBorder="1" applyAlignment="1">
      <alignment vertic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40" fillId="0" borderId="18" xfId="0" applyFont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43" fillId="0" borderId="20" xfId="0" applyFont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44" fillId="0" borderId="2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14" fontId="45" fillId="6" borderId="0" xfId="0" applyNumberFormat="1" applyFont="1" applyFill="1" applyAlignment="1">
      <alignment horizontal="center" vertical="center"/>
    </xf>
    <xf numFmtId="0" fontId="1" fillId="0" borderId="36" xfId="0" applyFont="1" applyBorder="1" applyAlignment="1">
      <alignment vertical="center"/>
    </xf>
    <xf numFmtId="14" fontId="1" fillId="0" borderId="37" xfId="0" applyNumberFormat="1" applyFont="1" applyBorder="1"/>
    <xf numFmtId="0" fontId="1" fillId="0" borderId="38" xfId="0" applyFont="1" applyBorder="1" applyAlignment="1">
      <alignment vertical="center" wrapText="1"/>
    </xf>
    <xf numFmtId="0" fontId="15" fillId="0" borderId="9" xfId="0" applyFont="1" applyBorder="1" applyAlignment="1">
      <alignment vertical="center"/>
    </xf>
    <xf numFmtId="14" fontId="15" fillId="0" borderId="10" xfId="0" applyNumberFormat="1" applyFont="1" applyBorder="1" applyAlignment="1">
      <alignment vertical="center"/>
    </xf>
    <xf numFmtId="0" fontId="1" fillId="0" borderId="42" xfId="0" applyFont="1" applyBorder="1"/>
    <xf numFmtId="14" fontId="1" fillId="0" borderId="35" xfId="0" applyNumberFormat="1" applyFont="1" applyBorder="1"/>
    <xf numFmtId="0" fontId="15" fillId="0" borderId="43" xfId="0" applyFont="1" applyBorder="1" applyAlignment="1">
      <alignment vertical="center" wrapText="1"/>
    </xf>
    <xf numFmtId="0" fontId="1" fillId="6" borderId="0" xfId="0" applyFont="1" applyFill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5" fillId="0" borderId="1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6" borderId="0" xfId="0" applyFill="1" applyAlignment="1">
      <alignment horizontal="left"/>
    </xf>
  </cellXfs>
  <cellStyles count="6">
    <cellStyle name="쉼표 [0]" xfId="1" builtinId="6"/>
    <cellStyle name="쉼표 [0] 2 2" xfId="5" xr:uid="{FE7A7818-5DD2-4825-8220-5FE5D73448BA}"/>
    <cellStyle name="표준" xfId="0" builtinId="0"/>
    <cellStyle name="표준 2 2" xfId="3" xr:uid="{672CCBFD-080E-4972-A656-D1C2F436458D}"/>
    <cellStyle name="표준 5" xfId="4" xr:uid="{0E6CC748-2B5B-4E1E-9F12-803F9D44639A}"/>
    <cellStyle name="하이퍼링크" xfId="2" builtinId="8"/>
  </cellStyles>
  <dxfs count="4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Medium9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samsung.com/uk/offer/test-campaign-2026" TargetMode="External"/><Relationship Id="rId3" Type="http://schemas.openxmlformats.org/officeDocument/2006/relationships/hyperlink" Target="https://samsung.com/uk/offer/test-campaign-2026-another" TargetMode="External"/><Relationship Id="rId7" Type="http://schemas.openxmlformats.org/officeDocument/2006/relationships/hyperlink" Target="https://samsung.com/uk/offer/test-campaign-2026-other" TargetMode="External"/><Relationship Id="rId2" Type="http://schemas.openxmlformats.org/officeDocument/2006/relationships/hyperlink" Target="https://samsung.com/uk/offer/test-campaign-2026-other" TargetMode="External"/><Relationship Id="rId1" Type="http://schemas.openxmlformats.org/officeDocument/2006/relationships/hyperlink" Target="https://samsung.com/uk/offer/test-campaign-2026" TargetMode="External"/><Relationship Id="rId6" Type="http://schemas.openxmlformats.org/officeDocument/2006/relationships/hyperlink" Target="https://samsung.com/uk/offer/test-campaign-2026" TargetMode="External"/><Relationship Id="rId5" Type="http://schemas.openxmlformats.org/officeDocument/2006/relationships/hyperlink" Target="https://samsung.com/uk/offer/test-campaign-2025-other" TargetMode="External"/><Relationship Id="rId4" Type="http://schemas.openxmlformats.org/officeDocument/2006/relationships/hyperlink" Target="https://samsung.com/uk/offer/test-campaign-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X201"/>
  <sheetViews>
    <sheetView showGridLines="0" tabSelected="1" zoomScale="70" zoomScaleNormal="70" workbookViewId="0">
      <pane ySplit="4" topLeftCell="A5" activePane="bottomLeft" state="frozen"/>
      <selection pane="bottomLeft"/>
    </sheetView>
  </sheetViews>
  <sheetFormatPr defaultRowHeight="16.5"/>
  <cols>
    <col min="1" max="1" width="1.625" style="1" customWidth="1"/>
    <col min="2" max="2" width="5" style="1" bestFit="1" customWidth="1"/>
    <col min="3" max="3" width="9" style="1" customWidth="1"/>
    <col min="4" max="4" width="15.5" style="1" customWidth="1"/>
    <col min="5" max="5" width="12.25" style="1" customWidth="1"/>
    <col min="6" max="6" width="18.625" style="1" customWidth="1"/>
    <col min="7" max="7" width="8.875" style="1" customWidth="1"/>
    <col min="8" max="9" width="11.625" style="2" customWidth="1"/>
    <col min="10" max="10" width="12" style="1" bestFit="1" customWidth="1"/>
    <col min="11" max="12" width="12.25" bestFit="1" customWidth="1"/>
    <col min="13" max="13" width="25.625" style="23" customWidth="1"/>
    <col min="14" max="19" width="25.625" customWidth="1"/>
    <col min="20" max="20" width="9" customWidth="1"/>
    <col min="21" max="21" width="23.625" customWidth="1"/>
    <col min="22" max="22" width="9" customWidth="1"/>
    <col min="23" max="23" width="5" style="1" bestFit="1" customWidth="1"/>
    <col min="24" max="24" width="7.125" style="1" customWidth="1"/>
    <col min="25" max="25" width="8.5" style="1" customWidth="1"/>
    <col min="26" max="26" width="12.25" style="1" customWidth="1"/>
    <col min="27" max="27" width="16.25" style="1" customWidth="1"/>
    <col min="28" max="28" width="8.875" style="1" customWidth="1"/>
    <col min="29" max="30" width="11.625" style="2" customWidth="1"/>
    <col min="31" max="31" width="12.625" style="3" customWidth="1"/>
    <col min="32" max="32" width="5.875" style="2" customWidth="1"/>
    <col min="33" max="50" width="9" customWidth="1"/>
    <col min="51" max="53" width="9" style="1" customWidth="1"/>
    <col min="54" max="16384" width="9" style="1"/>
  </cols>
  <sheetData>
    <row r="1" spans="2:50" ht="26.25">
      <c r="B1" s="139" t="s">
        <v>489</v>
      </c>
      <c r="C1" s="140"/>
      <c r="D1" s="140"/>
      <c r="E1" s="140"/>
      <c r="F1" s="140"/>
      <c r="G1" s="140"/>
      <c r="H1" s="140"/>
      <c r="I1" s="140"/>
      <c r="J1" s="140"/>
      <c r="K1" s="54" t="s">
        <v>0</v>
      </c>
      <c r="L1" s="54"/>
      <c r="M1" s="141">
        <v>12</v>
      </c>
      <c r="N1" s="141">
        <f>M1+1</f>
        <v>13</v>
      </c>
      <c r="O1" s="141">
        <f t="shared" ref="O1:U1" si="0">N1+1</f>
        <v>14</v>
      </c>
      <c r="P1" s="141">
        <f t="shared" si="0"/>
        <v>15</v>
      </c>
      <c r="Q1" s="141">
        <f t="shared" si="0"/>
        <v>16</v>
      </c>
      <c r="R1" s="141">
        <f t="shared" si="0"/>
        <v>17</v>
      </c>
      <c r="S1" s="141">
        <f t="shared" si="0"/>
        <v>18</v>
      </c>
      <c r="T1" s="122">
        <f t="shared" si="0"/>
        <v>19</v>
      </c>
      <c r="U1" s="122">
        <f t="shared" si="0"/>
        <v>20</v>
      </c>
    </row>
    <row r="2" spans="2:50" ht="36">
      <c r="B2" s="4"/>
      <c r="G2" s="50" t="s">
        <v>1</v>
      </c>
      <c r="H2" s="49" t="str">
        <f>TEXT(MIN(H5:H201),"yyyy-mm-dd")</f>
        <v>2026-01-09</v>
      </c>
      <c r="I2" s="49" t="str">
        <f>TEXT(MAX(I5:I201),"yyyy-mm-dd")</f>
        <v>2026-10-18</v>
      </c>
      <c r="K2" s="49" t="str">
        <f>TEXT(MIN(K5:K201),"yyyy-mm-dd")</f>
        <v>2025-03-04</v>
      </c>
      <c r="L2" s="49" t="str">
        <f>TEXT(MAX(L5:L201),"yyyy-mm-dd")</f>
        <v>2025-10-18</v>
      </c>
      <c r="M2" s="24"/>
      <c r="N2" s="21" t="s">
        <v>282</v>
      </c>
      <c r="O2" s="22"/>
      <c r="P2" s="22"/>
      <c r="Q2" s="22"/>
      <c r="R2" s="22"/>
      <c r="S2" s="22"/>
      <c r="T2" s="1"/>
      <c r="U2" s="1"/>
      <c r="V2" s="1"/>
      <c r="W2" s="4" t="s">
        <v>279</v>
      </c>
      <c r="AB2" s="50" t="s">
        <v>1</v>
      </c>
      <c r="AC2" s="49" t="str">
        <f>TEXT(MIN(AC5:AC201),"yyyy-mm-dd")</f>
        <v>2026-01-09</v>
      </c>
      <c r="AD2" s="49" t="str">
        <f>TEXT(MAX(AD5:AD201),"yyyy-mm-dd")</f>
        <v>2026-10-18</v>
      </c>
      <c r="AE2" s="17" t="s">
        <v>281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2:50" ht="24" customHeight="1">
      <c r="B3" s="8"/>
      <c r="D3" s="51" t="str" cm="1">
        <f t="array" ref="D3">"고객법인일정파일 대비 없는 법인: "&amp;IFERROR(_xlfn.TEXTJOIN(", ",1,_xlfn._xlws.FILTER(고객법인일정파일!C4:C200,고객법인일정파일!U4:U200="사용 안됨")),"없음")</f>
        <v>고객법인일정파일 대비 없는 법인: TotUl, TotUl, TotUl, TotUl, TotUl, TotUl, TotUl, XADWU (UfricU_ADN), XADWU (UfricU_FR), XADADU, TotUl, TotUl, TotUl, 한총</v>
      </c>
      <c r="H3" s="44" t="s">
        <v>2</v>
      </c>
      <c r="I3" s="34" t="s">
        <v>2</v>
      </c>
      <c r="J3" s="17" t="s">
        <v>3</v>
      </c>
      <c r="K3" s="42" t="s">
        <v>4</v>
      </c>
      <c r="L3" t="s">
        <v>4</v>
      </c>
      <c r="N3" s="44" t="s">
        <v>2</v>
      </c>
      <c r="O3" s="34" t="s">
        <v>2</v>
      </c>
      <c r="P3" s="34" t="s">
        <v>2</v>
      </c>
      <c r="Q3" s="42" t="s">
        <v>4</v>
      </c>
      <c r="R3" t="s">
        <v>4</v>
      </c>
      <c r="S3" s="55" t="s">
        <v>4</v>
      </c>
      <c r="T3" s="1"/>
      <c r="U3" s="1"/>
      <c r="V3" s="1"/>
      <c r="AC3" s="44" t="s">
        <v>2</v>
      </c>
      <c r="AD3" s="34" t="s">
        <v>2</v>
      </c>
      <c r="AE3" s="83" t="s">
        <v>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2:50" ht="32.1" customHeight="1" thickBot="1">
      <c r="B4" s="76" t="s">
        <v>5</v>
      </c>
      <c r="C4" s="62" t="s">
        <v>292</v>
      </c>
      <c r="D4" s="62" t="s">
        <v>7</v>
      </c>
      <c r="E4" s="62" t="s">
        <v>8</v>
      </c>
      <c r="F4" s="62" t="s">
        <v>9</v>
      </c>
      <c r="G4" s="77" t="s">
        <v>307</v>
      </c>
      <c r="H4" s="78" t="s">
        <v>308</v>
      </c>
      <c r="I4" s="65" t="s">
        <v>309</v>
      </c>
      <c r="J4" s="79" t="s">
        <v>14</v>
      </c>
      <c r="K4" s="78" t="s">
        <v>308</v>
      </c>
      <c r="L4" s="80" t="s">
        <v>309</v>
      </c>
      <c r="M4" s="81" t="s">
        <v>15</v>
      </c>
      <c r="N4" s="61" t="s">
        <v>16</v>
      </c>
      <c r="O4" s="62" t="s">
        <v>17</v>
      </c>
      <c r="P4" s="77" t="s">
        <v>18</v>
      </c>
      <c r="Q4" s="61" t="s">
        <v>16</v>
      </c>
      <c r="R4" s="62" t="s">
        <v>17</v>
      </c>
      <c r="S4" s="82" t="s">
        <v>18</v>
      </c>
      <c r="T4" s="118"/>
      <c r="U4" s="118" t="s">
        <v>299</v>
      </c>
      <c r="V4" s="1"/>
      <c r="W4" s="76" t="s">
        <v>5</v>
      </c>
      <c r="X4" s="62" t="s">
        <v>6</v>
      </c>
      <c r="Y4" s="62" t="s">
        <v>7</v>
      </c>
      <c r="Z4" s="62" t="s">
        <v>8</v>
      </c>
      <c r="AA4" s="62" t="s">
        <v>9</v>
      </c>
      <c r="AB4" s="63" t="s">
        <v>10</v>
      </c>
      <c r="AC4" s="64" t="s">
        <v>11</v>
      </c>
      <c r="AD4" s="65" t="s">
        <v>12</v>
      </c>
      <c r="AE4" s="84" t="s">
        <v>13</v>
      </c>
      <c r="AF4" s="9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2:50" ht="24" customHeight="1" thickTop="1">
      <c r="B5" s="66">
        <f>IF($G5="","",IFERROR(VLOOKUP($G5,RAW_tier!$B$2:$C$200,2,0),2))</f>
        <v>2</v>
      </c>
      <c r="C5" s="57" t="str">
        <f>IF(ISBLANK(태깅기획site_code!F4),"",태깅기획site_code!C4)</f>
        <v>MENA</v>
      </c>
      <c r="D5" s="57" t="str">
        <f>IF(ISBLANK(태깅기획site_code!F4),"",IF(고객법인일정파일!P4="한총","SEC",IF(LEN(TRIM(고객법인일정파일!P4))=0,태깅기획site_code!D4,고객법인일정파일!P4)))</f>
        <v>XGAD</v>
      </c>
      <c r="E5" s="57" t="str">
        <f>IF(ISBLANK(태깅기획site_code!F4),"",태깅기획site_code!E4)</f>
        <v>UAE</v>
      </c>
      <c r="F5" s="57" t="str">
        <f>IF(ISBLANK(태깅기획site_code!F4),"",태깅기획site_code!J4)</f>
        <v>UAE</v>
      </c>
      <c r="G5" s="67" t="str">
        <f>IF(ISBLANK(태깅기획site_code!B4),"",태깅기획site_code!F4)</f>
        <v>ae</v>
      </c>
      <c r="H5" s="68" t="str">
        <f>IF(ISBLANK(태깅기획site_code!F4),"",IF(고객법인일정파일!Q4="X","X",고객법인일정파일!R4))</f>
        <v>TBC</v>
      </c>
      <c r="I5" s="60" t="str">
        <f>IF(ISBLANK(태깅기획site_code!F4),"",IF(고객법인일정파일!Q4="X","",고객법인일정파일!S4))</f>
        <v>TBC</v>
      </c>
      <c r="J5" s="69"/>
      <c r="K5" s="68" t="str">
        <f>IFERROR(H5-365,"TBD")</f>
        <v>TBD</v>
      </c>
      <c r="L5" s="70" t="str">
        <f>IFERROR(I5-365,"TBD")</f>
        <v>TBD</v>
      </c>
      <c r="M5" s="71" t="str">
        <f>IF($D5="","",VLOOKUP($D5,고객법인일정파일!$C$5:$J$200,8,0))&amp;""</f>
        <v>Note1-test XADBN-NL</v>
      </c>
      <c r="N5" s="72" t="str" cm="1">
        <f t="array" ref="N5">_xlfn.TEXTJOIN(CHAR(10), 1, _xlfn._xlws.FILTER('RAW_URL,PageName'!D$2:D$999, ('RAW_URL,PageName'!$C$2:$C$999=$G5)*('RAW_URL,PageName'!$B$2:$B$999="TY"), ""))</f>
        <v/>
      </c>
      <c r="O5" s="73" t="str" cm="1">
        <f t="array" ref="O5">_xlfn.TEXTJOIN(CHAR(10), 1, _xlfn._xlws.FILTER('RAW_URL,PageName'!E$2:E$999, ('RAW_URL,PageName'!$C$2:$C$999=$G5)*('RAW_URL,PageName'!$B$2:$B$999="TY"), ""))</f>
        <v/>
      </c>
      <c r="P5" s="74" t="str" cm="1">
        <f t="array" ref="P5">_xlfn.TEXTJOIN(CHAR(10), 1, _xlfn._xlws.FILTER('RAW_URL,PageName'!F$2:F$999, ('RAW_URL,PageName'!$C$2:$C$999=$G5)*('RAW_URL,PageName'!$B$2:$B$999="TY"), ""))</f>
        <v/>
      </c>
      <c r="Q5" s="72" t="str" cm="1">
        <f t="array" ref="Q5">_xlfn.TEXTJOIN(CHAR(10), 1, _xlfn._xlws.FILTER('RAW_URL,PageName'!D$2:D$999, ('RAW_URL,PageName'!$C$2:$C$999=$G5)*('RAW_URL,PageName'!$B$2:$B$999="LY"), ""))</f>
        <v/>
      </c>
      <c r="R5" s="73" t="str" cm="1">
        <f t="array" ref="R5">_xlfn.TEXTJOIN(CHAR(10), 1, _xlfn._xlws.FILTER('RAW_URL,PageName'!E$2:E$999, ('RAW_URL,PageName'!$C$2:$C$999=$G5)*('RAW_URL,PageName'!$B$2:$B$999="LY"), ""))</f>
        <v/>
      </c>
      <c r="S5" s="75" t="str" cm="1">
        <f t="array" ref="S5">_xlfn.TEXTJOIN(CHAR(10), 1, _xlfn._xlws.FILTER('RAW_URL,PageName'!F$2:F$999, ('RAW_URL,PageName'!$C$2:$C$999=$G5)*('RAW_URL,PageName'!$B$2:$B$999="LY"), ""))</f>
        <v/>
      </c>
      <c r="T5" s="116"/>
      <c r="U5" s="116">
        <f>IFERROR(VLOOKUP($C5,태깅기획site_code!$N$4:$O$18,2,0),"")</f>
        <v>6</v>
      </c>
      <c r="V5" s="1"/>
      <c r="W5" s="66" cm="1">
        <f t="array" ref="W5:AD77">_xlfn._xlws.SORT(_xlfn.UNIQUE(_xlfn._xlws.FILTER(B5:I201,(F5:F201&lt;&gt;"")*(H5:H201&lt;&gt;"")*(J5:J201&lt;&gt;"O"))),1,1)</f>
        <v>1</v>
      </c>
      <c r="X5" s="57" t="str">
        <v>L.America</v>
      </c>
      <c r="Y5" s="57" t="str">
        <v>XADDU</v>
      </c>
      <c r="Z5" s="57" t="str">
        <v>Brazil</v>
      </c>
      <c r="AA5" s="57" t="str">
        <v>Brazil</v>
      </c>
      <c r="AB5" s="58" t="str">
        <v>br</v>
      </c>
      <c r="AC5" s="59">
        <v>46042</v>
      </c>
      <c r="AD5" s="60">
        <v>46063</v>
      </c>
      <c r="AE5" s="85">
        <f>IF(AD5="","",IF(IF(AD5&gt;api용!D$2,api용!D$2,AD5)&lt;AC5,"",IF(AD5&gt;api용!D$2,api용!D$2,AD5)))</f>
        <v>46063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2:50" ht="24" customHeight="1">
      <c r="B6" s="45">
        <f>IF($G6="","",IFERROR(VLOOKUP($G6,RAW_tier!$B$2:$C$200,2,0),2))</f>
        <v>2</v>
      </c>
      <c r="C6" s="31" t="str">
        <f>IF(ISBLANK(태깅기획site_code!F5),"",태깅기획site_code!C5)</f>
        <v>MENA</v>
      </c>
      <c r="D6" s="31" t="str">
        <f>IF(ISBLANK(태깅기획site_code!F5),"",IF(고객법인일정파일!P5="한총","SEC",IF(LEN(TRIM(고객법인일정파일!P5))=0,태깅기획site_code!D5,고객법인일정파일!P5)))</f>
        <v>XGAD</v>
      </c>
      <c r="E6" s="31" t="str">
        <f>IF(ISBLANK(태깅기획site_code!F5),"",태깅기획site_code!E5)</f>
        <v>UAE</v>
      </c>
      <c r="F6" s="31" t="str">
        <f>IF(ISBLANK(태깅기획site_code!F5),"",태깅기획site_code!J5)</f>
        <v>UAE (ar)</v>
      </c>
      <c r="G6" s="35" t="str">
        <f>IF(ISBLANK(태깅기획site_code!B5),"",태깅기획site_code!F5)</f>
        <v>ae_ar</v>
      </c>
      <c r="H6" s="43" t="str">
        <f>IF(ISBLANK(태깅기획site_code!F5),"",IF(고객법인일정파일!Q5="X","X",고객법인일정파일!R5))</f>
        <v>TBC</v>
      </c>
      <c r="I6" s="32" t="str">
        <f>IF(ISBLANK(태깅기획site_code!F5),"",IF(고객법인일정파일!Q5="X","",고객법인일정파일!S5))</f>
        <v>TBC</v>
      </c>
      <c r="J6" s="41"/>
      <c r="K6" s="43" t="s">
        <v>19</v>
      </c>
      <c r="L6" s="39" t="s">
        <v>19</v>
      </c>
      <c r="M6" s="40" t="str">
        <f>IF(D6="","",VLOOKUP(D6,고객법인일정파일!$C$5:$J$200,8,0))&amp;""</f>
        <v>Note1-test XADBN-NL</v>
      </c>
      <c r="N6" s="38" t="str" cm="1">
        <f t="array" ref="N6">_xlfn.TEXTJOIN(CHAR(10), 1, _xlfn._xlws.FILTER('RAW_URL,PageName'!D$2:D$999, ('RAW_URL,PageName'!$C$2:$C$999=$G6)*('RAW_URL,PageName'!$B$2:$B$999="TY"), ""))</f>
        <v/>
      </c>
      <c r="O6" s="33" t="str" cm="1">
        <f t="array" ref="O6">_xlfn.TEXTJOIN(CHAR(10), 1, _xlfn._xlws.FILTER('RAW_URL,PageName'!E$2:E$999, ('RAW_URL,PageName'!$C$2:$C$999=$G6)*('RAW_URL,PageName'!$B$2:$B$999="TY"), ""))</f>
        <v/>
      </c>
      <c r="P6" s="36" t="str" cm="1">
        <f t="array" ref="P6">_xlfn.TEXTJOIN(CHAR(10), 1, _xlfn._xlws.FILTER('RAW_URL,PageName'!F$2:F$999, ('RAW_URL,PageName'!$C$2:$C$999=$G6)*('RAW_URL,PageName'!$B$2:$B$999="TY"), ""))</f>
        <v/>
      </c>
      <c r="Q6" s="38" t="str" cm="1">
        <f t="array" ref="Q6">_xlfn.TEXTJOIN(CHAR(10), 1, _xlfn._xlws.FILTER('RAW_URL,PageName'!D$2:D$999, ('RAW_URL,PageName'!$C$2:$C$999=$G6)*('RAW_URL,PageName'!$B$2:$B$999="LY"), ""))</f>
        <v/>
      </c>
      <c r="R6" s="33" t="str" cm="1">
        <f t="array" ref="R6">_xlfn.TEXTJOIN(CHAR(10), 1, _xlfn._xlws.FILTER('RAW_URL,PageName'!E$2:E$999, ('RAW_URL,PageName'!$C$2:$C$999=$G6)*('RAW_URL,PageName'!$B$2:$B$999="LY"), ""))</f>
        <v/>
      </c>
      <c r="S6" s="56" t="str" cm="1">
        <f t="array" ref="S6">_xlfn.TEXTJOIN(CHAR(10), 1, _xlfn._xlws.FILTER('RAW_URL,PageName'!F$2:F$999, ('RAW_URL,PageName'!$C$2:$C$999=$G6)*('RAW_URL,PageName'!$B$2:$B$999="LY"), ""))</f>
        <v/>
      </c>
      <c r="T6" s="116"/>
      <c r="U6" s="116">
        <f>IFERROR(VLOOKUP($C6,태깅기획site_code!$N$4:$O$18,2,0),"")</f>
        <v>6</v>
      </c>
      <c r="V6" s="1"/>
      <c r="W6" s="45">
        <v>1</v>
      </c>
      <c r="X6" s="31" t="str">
        <v>China</v>
      </c>
      <c r="Y6" s="31" t="str">
        <v>XCIC</v>
      </c>
      <c r="Z6" s="31" t="str">
        <v>China</v>
      </c>
      <c r="AA6" s="31" t="str">
        <v>China</v>
      </c>
      <c r="AB6" s="46" t="str">
        <v>cn</v>
      </c>
      <c r="AC6" s="48">
        <v>46054</v>
      </c>
      <c r="AD6" s="32">
        <v>46063</v>
      </c>
      <c r="AE6" s="86">
        <f>IF(AD6="","",IF(IF(AD6&gt;api용!D$2,api용!D$2,AD6)&lt;AC6,"",IF(AD6&gt;api용!D$2,api용!D$2,AD6)))</f>
        <v>46063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2:50">
      <c r="B7" s="45">
        <f>IF($G7="","",IFERROR(VLOOKUP($G7,RAW_tier!$B$2:$C$200,2,0),2))</f>
        <v>2</v>
      </c>
      <c r="C7" s="31" t="str">
        <f>IF(ISBLANK(태깅기획site_code!F6),"",태깅기획site_code!C6)</f>
        <v>Africa</v>
      </c>
      <c r="D7" s="31" t="str">
        <f>IF(ISBLANK(태깅기획site_code!F6),"",IF(고객법인일정파일!P6="한총","SEC",IF(LEN(TRIM(고객법인일정파일!P6))=0,태깅기획site_code!D6,고객법인일정파일!P6)))</f>
        <v>XADWU</v>
      </c>
      <c r="E7" s="31" t="str">
        <f>IF(ISBLANK(태깅기획site_code!F6),"",태깅기획site_code!E6)</f>
        <v>Africa Pan</v>
      </c>
      <c r="F7" s="31" t="str">
        <f>IF(ISBLANK(태깅기획site_code!F6),"",태깅기획site_code!J6)</f>
        <v>AFRICA (en)</v>
      </c>
      <c r="G7" s="35" t="str">
        <f>IF(ISBLANK(태깅기획site_code!B6),"",태깅기획site_code!F6)</f>
        <v>africa_en</v>
      </c>
      <c r="H7" s="43" t="str">
        <f>IF(ISBLANK(태깅기획site_code!F6),"",IF(고객법인일정파일!Q6="X","X",고객법인일정파일!R6))</f>
        <v/>
      </c>
      <c r="I7" s="32" t="str">
        <f>IF(ISBLANK(태깅기획site_code!F6),"",IF(고객법인일정파일!Q6="X","",고객법인일정파일!S6))</f>
        <v/>
      </c>
      <c r="J7" s="41"/>
      <c r="K7" s="43">
        <v>45767</v>
      </c>
      <c r="L7" s="39">
        <v>45790</v>
      </c>
      <c r="M7" s="40" t="e">
        <f>IF(D7="","",VLOOKUP(D7,고객법인일정파일!$C$5:$J$200,8,0))&amp;""</f>
        <v>#N/A</v>
      </c>
      <c r="N7" s="38" t="str" cm="1">
        <f t="array" ref="N7">_xlfn.TEXTJOIN(CHAR(10), 1, _xlfn._xlws.FILTER('RAW_URL,PageName'!D$2:D$999, ('RAW_URL,PageName'!$C$2:$C$999=$G7)*('RAW_URL,PageName'!$B$2:$B$999="TY"), ""))</f>
        <v/>
      </c>
      <c r="O7" s="33" t="str" cm="1">
        <f t="array" ref="O7">_xlfn.TEXTJOIN(CHAR(10), 1, _xlfn._xlws.FILTER('RAW_URL,PageName'!E$2:E$999, ('RAW_URL,PageName'!$C$2:$C$999=$G7)*('RAW_URL,PageName'!$B$2:$B$999="TY"), ""))</f>
        <v/>
      </c>
      <c r="P7" s="36" t="str" cm="1">
        <f t="array" ref="P7">_xlfn.TEXTJOIN(CHAR(10), 1, _xlfn._xlws.FILTER('RAW_URL,PageName'!F$2:F$999, ('RAW_URL,PageName'!$C$2:$C$999=$G7)*('RAW_URL,PageName'!$B$2:$B$999="TY"), ""))</f>
        <v/>
      </c>
      <c r="Q7" s="38" t="str" cm="1">
        <f t="array" ref="Q7">_xlfn.TEXTJOIN(CHAR(10), 1, _xlfn._xlws.FILTER('RAW_URL,PageName'!D$2:D$999, ('RAW_URL,PageName'!$C$2:$C$999=$G7)*('RAW_URL,PageName'!$B$2:$B$999="LY"), ""))</f>
        <v/>
      </c>
      <c r="R7" s="33" t="str" cm="1">
        <f t="array" ref="R7">_xlfn.TEXTJOIN(CHAR(10), 1, _xlfn._xlws.FILTER('RAW_URL,PageName'!E$2:E$999, ('RAW_URL,PageName'!$C$2:$C$999=$G7)*('RAW_URL,PageName'!$B$2:$B$999="LY"), ""))</f>
        <v/>
      </c>
      <c r="S7" s="56" t="str" cm="1">
        <f t="array" ref="S7">_xlfn.TEXTJOIN(CHAR(10), 1, _xlfn._xlws.FILTER('RAW_URL,PageName'!F$2:F$999, ('RAW_URL,PageName'!$C$2:$C$999=$G7)*('RAW_URL,PageName'!$B$2:$B$999="LY"), ""))</f>
        <v/>
      </c>
      <c r="T7" s="116"/>
      <c r="U7" s="116">
        <f>IFERROR(VLOOKUP($C7,태깅기획site_code!$N$4:$O$18,2,0),"")</f>
        <v>8</v>
      </c>
      <c r="V7" s="1"/>
      <c r="W7" s="45">
        <v>1</v>
      </c>
      <c r="X7" s="31" t="str">
        <v>EU</v>
      </c>
      <c r="Y7" s="31" t="str">
        <v>XADF</v>
      </c>
      <c r="Z7" s="31" t="str">
        <v>France</v>
      </c>
      <c r="AA7" s="31" t="str">
        <v>France</v>
      </c>
      <c r="AB7" s="46" t="str">
        <v>fr</v>
      </c>
      <c r="AC7" s="48">
        <v>46071</v>
      </c>
      <c r="AD7" s="32">
        <v>46081</v>
      </c>
      <c r="AE7" s="86">
        <f>IF(AD7="","",IF(IF(AD7&gt;api용!D$2,api용!D$2,AD7)&lt;AC7,"",IF(AD7&gt;api용!D$2,api용!D$2,AD7)))</f>
        <v>46081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2:50">
      <c r="B8" s="45">
        <f>IF($G8="","",IFERROR(VLOOKUP($G8,RAW_tier!$B$2:$C$200,2,0),2))</f>
        <v>2</v>
      </c>
      <c r="C8" s="31" t="str">
        <f>IF(ISBLANK(태깅기획site_code!F7),"",태깅기획site_code!C7)</f>
        <v>Africa</v>
      </c>
      <c r="D8" s="31" t="str">
        <f>IF(ISBLANK(태깅기획site_code!F7),"",IF(고객법인일정파일!P7="한총","SEC",IF(LEN(TRIM(고객법인일정파일!P7))=0,태깅기획site_code!D7,고객법인일정파일!P7)))</f>
        <v>XADWU</v>
      </c>
      <c r="E8" s="31" t="str">
        <f>IF(ISBLANK(태깅기획site_code!F7),"",태깅기획site_code!E7)</f>
        <v>Africa Pan</v>
      </c>
      <c r="F8" s="31" t="str">
        <f>IF(ISBLANK(태깅기획site_code!F7),"",태깅기획site_code!J7)</f>
        <v>AFRICA (fr)</v>
      </c>
      <c r="G8" s="35" t="str">
        <f>IF(ISBLANK(태깅기획site_code!B7),"",태깅기획site_code!F7)</f>
        <v>africa_fr</v>
      </c>
      <c r="H8" s="43" t="str">
        <f>IF(ISBLANK(태깅기획site_code!F7),"",IF(고객법인일정파일!Q7="X","X",고객법인일정파일!R7))</f>
        <v/>
      </c>
      <c r="I8" s="32" t="str">
        <f>IF(ISBLANK(태깅기획site_code!F7),"",IF(고객법인일정파일!Q7="X","",고객법인일정파일!S7))</f>
        <v/>
      </c>
      <c r="J8" s="41"/>
      <c r="K8" s="43">
        <v>45767</v>
      </c>
      <c r="L8" s="39">
        <v>45787</v>
      </c>
      <c r="M8" s="40" t="e">
        <f>IF(D8="","",VLOOKUP(D8,고객법인일정파일!$C$5:$J$200,8,0))&amp;""</f>
        <v>#N/A</v>
      </c>
      <c r="N8" s="38" t="str" cm="1">
        <f t="array" ref="N8">_xlfn.TEXTJOIN(CHAR(10), 1, _xlfn._xlws.FILTER('RAW_URL,PageName'!D$2:D$999, ('RAW_URL,PageName'!$C$2:$C$999=$G8)*('RAW_URL,PageName'!$B$2:$B$999="TY"), ""))</f>
        <v/>
      </c>
      <c r="O8" s="33" t="str" cm="1">
        <f t="array" ref="O8">_xlfn.TEXTJOIN(CHAR(10), 1, _xlfn._xlws.FILTER('RAW_URL,PageName'!E$2:E$999, ('RAW_URL,PageName'!$C$2:$C$999=$G8)*('RAW_URL,PageName'!$B$2:$B$999="TY"), ""))</f>
        <v/>
      </c>
      <c r="P8" s="36" t="str" cm="1">
        <f t="array" ref="P8">_xlfn.TEXTJOIN(CHAR(10), 1, _xlfn._xlws.FILTER('RAW_URL,PageName'!F$2:F$999, ('RAW_URL,PageName'!$C$2:$C$999=$G8)*('RAW_URL,PageName'!$B$2:$B$999="TY"), ""))</f>
        <v/>
      </c>
      <c r="Q8" s="38" t="str" cm="1">
        <f t="array" ref="Q8">_xlfn.TEXTJOIN(CHAR(10), 1, _xlfn._xlws.FILTER('RAW_URL,PageName'!D$2:D$999, ('RAW_URL,PageName'!$C$2:$C$999=$G8)*('RAW_URL,PageName'!$B$2:$B$999="LY"), ""))</f>
        <v/>
      </c>
      <c r="R8" s="33" t="str" cm="1">
        <f t="array" ref="R8">_xlfn.TEXTJOIN(CHAR(10), 1, _xlfn._xlws.FILTER('RAW_URL,PageName'!E$2:E$999, ('RAW_URL,PageName'!$C$2:$C$999=$G8)*('RAW_URL,PageName'!$B$2:$B$999="LY"), ""))</f>
        <v/>
      </c>
      <c r="S8" s="56" t="str" cm="1">
        <f t="array" ref="S8">_xlfn.TEXTJOIN(CHAR(10), 1, _xlfn._xlws.FILTER('RAW_URL,PageName'!F$2:F$999, ('RAW_URL,PageName'!$C$2:$C$999=$G8)*('RAW_URL,PageName'!$B$2:$B$999="LY"), ""))</f>
        <v/>
      </c>
      <c r="T8" s="116"/>
      <c r="U8" s="116">
        <f>IFERROR(VLOOKUP($C8,태깅기획site_code!$N$4:$O$18,2,0),"")</f>
        <v>8</v>
      </c>
      <c r="V8" s="1"/>
      <c r="W8" s="45">
        <v>1</v>
      </c>
      <c r="X8" s="31" t="str">
        <v>Japan</v>
      </c>
      <c r="Y8" s="31" t="str">
        <v>XADJ</v>
      </c>
      <c r="Z8" s="31" t="str">
        <v>Japan</v>
      </c>
      <c r="AA8" s="31" t="str">
        <v>Japan</v>
      </c>
      <c r="AB8" s="46" t="str">
        <v>jp</v>
      </c>
      <c r="AC8" s="48" t="str">
        <v>X</v>
      </c>
      <c r="AD8" s="32" t="str">
        <v/>
      </c>
      <c r="AE8" s="86" t="str">
        <f>IF(AD8="","",IF(IF(AD8&gt;api용!D$2,api용!D$2,AD8)&lt;AC8,"",IF(AD8&gt;api용!D$2,api용!D$2,AD8)))</f>
        <v/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2:50">
      <c r="B9" s="45">
        <f>IF($G9="","",IFERROR(VLOOKUP($G9,RAW_tier!$B$2:$C$200,2,0),2))</f>
        <v>2</v>
      </c>
      <c r="C9" s="31" t="str">
        <f>IF(ISBLANK(태깅기획site_code!F8),"",태깅기획site_code!C8)</f>
        <v>Africa</v>
      </c>
      <c r="D9" s="31" t="str">
        <f>IF(ISBLANK(태깅기획site_code!F8),"",IF(고객법인일정파일!P8="한총","SEC",IF(LEN(TRIM(고객법인일정파일!P8))=0,태깅기획site_code!D8,고객법인일정파일!P8)))</f>
        <v>XADWU</v>
      </c>
      <c r="E9" s="31" t="str">
        <f>IF(ISBLANK(태깅기획site_code!F8),"",태깅기획site_code!E8)</f>
        <v>Africa Pan</v>
      </c>
      <c r="F9" s="31" t="str">
        <f>IF(ISBLANK(태깅기획site_code!F8),"",태깅기획site_code!J8)</f>
        <v>AFRICA (pt)</v>
      </c>
      <c r="G9" s="35" t="str">
        <f>IF(ISBLANK(태깅기획site_code!B8),"",태깅기획site_code!F8)</f>
        <v>africa_pt</v>
      </c>
      <c r="H9" s="43" t="str">
        <f>IF(ISBLANK(태깅기획site_code!F8),"",IF(고객법인일정파일!Q8="X","X",고객법인일정파일!R8))</f>
        <v/>
      </c>
      <c r="I9" s="32" t="str">
        <f>IF(ISBLANK(태깅기획site_code!F8),"",IF(고객법인일정파일!Q8="X","",고객법인일정파일!S8))</f>
        <v/>
      </c>
      <c r="J9" s="41"/>
      <c r="K9" s="43" t="s">
        <v>19</v>
      </c>
      <c r="L9" s="39" t="s">
        <v>19</v>
      </c>
      <c r="M9" s="40" t="e">
        <f>IF(D9="","",VLOOKUP(D9,고객법인일정파일!$C$5:$J$200,8,0))&amp;""</f>
        <v>#N/A</v>
      </c>
      <c r="N9" s="38" t="str" cm="1">
        <f t="array" ref="N9">_xlfn.TEXTJOIN(CHAR(10), 1, _xlfn._xlws.FILTER('RAW_URL,PageName'!D$2:D$999, ('RAW_URL,PageName'!$C$2:$C$999=$G9)*('RAW_URL,PageName'!$B$2:$B$999="TY"), ""))</f>
        <v/>
      </c>
      <c r="O9" s="33" t="str" cm="1">
        <f t="array" ref="O9">_xlfn.TEXTJOIN(CHAR(10), 1, _xlfn._xlws.FILTER('RAW_URL,PageName'!E$2:E$999, ('RAW_URL,PageName'!$C$2:$C$999=$G9)*('RAW_URL,PageName'!$B$2:$B$999="TY"), ""))</f>
        <v/>
      </c>
      <c r="P9" s="36" t="str" cm="1">
        <f t="array" ref="P9">_xlfn.TEXTJOIN(CHAR(10), 1, _xlfn._xlws.FILTER('RAW_URL,PageName'!F$2:F$999, ('RAW_URL,PageName'!$C$2:$C$999=$G9)*('RAW_URL,PageName'!$B$2:$B$999="TY"), ""))</f>
        <v/>
      </c>
      <c r="Q9" s="38" t="str" cm="1">
        <f t="array" ref="Q9">_xlfn.TEXTJOIN(CHAR(10), 1, _xlfn._xlws.FILTER('RAW_URL,PageName'!D$2:D$999, ('RAW_URL,PageName'!$C$2:$C$999=$G9)*('RAW_URL,PageName'!$B$2:$B$999="LY"), ""))</f>
        <v/>
      </c>
      <c r="R9" s="33" t="str" cm="1">
        <f t="array" ref="R9">_xlfn.TEXTJOIN(CHAR(10), 1, _xlfn._xlws.FILTER('RAW_URL,PageName'!E$2:E$999, ('RAW_URL,PageName'!$C$2:$C$999=$G9)*('RAW_URL,PageName'!$B$2:$B$999="LY"), ""))</f>
        <v/>
      </c>
      <c r="S9" s="56" t="str" cm="1">
        <f t="array" ref="S9">_xlfn.TEXTJOIN(CHAR(10), 1, _xlfn._xlws.FILTER('RAW_URL,PageName'!F$2:F$999, ('RAW_URL,PageName'!$C$2:$C$999=$G9)*('RAW_URL,PageName'!$B$2:$B$999="LY"), ""))</f>
        <v/>
      </c>
      <c r="T9" s="116"/>
      <c r="U9" s="116">
        <f>IFERROR(VLOOKUP($C9,태깅기획site_code!$N$4:$O$18,2,0),"")</f>
        <v>8</v>
      </c>
      <c r="V9" s="1"/>
      <c r="W9" s="45">
        <v>1</v>
      </c>
      <c r="X9" s="31" t="str">
        <v>L.America</v>
      </c>
      <c r="Y9" s="31" t="str">
        <v>XADM</v>
      </c>
      <c r="Z9" s="31" t="str">
        <v>Mexico</v>
      </c>
      <c r="AA9" s="31" t="str">
        <v>Mexico</v>
      </c>
      <c r="AB9" s="46" t="str">
        <v>mx</v>
      </c>
      <c r="AC9" s="48">
        <v>46042</v>
      </c>
      <c r="AD9" s="32">
        <v>46063</v>
      </c>
      <c r="AE9" s="86">
        <f>IF(AD9="","",IF(IF(AD9&gt;api용!D$2,api용!D$2,AD9)&lt;AC9,"",IF(AD9&gt;api용!D$2,api용!D$2,AD9)))</f>
        <v>46063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2:50" ht="24" customHeight="1">
      <c r="B10" s="45">
        <f>IF($G10="","",IFERROR(VLOOKUP($G10,RAW_tier!$B$2:$C$200,2,0),2))</f>
        <v>2</v>
      </c>
      <c r="C10" s="31" t="str">
        <f>IF(ISBLANK(태깅기획site_code!F9),"",태깅기획site_code!C9)</f>
        <v>EU</v>
      </c>
      <c r="D10" s="31" t="str">
        <f>IF(ISBLANK(태깅기획site_code!F9),"",IF(고객법인일정파일!P9="한총","SEC",IF(LEN(TRIM(고객법인일정파일!P9))=0,태깅기획site_code!D9,고객법인일정파일!P9)))</f>
        <v>XADUD</v>
      </c>
      <c r="E10" s="31" t="str">
        <f>IF(ISBLANK(태깅기획site_code!F9),"",태깅기획site_code!E9)</f>
        <v>Albania</v>
      </c>
      <c r="F10" s="31" t="str">
        <f>IF(ISBLANK(태깅기획site_code!F9),"",태깅기획site_code!J9)</f>
        <v>Albania</v>
      </c>
      <c r="G10" s="35" t="str">
        <f>IF(ISBLANK(태깅기획site_code!B9),"",태깅기획site_code!F9)</f>
        <v>al</v>
      </c>
      <c r="H10" s="43" t="str">
        <f>IF(ISBLANK(태깅기획site_code!F9),"",IF(고객법인일정파일!Q9="X","X",고객법인일정파일!R9))</f>
        <v>X</v>
      </c>
      <c r="I10" s="32" t="str">
        <f>IF(ISBLANK(태깅기획site_code!F9),"",IF(고객법인일정파일!Q9="X","",고객법인일정파일!S9))</f>
        <v/>
      </c>
      <c r="J10" s="41"/>
      <c r="K10" s="43" t="s">
        <v>19</v>
      </c>
      <c r="L10" s="39" t="s">
        <v>19</v>
      </c>
      <c r="M10" s="40" t="str">
        <f>IF(D10="","",VLOOKUP(D10,고객법인일정파일!$C$5:$J$200,8,0))&amp;""</f>
        <v>Note1-test XADUX-UT</v>
      </c>
      <c r="N10" s="38" t="str" cm="1">
        <f t="array" ref="N10">_xlfn.TEXTJOIN(CHAR(10), 1, _xlfn._xlws.FILTER('RAW_URL,PageName'!D$2:D$999, ('RAW_URL,PageName'!$C$2:$C$999=$G10)*('RAW_URL,PageName'!$B$2:$B$999="TY"), ""))</f>
        <v/>
      </c>
      <c r="O10" s="33" t="str" cm="1">
        <f t="array" ref="O10">_xlfn.TEXTJOIN(CHAR(10), 1, _xlfn._xlws.FILTER('RAW_URL,PageName'!E$2:E$999, ('RAW_URL,PageName'!$C$2:$C$999=$G10)*('RAW_URL,PageName'!$B$2:$B$999="TY"), ""))</f>
        <v/>
      </c>
      <c r="P10" s="36" t="str" cm="1">
        <f t="array" ref="P10">_xlfn.TEXTJOIN(CHAR(10), 1, _xlfn._xlws.FILTER('RAW_URL,PageName'!F$2:F$999, ('RAW_URL,PageName'!$C$2:$C$999=$G10)*('RAW_URL,PageName'!$B$2:$B$999="TY"), ""))</f>
        <v/>
      </c>
      <c r="Q10" s="38" t="str" cm="1">
        <f t="array" ref="Q10">_xlfn.TEXTJOIN(CHAR(10), 1, _xlfn._xlws.FILTER('RAW_URL,PageName'!D$2:D$999, ('RAW_URL,PageName'!$C$2:$C$999=$G10)*('RAW_URL,PageName'!$B$2:$B$999="LY"), ""))</f>
        <v/>
      </c>
      <c r="R10" s="33" t="str" cm="1">
        <f t="array" ref="R10">_xlfn.TEXTJOIN(CHAR(10), 1, _xlfn._xlws.FILTER('RAW_URL,PageName'!E$2:E$999, ('RAW_URL,PageName'!$C$2:$C$999=$G10)*('RAW_URL,PageName'!$B$2:$B$999="LY"), ""))</f>
        <v/>
      </c>
      <c r="S10" s="56" t="str" cm="1">
        <f t="array" ref="S10">_xlfn.TEXTJOIN(CHAR(10), 1, _xlfn._xlws.FILTER('RAW_URL,PageName'!F$2:F$999, ('RAW_URL,PageName'!$C$2:$C$999=$G10)*('RAW_URL,PageName'!$B$2:$B$999="LY"), ""))</f>
        <v/>
      </c>
      <c r="T10" s="116"/>
      <c r="U10" s="116">
        <f>IFERROR(VLOOKUP($C10,태깅기획site_code!$N$4:$O$18,2,0),"")</f>
        <v>2</v>
      </c>
      <c r="V10" s="1"/>
      <c r="W10" s="45">
        <v>1</v>
      </c>
      <c r="X10" s="31" t="str">
        <v>MENA</v>
      </c>
      <c r="Y10" s="31" t="str">
        <v>XADTK</v>
      </c>
      <c r="Z10" s="31" t="str">
        <v>Turkey</v>
      </c>
      <c r="AA10" s="31" t="str">
        <v>Turkey</v>
      </c>
      <c r="AB10" s="46" t="str">
        <v>tr</v>
      </c>
      <c r="AC10" s="48">
        <v>46054</v>
      </c>
      <c r="AD10" s="32">
        <v>46063</v>
      </c>
      <c r="AE10" s="86">
        <f>IF(AD10="","",IF(IF(AD10&gt;api용!D$2,api용!D$2,AD10)&lt;AC10,"",IF(AD10&gt;api용!D$2,api용!D$2,AD10)))</f>
        <v>46063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2:50" ht="24" customHeight="1">
      <c r="B11" s="45">
        <f>IF($G11="","",IFERROR(VLOOKUP($G11,RAW_tier!$B$2:$C$200,2,0),2))</f>
        <v>2</v>
      </c>
      <c r="C11" s="31" t="str">
        <f>IF(ISBLANK(태깅기획site_code!F10),"",태깅기획site_code!C10)</f>
        <v>L.America</v>
      </c>
      <c r="D11" s="31" t="str">
        <f>IF(ISBLANK(태깅기획site_code!F10),"",IF(고객법인일정파일!P10="한총","SEC",IF(LEN(TRIM(고객법인일정파일!P10))=0,태깅기획site_code!D10,고객법인일정파일!P10)))</f>
        <v>XADUXU</v>
      </c>
      <c r="E11" s="31" t="str">
        <f>IF(ISBLANK(태깅기획site_code!F10),"",태깅기획site_code!E10)</f>
        <v>Argentina</v>
      </c>
      <c r="F11" s="31" t="str">
        <f>IF(ISBLANK(태깅기획site_code!F10),"",태깅기획site_code!J10)</f>
        <v>Argentina</v>
      </c>
      <c r="G11" s="35" t="str">
        <f>IF(ISBLANK(태깅기획site_code!B10),"",태깅기획site_code!F10)</f>
        <v>ar</v>
      </c>
      <c r="H11" s="43">
        <f>IF(ISBLANK(태깅기획site_code!F10),"",IF(고객법인일정파일!Q10="X","X",고객법인일정파일!R10))</f>
        <v>46297</v>
      </c>
      <c r="I11" s="32">
        <f>IF(ISBLANK(태깅기획site_code!F10),"",IF(고객법인일정파일!Q10="X","",고객법인일정파일!S10))</f>
        <v>46313</v>
      </c>
      <c r="J11" s="41"/>
      <c r="K11" s="43">
        <v>45935</v>
      </c>
      <c r="L11" s="39">
        <v>45948</v>
      </c>
      <c r="M11" s="40" t="str">
        <f>IF(D11="","",VLOOKUP(D11,고객법인일정파일!$C$5:$J$200,8,0))&amp;""</f>
        <v>Note1-test XMAD</v>
      </c>
      <c r="N11" s="38" t="str" cm="1">
        <f t="array" ref="N11">_xlfn.TEXTJOIN(CHAR(10), 1, _xlfn._xlws.FILTER('RAW_URL,PageName'!D$2:D$999, ('RAW_URL,PageName'!$C$2:$C$999=$G11)*('RAW_URL,PageName'!$B$2:$B$999="TY"), ""))</f>
        <v/>
      </c>
      <c r="O11" s="33" t="str" cm="1">
        <f t="array" ref="O11">_xlfn.TEXTJOIN(CHAR(10), 1, _xlfn._xlws.FILTER('RAW_URL,PageName'!E$2:E$999, ('RAW_URL,PageName'!$C$2:$C$999=$G11)*('RAW_URL,PageName'!$B$2:$B$999="TY"), ""))</f>
        <v/>
      </c>
      <c r="P11" s="36" t="str" cm="1">
        <f t="array" ref="P11">_xlfn.TEXTJOIN(CHAR(10), 1, _xlfn._xlws.FILTER('RAW_URL,PageName'!F$2:F$999, ('RAW_URL,PageName'!$C$2:$C$999=$G11)*('RAW_URL,PageName'!$B$2:$B$999="TY"), ""))</f>
        <v/>
      </c>
      <c r="Q11" s="38" t="str" cm="1">
        <f t="array" ref="Q11">_xlfn.TEXTJOIN(CHAR(10), 1, _xlfn._xlws.FILTER('RAW_URL,PageName'!D$2:D$999, ('RAW_URL,PageName'!$C$2:$C$999=$G11)*('RAW_URL,PageName'!$B$2:$B$999="LY"), ""))</f>
        <v/>
      </c>
      <c r="R11" s="33" t="str" cm="1">
        <f t="array" ref="R11">_xlfn.TEXTJOIN(CHAR(10), 1, _xlfn._xlws.FILTER('RAW_URL,PageName'!E$2:E$999, ('RAW_URL,PageName'!$C$2:$C$999=$G11)*('RAW_URL,PageName'!$B$2:$B$999="LY"), ""))</f>
        <v/>
      </c>
      <c r="S11" s="56" t="str" cm="1">
        <f t="array" ref="S11">_xlfn.TEXTJOIN(CHAR(10), 1, _xlfn._xlws.FILTER('RAW_URL,PageName'!F$2:F$999, ('RAW_URL,PageName'!$C$2:$C$999=$G11)*('RAW_URL,PageName'!$B$2:$B$999="LY"), ""))</f>
        <v/>
      </c>
      <c r="T11" s="116"/>
      <c r="U11" s="116">
        <f>IFERROR(VLOOKUP($C11,태깅기획site_code!$N$4:$O$18,2,0),"")</f>
        <v>3</v>
      </c>
      <c r="V11" s="1"/>
      <c r="W11" s="45">
        <v>1</v>
      </c>
      <c r="X11" s="31" t="str">
        <v>EU</v>
      </c>
      <c r="Y11" s="31" t="str">
        <v>XADUK</v>
      </c>
      <c r="Z11" s="31" t="str">
        <v>UK</v>
      </c>
      <c r="AA11" s="31" t="str">
        <v>UK</v>
      </c>
      <c r="AB11" s="46" t="str">
        <v>uk</v>
      </c>
      <c r="AC11" s="48" t="str">
        <v>X</v>
      </c>
      <c r="AD11" s="32" t="str">
        <v/>
      </c>
      <c r="AE11" s="86" t="str">
        <f>IF(AD11="","",IF(IF(AD11&gt;api용!D$2,api용!D$2,AD11)&lt;AC11,"",IF(AD11&gt;api용!D$2,api용!D$2,AD11)))</f>
        <v/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2:50">
      <c r="B12" s="45">
        <f>IF($G12="","",IFERROR(VLOOKUP($G12,RAW_tier!$B$2:$C$200,2,0),2))</f>
        <v>2</v>
      </c>
      <c r="C12" s="31" t="str">
        <f>IF(ISBLANK(태깅기획site_code!F11),"",태깅기획site_code!C11)</f>
        <v>EU</v>
      </c>
      <c r="D12" s="31" t="str">
        <f>IF(ISBLANK(태깅기획site_code!F11),"",IF(고객법인일정파일!P11="한총","SEC",IF(LEN(TRIM(고객법인일정파일!P11))=0,태깅기획site_code!D11,고객법인일정파일!P11)))</f>
        <v>XADUX-UT</v>
      </c>
      <c r="E12" s="31" t="str">
        <f>IF(ISBLANK(태깅기획site_code!F11),"",태깅기획site_code!E11)</f>
        <v>Austria</v>
      </c>
      <c r="F12" s="31" t="str">
        <f>IF(ISBLANK(태깅기획site_code!F11),"",태깅기획site_code!J11)</f>
        <v>Austria</v>
      </c>
      <c r="G12" s="35" t="str">
        <f>IF(ISBLANK(태깅기획site_code!B11),"",태깅기획site_code!F11)</f>
        <v>at</v>
      </c>
      <c r="H12" s="43">
        <f>IF(ISBLANK(태깅기획site_code!F11),"",IF(고객법인일정파일!Q11="X","X",고객법인일정파일!R11))</f>
        <v>46042</v>
      </c>
      <c r="I12" s="32">
        <f>IF(ISBLANK(태깅기획site_code!F11),"",IF(고객법인일정파일!Q11="X","",고객법인일정파일!S11))</f>
        <v>46064</v>
      </c>
      <c r="J12" s="41"/>
      <c r="K12" s="43">
        <v>45767</v>
      </c>
      <c r="L12" s="39">
        <v>45788</v>
      </c>
      <c r="M12" s="40" t="str">
        <f>IF(D12="","",VLOOKUP(D12,고객법인일정파일!$C$5:$J$200,8,0))&amp;""</f>
        <v>Note1-test XADUX-UT</v>
      </c>
      <c r="N12" s="38" t="str" cm="1">
        <f t="array" ref="N12">_xlfn.TEXTJOIN(CHAR(10), 1, _xlfn._xlws.FILTER('RAW_URL,PageName'!D$2:D$999, ('RAW_URL,PageName'!$C$2:$C$999=$G12)*('RAW_URL,PageName'!$B$2:$B$999="TY"), ""))</f>
        <v/>
      </c>
      <c r="O12" s="33" t="str" cm="1">
        <f t="array" ref="O12">_xlfn.TEXTJOIN(CHAR(10), 1, _xlfn._xlws.FILTER('RAW_URL,PageName'!E$2:E$999, ('RAW_URL,PageName'!$C$2:$C$999=$G12)*('RAW_URL,PageName'!$B$2:$B$999="TY"), ""))</f>
        <v/>
      </c>
      <c r="P12" s="36" t="str" cm="1">
        <f t="array" ref="P12">_xlfn.TEXTJOIN(CHAR(10), 1, _xlfn._xlws.FILTER('RAW_URL,PageName'!F$2:F$999, ('RAW_URL,PageName'!$C$2:$C$999=$G12)*('RAW_URL,PageName'!$B$2:$B$999="TY"), ""))</f>
        <v/>
      </c>
      <c r="Q12" s="38" t="str" cm="1">
        <f t="array" ref="Q12">_xlfn.TEXTJOIN(CHAR(10), 1, _xlfn._xlws.FILTER('RAW_URL,PageName'!D$2:D$999, ('RAW_URL,PageName'!$C$2:$C$999=$G12)*('RAW_URL,PageName'!$B$2:$B$999="LY"), ""))</f>
        <v/>
      </c>
      <c r="R12" s="33" t="str" cm="1">
        <f t="array" ref="R12">_xlfn.TEXTJOIN(CHAR(10), 1, _xlfn._xlws.FILTER('RAW_URL,PageName'!E$2:E$999, ('RAW_URL,PageName'!$C$2:$C$999=$G12)*('RAW_URL,PageName'!$B$2:$B$999="LY"), ""))</f>
        <v/>
      </c>
      <c r="S12" s="56" t="str" cm="1">
        <f t="array" ref="S12">_xlfn.TEXTJOIN(CHAR(10), 1, _xlfn._xlws.FILTER('RAW_URL,PageName'!F$2:F$999, ('RAW_URL,PageName'!$C$2:$C$999=$G12)*('RAW_URL,PageName'!$B$2:$B$999="LY"), ""))</f>
        <v/>
      </c>
      <c r="T12" s="116"/>
      <c r="U12" s="116">
        <f>IFERROR(VLOOKUP($C12,태깅기획site_code!$N$4:$O$18,2,0),"")</f>
        <v>2</v>
      </c>
      <c r="V12" s="1"/>
      <c r="W12" s="45">
        <v>1</v>
      </c>
      <c r="X12" s="31" t="str">
        <v>N.America</v>
      </c>
      <c r="Y12" s="31" t="str">
        <v>XADU</v>
      </c>
      <c r="Z12" s="31" t="str">
        <v>USA</v>
      </c>
      <c r="AA12" s="31" t="str">
        <v>US NEW</v>
      </c>
      <c r="AB12" s="46" t="str">
        <v>us</v>
      </c>
      <c r="AC12" s="48">
        <v>46042</v>
      </c>
      <c r="AD12" s="32">
        <v>46063</v>
      </c>
      <c r="AE12" s="86">
        <f>IF(AD12="","",IF(IF(AD12&gt;api용!D$2,api용!D$2,AD12)&lt;AC12,"",IF(AD12&gt;api용!D$2,api용!D$2,AD12)))</f>
        <v>46063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2:50">
      <c r="B13" s="45">
        <f>IF($G13="","",IFERROR(VLOOKUP($G13,RAW_tier!$B$2:$C$200,2,0),2))</f>
        <v>2</v>
      </c>
      <c r="C13" s="31" t="str">
        <f>IF(ISBLANK(태깅기획site_code!F12),"",태깅기획site_code!C12)</f>
        <v>S.E.Asia</v>
      </c>
      <c r="D13" s="31" t="str">
        <f>IF(ISBLANK(태깅기획site_code!F12),"",IF(고객법인일정파일!P12="한총","SEC",IF(LEN(TRIM(고객법인일정파일!P12))=0,태깅기획site_code!D12,고객법인일정파일!P12)))</f>
        <v>XADUU</v>
      </c>
      <c r="E13" s="31" t="str">
        <f>IF(ISBLANK(태깅기획site_code!F12),"",태깅기획site_code!E12)</f>
        <v>Australia</v>
      </c>
      <c r="F13" s="31" t="str">
        <f>IF(ISBLANK(태깅기획site_code!F12),"",태깅기획site_code!J12)</f>
        <v>Australia</v>
      </c>
      <c r="G13" s="35" t="str">
        <f>IF(ISBLANK(태깅기획site_code!B12),"",태깅기획site_code!F12)</f>
        <v>au</v>
      </c>
      <c r="H13" s="43">
        <f>IF(ISBLANK(태깅기획site_code!F12),"",IF(고객법인일정파일!Q12="X","X",고객법인일정파일!R12))</f>
        <v>46046</v>
      </c>
      <c r="I13" s="32">
        <f>IF(ISBLANK(태깅기획site_code!F12),"",IF(고객법인일정파일!Q12="X","",고객법인일정파일!S12))</f>
        <v>46067</v>
      </c>
      <c r="J13" s="41"/>
      <c r="K13" s="43">
        <v>45770</v>
      </c>
      <c r="L13" s="39">
        <v>45790</v>
      </c>
      <c r="M13" s="40" t="str">
        <f>IF(D13="","",VLOOKUP(D13,고객법인일정파일!$C$5:$J$200,8,0))&amp;""</f>
        <v/>
      </c>
      <c r="N13" s="38" t="str" cm="1">
        <f t="array" ref="N13">_xlfn.TEXTJOIN(CHAR(10), 1, _xlfn._xlws.FILTER('RAW_URL,PageName'!D$2:D$999, ('RAW_URL,PageName'!$C$2:$C$999=$G13)*('RAW_URL,PageName'!$B$2:$B$999="TY"), ""))</f>
        <v/>
      </c>
      <c r="O13" s="33" t="str" cm="1">
        <f t="array" ref="O13">_xlfn.TEXTJOIN(CHAR(10), 1, _xlfn._xlws.FILTER('RAW_URL,PageName'!E$2:E$999, ('RAW_URL,PageName'!$C$2:$C$999=$G13)*('RAW_URL,PageName'!$B$2:$B$999="TY"), ""))</f>
        <v/>
      </c>
      <c r="P13" s="36" t="str" cm="1">
        <f t="array" ref="P13">_xlfn.TEXTJOIN(CHAR(10), 1, _xlfn._xlws.FILTER('RAW_URL,PageName'!F$2:F$999, ('RAW_URL,PageName'!$C$2:$C$999=$G13)*('RAW_URL,PageName'!$B$2:$B$999="TY"), ""))</f>
        <v/>
      </c>
      <c r="Q13" s="38" t="str" cm="1">
        <f t="array" ref="Q13">_xlfn.TEXTJOIN(CHAR(10), 1, _xlfn._xlws.FILTER('RAW_URL,PageName'!D$2:D$999, ('RAW_URL,PageName'!$C$2:$C$999=$G13)*('RAW_URL,PageName'!$B$2:$B$999="LY"), ""))</f>
        <v/>
      </c>
      <c r="R13" s="33" t="str" cm="1">
        <f t="array" ref="R13">_xlfn.TEXTJOIN(CHAR(10), 1, _xlfn._xlws.FILTER('RAW_URL,PageName'!E$2:E$999, ('RAW_URL,PageName'!$C$2:$C$999=$G13)*('RAW_URL,PageName'!$B$2:$B$999="LY"), ""))</f>
        <v/>
      </c>
      <c r="S13" s="56" t="str" cm="1">
        <f t="array" ref="S13">_xlfn.TEXTJOIN(CHAR(10), 1, _xlfn._xlws.FILTER('RAW_URL,PageName'!F$2:F$999, ('RAW_URL,PageName'!$C$2:$C$999=$G13)*('RAW_URL,PageName'!$B$2:$B$999="LY"), ""))</f>
        <v/>
      </c>
      <c r="T13" s="116"/>
      <c r="U13" s="116">
        <f>IFERROR(VLOOKUP($C13,태깅기획site_code!$N$4:$O$18,2,0),"")</f>
        <v>4</v>
      </c>
      <c r="V13" s="1"/>
      <c r="W13" s="45">
        <v>2</v>
      </c>
      <c r="X13" s="31" t="str">
        <v>MENA</v>
      </c>
      <c r="Y13" s="31" t="str">
        <v>XGAD</v>
      </c>
      <c r="Z13" s="31" t="str">
        <v>UAE</v>
      </c>
      <c r="AA13" s="31" t="str">
        <v>UAE</v>
      </c>
      <c r="AB13" s="46" t="str">
        <v>ae</v>
      </c>
      <c r="AC13" s="48" t="str">
        <v>TBC</v>
      </c>
      <c r="AD13" s="32" t="str">
        <v>TBC</v>
      </c>
      <c r="AE13" s="86" t="str">
        <f>IF(AD13="","",IF(IF(AD13&gt;api용!D$2,api용!D$2,AD13)&lt;AC13,"",IF(AD13&gt;api용!D$2,api용!D$2,AD13)))</f>
        <v/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2:50">
      <c r="B14" s="45">
        <f>IF($G14="","",IFERROR(VLOOKUP($G14,RAW_tier!$B$2:$C$200,2,0),2))</f>
        <v>2</v>
      </c>
      <c r="C14" s="31" t="str">
        <f>IF(ISBLANK(태깅기획site_code!F13),"",태깅기획site_code!C13)</f>
        <v>CIS</v>
      </c>
      <c r="D14" s="31" t="str">
        <f>IF(ISBLANK(태깅기획site_code!F13),"",IF(고객법인일정파일!P13="한총","SEC",IF(LEN(TRIM(고객법인일정파일!P13))=0,태깅기획site_code!D13,고객법인일정파일!P13)))</f>
        <v>XADRC</v>
      </c>
      <c r="E14" s="31" t="str">
        <f>IF(ISBLANK(태깅기획site_code!F13),"",태깅기획site_code!E13)</f>
        <v>Azerbaijan</v>
      </c>
      <c r="F14" s="31" t="str">
        <f>IF(ISBLANK(태깅기획site_code!F13),"",태깅기획site_code!J13)</f>
        <v>Azerbaijan</v>
      </c>
      <c r="G14" s="35" t="str">
        <f>IF(ISBLANK(태깅기획site_code!B13),"",태깅기획site_code!F13)</f>
        <v>az</v>
      </c>
      <c r="H14" s="43" t="str">
        <f>IF(ISBLANK(태깅기획site_code!F13),"",IF(고객법인일정파일!Q13="X","X",고객법인일정파일!R13))</f>
        <v/>
      </c>
      <c r="I14" s="32" t="str">
        <f>IF(ISBLANK(태깅기획site_code!F13),"",IF(고객법인일정파일!Q13="X","",고객법인일정파일!S13))</f>
        <v/>
      </c>
      <c r="J14" s="41"/>
      <c r="K14" s="43" t="s">
        <v>19</v>
      </c>
      <c r="L14" s="39" t="s">
        <v>19</v>
      </c>
      <c r="M14" s="40" t="e">
        <f>IF(D14="","",VLOOKUP(D14,고객법인일정파일!$C$5:$J$200,8,0))&amp;""</f>
        <v>#N/A</v>
      </c>
      <c r="N14" s="38" t="str" cm="1">
        <f t="array" ref="N14">_xlfn.TEXTJOIN(CHAR(10), 1, _xlfn._xlws.FILTER('RAW_URL,PageName'!D$2:D$999, ('RAW_URL,PageName'!$C$2:$C$999=$G14)*('RAW_URL,PageName'!$B$2:$B$999="TY"), ""))</f>
        <v/>
      </c>
      <c r="O14" s="33" t="str" cm="1">
        <f t="array" ref="O14">_xlfn.TEXTJOIN(CHAR(10), 1, _xlfn._xlws.FILTER('RAW_URL,PageName'!E$2:E$999, ('RAW_URL,PageName'!$C$2:$C$999=$G14)*('RAW_URL,PageName'!$B$2:$B$999="TY"), ""))</f>
        <v/>
      </c>
      <c r="P14" s="36" t="str" cm="1">
        <f t="array" ref="P14">_xlfn.TEXTJOIN(CHAR(10), 1, _xlfn._xlws.FILTER('RAW_URL,PageName'!F$2:F$999, ('RAW_URL,PageName'!$C$2:$C$999=$G14)*('RAW_URL,PageName'!$B$2:$B$999="TY"), ""))</f>
        <v/>
      </c>
      <c r="Q14" s="38" t="str" cm="1">
        <f t="array" ref="Q14">_xlfn.TEXTJOIN(CHAR(10), 1, _xlfn._xlws.FILTER('RAW_URL,PageName'!D$2:D$999, ('RAW_URL,PageName'!$C$2:$C$999=$G14)*('RAW_URL,PageName'!$B$2:$B$999="LY"), ""))</f>
        <v/>
      </c>
      <c r="R14" s="33" t="str" cm="1">
        <f t="array" ref="R14">_xlfn.TEXTJOIN(CHAR(10), 1, _xlfn._xlws.FILTER('RAW_URL,PageName'!E$2:E$999, ('RAW_URL,PageName'!$C$2:$C$999=$G14)*('RAW_URL,PageName'!$B$2:$B$999="LY"), ""))</f>
        <v/>
      </c>
      <c r="S14" s="56" t="str" cm="1">
        <f t="array" ref="S14">_xlfn.TEXTJOIN(CHAR(10), 1, _xlfn._xlws.FILTER('RAW_URL,PageName'!F$2:F$999, ('RAW_URL,PageName'!$C$2:$C$999=$G14)*('RAW_URL,PageName'!$B$2:$B$999="LY"), ""))</f>
        <v/>
      </c>
      <c r="T14" s="116"/>
      <c r="U14" s="116">
        <f>IFERROR(VLOOKUP($C14,태깅기획site_code!$N$4:$O$18,2,0),"")</f>
        <v>7</v>
      </c>
      <c r="V14" s="1"/>
      <c r="W14" s="45">
        <v>2</v>
      </c>
      <c r="X14" s="31" t="str">
        <v>MENA</v>
      </c>
      <c r="Y14" s="31" t="str">
        <v>XGAD</v>
      </c>
      <c r="Z14" s="31" t="str">
        <v>UAE</v>
      </c>
      <c r="AA14" s="31" t="str">
        <v>UAE (ar)</v>
      </c>
      <c r="AB14" s="46" t="str">
        <v>ae_ar</v>
      </c>
      <c r="AC14" s="48" t="str">
        <v>TBC</v>
      </c>
      <c r="AD14" s="32" t="str">
        <v>TBC</v>
      </c>
      <c r="AE14" s="86" t="str">
        <f>IF(AD14="","",IF(IF(AD14&gt;api용!D$2,api용!D$2,AD14)&lt;AC14,"",IF(AD14&gt;api용!D$2,api용!D$2,AD14)))</f>
        <v/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2:50" ht="24" customHeight="1">
      <c r="B15" s="45">
        <f>IF($G15="","",IFERROR(VLOOKUP($G15,RAW_tier!$B$2:$C$200,2,0),2))</f>
        <v>2</v>
      </c>
      <c r="C15" s="31" t="str">
        <f>IF(ISBLANK(태깅기획site_code!F14),"",태깅기획site_code!C14)</f>
        <v>EU</v>
      </c>
      <c r="D15" s="31" t="str">
        <f>IF(ISBLANK(태깅기획site_code!F14),"",IF(고객법인일정파일!P14="한총","SEC",IF(LEN(TRIM(고객법인일정파일!P14))=0,태깅기획site_code!D14,고객법인일정파일!P14)))</f>
        <v>XADUD</v>
      </c>
      <c r="E15" s="31" t="str">
        <f>IF(ISBLANK(태깅기획site_code!F14),"",태깅기획site_code!E14)</f>
        <v>Bosnia</v>
      </c>
      <c r="F15" s="31" t="str">
        <f>IF(ISBLANK(태깅기획site_code!F14),"",태깅기획site_code!J14)</f>
        <v>Bosnia</v>
      </c>
      <c r="G15" s="35" t="str">
        <f>IF(ISBLANK(태깅기획site_code!B14),"",태깅기획site_code!F14)</f>
        <v>ba</v>
      </c>
      <c r="H15" s="43" t="str">
        <f>IF(ISBLANK(태깅기획site_code!F14),"",IF(고객법인일정파일!Q14="X","X",고객법인일정파일!R14))</f>
        <v>X</v>
      </c>
      <c r="I15" s="32" t="str">
        <f>IF(ISBLANK(태깅기획site_code!F14),"",IF(고객법인일정파일!Q14="X","",고객법인일정파일!S14))</f>
        <v/>
      </c>
      <c r="J15" s="41"/>
      <c r="K15" s="43" t="s">
        <v>19</v>
      </c>
      <c r="L15" s="39" t="s">
        <v>19</v>
      </c>
      <c r="M15" s="40" t="str">
        <f>IF(D15="","",VLOOKUP(D15,고객법인일정파일!$C$5:$J$200,8,0))&amp;""</f>
        <v>Note1-test XADUX-UT</v>
      </c>
      <c r="N15" s="38" t="str" cm="1">
        <f t="array" ref="N15">_xlfn.TEXTJOIN(CHAR(10), 1, _xlfn._xlws.FILTER('RAW_URL,PageName'!D$2:D$999, ('RAW_URL,PageName'!$C$2:$C$999=$G15)*('RAW_URL,PageName'!$B$2:$B$999="TY"), ""))</f>
        <v/>
      </c>
      <c r="O15" s="33" t="str" cm="1">
        <f t="array" ref="O15">_xlfn.TEXTJOIN(CHAR(10), 1, _xlfn._xlws.FILTER('RAW_URL,PageName'!E$2:E$999, ('RAW_URL,PageName'!$C$2:$C$999=$G15)*('RAW_URL,PageName'!$B$2:$B$999="TY"), ""))</f>
        <v/>
      </c>
      <c r="P15" s="36" t="str" cm="1">
        <f t="array" ref="P15">_xlfn.TEXTJOIN(CHAR(10), 1, _xlfn._xlws.FILTER('RAW_URL,PageName'!F$2:F$999, ('RAW_URL,PageName'!$C$2:$C$999=$G15)*('RAW_URL,PageName'!$B$2:$B$999="TY"), ""))</f>
        <v/>
      </c>
      <c r="Q15" s="38" t="str" cm="1">
        <f t="array" ref="Q15">_xlfn.TEXTJOIN(CHAR(10), 1, _xlfn._xlws.FILTER('RAW_URL,PageName'!D$2:D$999, ('RAW_URL,PageName'!$C$2:$C$999=$G15)*('RAW_URL,PageName'!$B$2:$B$999="LY"), ""))</f>
        <v/>
      </c>
      <c r="R15" s="33" t="str" cm="1">
        <f t="array" ref="R15">_xlfn.TEXTJOIN(CHAR(10), 1, _xlfn._xlws.FILTER('RAW_URL,PageName'!E$2:E$999, ('RAW_URL,PageName'!$C$2:$C$999=$G15)*('RAW_URL,PageName'!$B$2:$B$999="LY"), ""))</f>
        <v/>
      </c>
      <c r="S15" s="56" t="str" cm="1">
        <f t="array" ref="S15">_xlfn.TEXTJOIN(CHAR(10), 1, _xlfn._xlws.FILTER('RAW_URL,PageName'!F$2:F$999, ('RAW_URL,PageName'!$C$2:$C$999=$G15)*('RAW_URL,PageName'!$B$2:$B$999="LY"), ""))</f>
        <v/>
      </c>
      <c r="T15" s="116"/>
      <c r="U15" s="116">
        <f>IFERROR(VLOOKUP($C15,태깅기획site_code!$N$4:$O$18,2,0),"")</f>
        <v>2</v>
      </c>
      <c r="V15" s="1"/>
      <c r="W15" s="45">
        <v>2</v>
      </c>
      <c r="X15" s="31" t="str">
        <v>EU</v>
      </c>
      <c r="Y15" s="31" t="str">
        <v>XADUD</v>
      </c>
      <c r="Z15" s="31" t="str">
        <v>Albania</v>
      </c>
      <c r="AA15" s="31" t="str">
        <v>Albania</v>
      </c>
      <c r="AB15" s="46" t="str">
        <v>al</v>
      </c>
      <c r="AC15" s="48" t="str">
        <v>X</v>
      </c>
      <c r="AD15" s="32" t="str">
        <v/>
      </c>
      <c r="AE15" s="86" t="str">
        <f>IF(AD15="","",IF(IF(AD15&gt;api용!D$2,api용!D$2,AD15)&lt;AC15,"",IF(AD15&gt;api용!D$2,api용!D$2,AD15)))</f>
        <v/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2:50">
      <c r="B16" s="45">
        <f>IF($G16="","",IFERROR(VLOOKUP($G16,RAW_tier!$B$2:$C$200,2,0),2))</f>
        <v>2</v>
      </c>
      <c r="C16" s="31" t="str">
        <f>IF(ISBLANK(태깅기획site_code!F15),"",태깅기획site_code!C15)</f>
        <v>S.W.Asia</v>
      </c>
      <c r="D16" s="31" t="str">
        <f>IF(ISBLANK(태깅기획site_code!F15),"",IF(고객법인일정파일!P15="한총","SEC",IF(LEN(TRIM(고객법인일정파일!P15))=0,태깅기획site_code!D15,고객법인일정파일!P15)))</f>
        <v>XIADL</v>
      </c>
      <c r="E16" s="31" t="str">
        <f>IF(ISBLANK(태깅기획site_code!F15),"",태깅기획site_code!E15)</f>
        <v>Bangladesh</v>
      </c>
      <c r="F16" s="31" t="str">
        <f>IF(ISBLANK(태깅기획site_code!F15),"",태깅기획site_code!J15)</f>
        <v>Bangladesh</v>
      </c>
      <c r="G16" s="35" t="str">
        <f>IF(ISBLANK(태깅기획site_code!B15),"",태깅기획site_code!F15)</f>
        <v>bd</v>
      </c>
      <c r="H16" s="43">
        <f>IF(ISBLANK(태깅기획site_code!F15),"",IF(고객법인일정파일!Q15="X","X",고객법인일정파일!R15))</f>
        <v>46038</v>
      </c>
      <c r="I16" s="32">
        <f>IF(ISBLANK(태깅기획site_code!F15),"",IF(고객법인일정파일!Q15="X","",고객법인일정파일!S15))</f>
        <v>46044</v>
      </c>
      <c r="J16" s="41"/>
      <c r="K16" s="43">
        <v>45764</v>
      </c>
      <c r="L16" s="39">
        <v>45775</v>
      </c>
      <c r="M16" s="40" t="str">
        <f>IF(D16="","",VLOOKUP(D16,고객법인일정파일!$C$5:$J$200,8,0))&amp;""</f>
        <v/>
      </c>
      <c r="N16" s="38" t="str" cm="1">
        <f t="array" ref="N16">_xlfn.TEXTJOIN(CHAR(10), 1, _xlfn._xlws.FILTER('RAW_URL,PageName'!D$2:D$999, ('RAW_URL,PageName'!$C$2:$C$999=$G16)*('RAW_URL,PageName'!$B$2:$B$999="TY"), ""))</f>
        <v/>
      </c>
      <c r="O16" s="33" t="str" cm="1">
        <f t="array" ref="O16">_xlfn.TEXTJOIN(CHAR(10), 1, _xlfn._xlws.FILTER('RAW_URL,PageName'!E$2:E$999, ('RAW_URL,PageName'!$C$2:$C$999=$G16)*('RAW_URL,PageName'!$B$2:$B$999="TY"), ""))</f>
        <v/>
      </c>
      <c r="P16" s="36" t="str" cm="1">
        <f t="array" ref="P16">_xlfn.TEXTJOIN(CHAR(10), 1, _xlfn._xlws.FILTER('RAW_URL,PageName'!F$2:F$999, ('RAW_URL,PageName'!$C$2:$C$999=$G16)*('RAW_URL,PageName'!$B$2:$B$999="TY"), ""))</f>
        <v/>
      </c>
      <c r="Q16" s="38" t="str" cm="1">
        <f t="array" ref="Q16">_xlfn.TEXTJOIN(CHAR(10), 1, _xlfn._xlws.FILTER('RAW_URL,PageName'!D$2:D$999, ('RAW_URL,PageName'!$C$2:$C$999=$G16)*('RAW_URL,PageName'!$B$2:$B$999="LY"), ""))</f>
        <v/>
      </c>
      <c r="R16" s="33" t="str" cm="1">
        <f t="array" ref="R16">_xlfn.TEXTJOIN(CHAR(10), 1, _xlfn._xlws.FILTER('RAW_URL,PageName'!E$2:E$999, ('RAW_URL,PageName'!$C$2:$C$999=$G16)*('RAW_URL,PageName'!$B$2:$B$999="LY"), ""))</f>
        <v/>
      </c>
      <c r="S16" s="56" t="str" cm="1">
        <f t="array" ref="S16">_xlfn.TEXTJOIN(CHAR(10), 1, _xlfn._xlws.FILTER('RAW_URL,PageName'!F$2:F$999, ('RAW_URL,PageName'!$C$2:$C$999=$G16)*('RAW_URL,PageName'!$B$2:$B$999="LY"), ""))</f>
        <v/>
      </c>
      <c r="T16" s="116"/>
      <c r="U16" s="116">
        <f>IFERROR(VLOOKUP($C16,태깅기획site_code!$N$4:$O$18,2,0),"")</f>
        <v>5</v>
      </c>
      <c r="V16" s="1"/>
      <c r="W16" s="45">
        <v>2</v>
      </c>
      <c r="X16" s="31" t="str">
        <v>L.America</v>
      </c>
      <c r="Y16" s="31" t="str">
        <v>XADUXU</v>
      </c>
      <c r="Z16" s="31" t="str">
        <v>Argentina</v>
      </c>
      <c r="AA16" s="31" t="str">
        <v>Argentina</v>
      </c>
      <c r="AB16" s="46" t="str">
        <v>ar</v>
      </c>
      <c r="AC16" s="48">
        <v>46297</v>
      </c>
      <c r="AD16" s="32">
        <v>46313</v>
      </c>
      <c r="AE16" s="86" t="str">
        <f>IF(AD16="","",IF(IF(AD16&gt;api용!D$2,api용!D$2,AD16)&lt;AC16,"",IF(AD16&gt;api용!D$2,api용!D$2,AD16)))</f>
        <v/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2:50">
      <c r="B17" s="45">
        <f>IF($G17="","",IFERROR(VLOOKUP($G17,RAW_tier!$B$2:$C$200,2,0),2))</f>
        <v>2</v>
      </c>
      <c r="C17" s="31" t="str">
        <f>IF(ISBLANK(태깅기획site_code!F16),"",태깅기획site_code!C16)</f>
        <v>EU</v>
      </c>
      <c r="D17" s="31" t="str">
        <f>IF(ISBLANK(태깅기획site_code!F16),"",IF(고객법인일정파일!P16="한총","SEC",IF(LEN(TRIM(고객법인일정파일!P16))=0,태깅기획site_code!D16,고객법인일정파일!P16)))</f>
        <v>XADBN-BE</v>
      </c>
      <c r="E17" s="31" t="str">
        <f>IF(ISBLANK(태깅기획site_code!F16),"",태깅기획site_code!E16)</f>
        <v>Belgium</v>
      </c>
      <c r="F17" s="31" t="str">
        <f>IF(ISBLANK(태깅기획site_code!F16),"",태깅기획site_code!J16)</f>
        <v>Belgium(NL)</v>
      </c>
      <c r="G17" s="35" t="str">
        <f>IF(ISBLANK(태깅기획site_code!B16),"",태깅기획site_code!F16)</f>
        <v>be</v>
      </c>
      <c r="H17" s="43">
        <f>IF(ISBLANK(태깅기획site_code!F16),"",IF(고객법인일정파일!Q16="X","X",고객법인일정파일!R16))</f>
        <v>46050</v>
      </c>
      <c r="I17" s="32">
        <f>IF(ISBLANK(태깅기획site_code!F16),"",IF(고객법인일정파일!Q16="X","",고객법인일정파일!S16))</f>
        <v>46063</v>
      </c>
      <c r="J17" s="41"/>
      <c r="K17" s="43">
        <v>45774</v>
      </c>
      <c r="L17" s="39">
        <v>45780</v>
      </c>
      <c r="M17" s="40" t="str">
        <f>IF(D17="","",VLOOKUP(D17,고객법인일정파일!$C$5:$J$200,8,0))&amp;""</f>
        <v/>
      </c>
      <c r="N17" s="38" t="str" cm="1">
        <f t="array" ref="N17">_xlfn.TEXTJOIN(CHAR(10), 1, _xlfn._xlws.FILTER('RAW_URL,PageName'!D$2:D$999, ('RAW_URL,PageName'!$C$2:$C$999=$G17)*('RAW_URL,PageName'!$B$2:$B$999="TY"), ""))</f>
        <v/>
      </c>
      <c r="O17" s="33" t="str" cm="1">
        <f t="array" ref="O17">_xlfn.TEXTJOIN(CHAR(10), 1, _xlfn._xlws.FILTER('RAW_URL,PageName'!E$2:E$999, ('RAW_URL,PageName'!$C$2:$C$999=$G17)*('RAW_URL,PageName'!$B$2:$B$999="TY"), ""))</f>
        <v/>
      </c>
      <c r="P17" s="36" t="str" cm="1">
        <f t="array" ref="P17">_xlfn.TEXTJOIN(CHAR(10), 1, _xlfn._xlws.FILTER('RAW_URL,PageName'!F$2:F$999, ('RAW_URL,PageName'!$C$2:$C$999=$G17)*('RAW_URL,PageName'!$B$2:$B$999="TY"), ""))</f>
        <v/>
      </c>
      <c r="Q17" s="38" t="str" cm="1">
        <f t="array" ref="Q17">_xlfn.TEXTJOIN(CHAR(10), 1, _xlfn._xlws.FILTER('RAW_URL,PageName'!D$2:D$999, ('RAW_URL,PageName'!$C$2:$C$999=$G17)*('RAW_URL,PageName'!$B$2:$B$999="LY"), ""))</f>
        <v/>
      </c>
      <c r="R17" s="33" t="str" cm="1">
        <f t="array" ref="R17">_xlfn.TEXTJOIN(CHAR(10), 1, _xlfn._xlws.FILTER('RAW_URL,PageName'!E$2:E$999, ('RAW_URL,PageName'!$C$2:$C$999=$G17)*('RAW_URL,PageName'!$B$2:$B$999="LY"), ""))</f>
        <v/>
      </c>
      <c r="S17" s="56" t="str" cm="1">
        <f t="array" ref="S17">_xlfn.TEXTJOIN(CHAR(10), 1, _xlfn._xlws.FILTER('RAW_URL,PageName'!F$2:F$999, ('RAW_URL,PageName'!$C$2:$C$999=$G17)*('RAW_URL,PageName'!$B$2:$B$999="LY"), ""))</f>
        <v/>
      </c>
      <c r="T17" s="116"/>
      <c r="U17" s="116">
        <f>IFERROR(VLOOKUP($C17,태깅기획site_code!$N$4:$O$18,2,0),"")</f>
        <v>2</v>
      </c>
      <c r="V17" s="1"/>
      <c r="W17" s="45">
        <v>2</v>
      </c>
      <c r="X17" s="31" t="str">
        <v>EU</v>
      </c>
      <c r="Y17" s="31" t="str">
        <v>XADUX-UT</v>
      </c>
      <c r="Z17" s="31" t="str">
        <v>Austria</v>
      </c>
      <c r="AA17" s="31" t="str">
        <v>Austria</v>
      </c>
      <c r="AB17" s="46" t="str">
        <v>at</v>
      </c>
      <c r="AC17" s="48">
        <v>46042</v>
      </c>
      <c r="AD17" s="32">
        <v>46064</v>
      </c>
      <c r="AE17" s="86">
        <f>IF(AD17="","",IF(IF(AD17&gt;api용!D$2,api용!D$2,AD17)&lt;AC17,"",IF(AD17&gt;api용!D$2,api용!D$2,AD17)))</f>
        <v>46064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2:50">
      <c r="B18" s="45">
        <f>IF($G18="","",IFERROR(VLOOKUP($G18,RAW_tier!$B$2:$C$200,2,0),2))</f>
        <v>2</v>
      </c>
      <c r="C18" s="31" t="str">
        <f>IF(ISBLANK(태깅기획site_code!F17),"",태깅기획site_code!C17)</f>
        <v>EU</v>
      </c>
      <c r="D18" s="31" t="str">
        <f>IF(ISBLANK(태깅기획site_code!F17),"",IF(고객법인일정파일!P17="한총","SEC",IF(LEN(TRIM(고객법인일정파일!P17))=0,태깅기획site_code!D17,고객법인일정파일!P17)))</f>
        <v>XADBN-BE</v>
      </c>
      <c r="E18" s="31" t="str">
        <f>IF(ISBLANK(태깅기획site_code!F17),"",태깅기획site_code!E17)</f>
        <v>Belgium</v>
      </c>
      <c r="F18" s="31" t="str">
        <f>IF(ISBLANK(태깅기획site_code!F17),"",태깅기획site_code!J17)</f>
        <v>Belgium(NL)</v>
      </c>
      <c r="G18" s="35" t="str">
        <f>IF(ISBLANK(태깅기획site_code!B17),"",태깅기획site_code!F17)</f>
        <v>be_fr</v>
      </c>
      <c r="H18" s="43">
        <f>IF(ISBLANK(태깅기획site_code!F17),"",IF(고객법인일정파일!Q17="X","X",고객법인일정파일!R17))</f>
        <v>46050</v>
      </c>
      <c r="I18" s="32">
        <f>IF(ISBLANK(태깅기획site_code!F17),"",IF(고객법인일정파일!Q17="X","",고객법인일정파일!S17))</f>
        <v>46063</v>
      </c>
      <c r="J18" s="41" t="s">
        <v>20</v>
      </c>
      <c r="K18" s="43">
        <v>45774</v>
      </c>
      <c r="L18" s="39">
        <v>45780</v>
      </c>
      <c r="M18" s="40" t="str">
        <f>IF(D18="","",VLOOKUP(D18,고객법인일정파일!$C$5:$J$200,8,0))&amp;""</f>
        <v/>
      </c>
      <c r="N18" s="38" t="str" cm="1">
        <f t="array" ref="N18">_xlfn.TEXTJOIN(CHAR(10), 1, _xlfn._xlws.FILTER('RAW_URL,PageName'!D$2:D$999, ('RAW_URL,PageName'!$C$2:$C$999=$G18)*('RAW_URL,PageName'!$B$2:$B$999="TY"), ""))</f>
        <v/>
      </c>
      <c r="O18" s="33" t="str" cm="1">
        <f t="array" ref="O18">_xlfn.TEXTJOIN(CHAR(10), 1, _xlfn._xlws.FILTER('RAW_URL,PageName'!E$2:E$999, ('RAW_URL,PageName'!$C$2:$C$999=$G18)*('RAW_URL,PageName'!$B$2:$B$999="TY"), ""))</f>
        <v/>
      </c>
      <c r="P18" s="36" t="str" cm="1">
        <f t="array" ref="P18">_xlfn.TEXTJOIN(CHAR(10), 1, _xlfn._xlws.FILTER('RAW_URL,PageName'!F$2:F$999, ('RAW_URL,PageName'!$C$2:$C$999=$G18)*('RAW_URL,PageName'!$B$2:$B$999="TY"), ""))</f>
        <v/>
      </c>
      <c r="Q18" s="38" t="str" cm="1">
        <f t="array" ref="Q18">_xlfn.TEXTJOIN(CHAR(10), 1, _xlfn._xlws.FILTER('RAW_URL,PageName'!D$2:D$999, ('RAW_URL,PageName'!$C$2:$C$999=$G18)*('RAW_URL,PageName'!$B$2:$B$999="LY"), ""))</f>
        <v/>
      </c>
      <c r="R18" s="33" t="str" cm="1">
        <f t="array" ref="R18">_xlfn.TEXTJOIN(CHAR(10), 1, _xlfn._xlws.FILTER('RAW_URL,PageName'!E$2:E$999, ('RAW_URL,PageName'!$C$2:$C$999=$G18)*('RAW_URL,PageName'!$B$2:$B$999="LY"), ""))</f>
        <v/>
      </c>
      <c r="S18" s="56" t="str" cm="1">
        <f t="array" ref="S18">_xlfn.TEXTJOIN(CHAR(10), 1, _xlfn._xlws.FILTER('RAW_URL,PageName'!F$2:F$999, ('RAW_URL,PageName'!$C$2:$C$999=$G18)*('RAW_URL,PageName'!$B$2:$B$999="LY"), ""))</f>
        <v/>
      </c>
      <c r="T18" s="116"/>
      <c r="U18" s="116">
        <f>IFERROR(VLOOKUP($C18,태깅기획site_code!$N$4:$O$18,2,0),"")</f>
        <v>2</v>
      </c>
      <c r="V18" s="1"/>
      <c r="W18" s="45">
        <v>2</v>
      </c>
      <c r="X18" s="31" t="str">
        <v>S.E.Asia</v>
      </c>
      <c r="Y18" s="31" t="str">
        <v>XADUU</v>
      </c>
      <c r="Z18" s="31" t="str">
        <v>Australia</v>
      </c>
      <c r="AA18" s="31" t="str">
        <v>Australia</v>
      </c>
      <c r="AB18" s="46" t="str">
        <v>au</v>
      </c>
      <c r="AC18" s="48">
        <v>46046</v>
      </c>
      <c r="AD18" s="32">
        <v>46067</v>
      </c>
      <c r="AE18" s="86">
        <f>IF(AD18="","",IF(IF(AD18&gt;api용!D$2,api용!D$2,AD18)&lt;AC18,"",IF(AD18&gt;api용!D$2,api용!D$2,AD18)))</f>
        <v>46067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2:50" ht="24" customHeight="1">
      <c r="B19" s="45">
        <f>IF($G19="","",IFERROR(VLOOKUP($G19,RAW_tier!$B$2:$C$200,2,0),2))</f>
        <v>2</v>
      </c>
      <c r="C19" s="31" t="str">
        <f>IF(ISBLANK(태깅기획site_code!F18),"",태깅기획site_code!C18)</f>
        <v>EU</v>
      </c>
      <c r="D19" s="31" t="str">
        <f>IF(ISBLANK(태깅기획site_code!F18),"",IF(고객법인일정파일!P18="한총","SEC",IF(LEN(TRIM(고객법인일정파일!P18))=0,태깅기획site_code!D18,고객법인일정파일!P18)))</f>
        <v>XADROM</v>
      </c>
      <c r="E19" s="31" t="str">
        <f>IF(ISBLANK(태깅기획site_code!F18),"",태깅기획site_code!E18)</f>
        <v>Bulgaria</v>
      </c>
      <c r="F19" s="31" t="str">
        <f>IF(ISBLANK(태깅기획site_code!F18),"",태깅기획site_code!J18)</f>
        <v>Bulgaria</v>
      </c>
      <c r="G19" s="35" t="str">
        <f>IF(ISBLANK(태깅기획site_code!B18),"",태깅기획site_code!F18)</f>
        <v>bg</v>
      </c>
      <c r="H19" s="43">
        <f>IF(ISBLANK(태깅기획site_code!F18),"",IF(고객법인일정파일!Q18="X","X",고객법인일정파일!R18))</f>
        <v>46113</v>
      </c>
      <c r="I19" s="32">
        <f>IF(ISBLANK(태깅기획site_code!F18),"",IF(고객법인일정파일!Q18="X","",고객법인일정파일!S18))</f>
        <v>46122</v>
      </c>
      <c r="J19" s="41"/>
      <c r="K19" s="43"/>
      <c r="L19" s="39"/>
      <c r="M19" s="40" t="str">
        <f>IF(D19="","",VLOOKUP(D19,고객법인일정파일!$C$5:$J$200,8,0))&amp;""</f>
        <v>Note1-test XADROM</v>
      </c>
      <c r="N19" s="38" t="str" cm="1">
        <f t="array" ref="N19">_xlfn.TEXTJOIN(CHAR(10), 1, _xlfn._xlws.FILTER('RAW_URL,PageName'!D$2:D$999, ('RAW_URL,PageName'!$C$2:$C$999=$G19)*('RAW_URL,PageName'!$B$2:$B$999="TY"), ""))</f>
        <v/>
      </c>
      <c r="O19" s="33" t="str" cm="1">
        <f t="array" ref="O19">_xlfn.TEXTJOIN(CHAR(10), 1, _xlfn._xlws.FILTER('RAW_URL,PageName'!E$2:E$999, ('RAW_URL,PageName'!$C$2:$C$999=$G19)*('RAW_URL,PageName'!$B$2:$B$999="TY"), ""))</f>
        <v/>
      </c>
      <c r="P19" s="36" t="str" cm="1">
        <f t="array" ref="P19">_xlfn.TEXTJOIN(CHAR(10), 1, _xlfn._xlws.FILTER('RAW_URL,PageName'!F$2:F$999, ('RAW_URL,PageName'!$C$2:$C$999=$G19)*('RAW_URL,PageName'!$B$2:$B$999="TY"), ""))</f>
        <v/>
      </c>
      <c r="Q19" s="38" t="str" cm="1">
        <f t="array" ref="Q19">_xlfn.TEXTJOIN(CHAR(10), 1, _xlfn._xlws.FILTER('RAW_URL,PageName'!D$2:D$999, ('RAW_URL,PageName'!$C$2:$C$999=$G19)*('RAW_URL,PageName'!$B$2:$B$999="LY"), ""))</f>
        <v/>
      </c>
      <c r="R19" s="33" t="str" cm="1">
        <f t="array" ref="R19">_xlfn.TEXTJOIN(CHAR(10), 1, _xlfn._xlws.FILTER('RAW_URL,PageName'!E$2:E$999, ('RAW_URL,PageName'!$C$2:$C$999=$G19)*('RAW_URL,PageName'!$B$2:$B$999="LY"), ""))</f>
        <v/>
      </c>
      <c r="S19" s="56" t="str" cm="1">
        <f t="array" ref="S19">_xlfn.TEXTJOIN(CHAR(10), 1, _xlfn._xlws.FILTER('RAW_URL,PageName'!F$2:F$999, ('RAW_URL,PageName'!$C$2:$C$999=$G19)*('RAW_URL,PageName'!$B$2:$B$999="LY"), ""))</f>
        <v/>
      </c>
      <c r="T19" s="116"/>
      <c r="U19" s="116">
        <f>IFERROR(VLOOKUP($C19,태깅기획site_code!$N$4:$O$18,2,0),"")</f>
        <v>2</v>
      </c>
      <c r="V19" s="1"/>
      <c r="W19" s="45">
        <v>2</v>
      </c>
      <c r="X19" s="31" t="str">
        <v>EU</v>
      </c>
      <c r="Y19" s="31" t="str">
        <v>XADUD</v>
      </c>
      <c r="Z19" s="31" t="str">
        <v>Bosnia</v>
      </c>
      <c r="AA19" s="31" t="str">
        <v>Bosnia</v>
      </c>
      <c r="AB19" s="46" t="str">
        <v>ba</v>
      </c>
      <c r="AC19" s="48" t="str">
        <v>X</v>
      </c>
      <c r="AD19" s="32" t="str">
        <v/>
      </c>
      <c r="AE19" s="86" t="str">
        <f>IF(AD19="","",IF(IF(AD19&gt;api용!D$2,api용!D$2,AD19)&lt;AC19,"",IF(AD19&gt;api용!D$2,api용!D$2,AD19)))</f>
        <v/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2:50">
      <c r="B20" s="45">
        <f>IF($G20="","",IFERROR(VLOOKUP($G20,RAW_tier!$B$2:$C$200,2,0),2))</f>
        <v>1</v>
      </c>
      <c r="C20" s="31" t="str">
        <f>IF(ISBLANK(태깅기획site_code!F19),"",태깅기획site_code!C19)</f>
        <v>L.America</v>
      </c>
      <c r="D20" s="31" t="str">
        <f>IF(ISBLANK(태깅기획site_code!F19),"",IF(고객법인일정파일!P19="한총","SEC",IF(LEN(TRIM(고객법인일정파일!P19))=0,태깅기획site_code!D19,고객법인일정파일!P19)))</f>
        <v>XADDU</v>
      </c>
      <c r="E20" s="31" t="str">
        <f>IF(ISBLANK(태깅기획site_code!F19),"",태깅기획site_code!E19)</f>
        <v>Brazil</v>
      </c>
      <c r="F20" s="31" t="str">
        <f>IF(ISBLANK(태깅기획site_code!F19),"",태깅기획site_code!J19)</f>
        <v>Brazil</v>
      </c>
      <c r="G20" s="35" t="str">
        <f>IF(ISBLANK(태깅기획site_code!B19),"",태깅기획site_code!F19)</f>
        <v>br</v>
      </c>
      <c r="H20" s="43">
        <f>IF(ISBLANK(태깅기획site_code!F19),"",IF(고객법인일정파일!Q19="X","X",고객법인일정파일!R19))</f>
        <v>46042</v>
      </c>
      <c r="I20" s="32">
        <f>IF(ISBLANK(태깅기획site_code!F19),"",IF(고객법인일정파일!Q19="X","",고객법인일정파일!S19))</f>
        <v>46063</v>
      </c>
      <c r="J20" s="41"/>
      <c r="K20" s="43"/>
      <c r="L20" s="39"/>
      <c r="M20" s="40" t="str">
        <f>IF(D20="","",VLOOKUP(D20,고객법인일정파일!$C$5:$J$200,8,0))&amp;""</f>
        <v/>
      </c>
      <c r="N20" s="38" t="str" cm="1">
        <f t="array" ref="N20">_xlfn.TEXTJOIN(CHAR(10), 1, _xlfn._xlws.FILTER('RAW_URL,PageName'!D$2:D$999, ('RAW_URL,PageName'!$C$2:$C$999=$G20)*('RAW_URL,PageName'!$B$2:$B$999="TY"), ""))</f>
        <v/>
      </c>
      <c r="O20" s="33" t="str" cm="1">
        <f t="array" ref="O20">_xlfn.TEXTJOIN(CHAR(10), 1, _xlfn._xlws.FILTER('RAW_URL,PageName'!E$2:E$999, ('RAW_URL,PageName'!$C$2:$C$999=$G20)*('RAW_URL,PageName'!$B$2:$B$999="TY"), ""))</f>
        <v/>
      </c>
      <c r="P20" s="36" t="str" cm="1">
        <f t="array" ref="P20">_xlfn.TEXTJOIN(CHAR(10), 1, _xlfn._xlws.FILTER('RAW_URL,PageName'!F$2:F$999, ('RAW_URL,PageName'!$C$2:$C$999=$G20)*('RAW_URL,PageName'!$B$2:$B$999="TY"), ""))</f>
        <v/>
      </c>
      <c r="Q20" s="38" t="str" cm="1">
        <f t="array" ref="Q20">_xlfn.TEXTJOIN(CHAR(10), 1, _xlfn._xlws.FILTER('RAW_URL,PageName'!D$2:D$999, ('RAW_URL,PageName'!$C$2:$C$999=$G20)*('RAW_URL,PageName'!$B$2:$B$999="LY"), ""))</f>
        <v/>
      </c>
      <c r="R20" s="33" t="str" cm="1">
        <f t="array" ref="R20">_xlfn.TEXTJOIN(CHAR(10), 1, _xlfn._xlws.FILTER('RAW_URL,PageName'!E$2:E$999, ('RAW_URL,PageName'!$C$2:$C$999=$G20)*('RAW_URL,PageName'!$B$2:$B$999="LY"), ""))</f>
        <v/>
      </c>
      <c r="S20" s="56" t="str" cm="1">
        <f t="array" ref="S20">_xlfn.TEXTJOIN(CHAR(10), 1, _xlfn._xlws.FILTER('RAW_URL,PageName'!F$2:F$999, ('RAW_URL,PageName'!$C$2:$C$999=$G20)*('RAW_URL,PageName'!$B$2:$B$999="LY"), ""))</f>
        <v/>
      </c>
      <c r="T20" s="116"/>
      <c r="U20" s="116">
        <f>IFERROR(VLOOKUP($C20,태깅기획site_code!$N$4:$O$18,2,0),"")</f>
        <v>3</v>
      </c>
      <c r="V20" s="1"/>
      <c r="W20" s="45">
        <v>2</v>
      </c>
      <c r="X20" s="31" t="str">
        <v>S.W.Asia</v>
      </c>
      <c r="Y20" s="31" t="str">
        <v>XIADL</v>
      </c>
      <c r="Z20" s="31" t="str">
        <v>Bangladesh</v>
      </c>
      <c r="AA20" s="31" t="str">
        <v>Bangladesh</v>
      </c>
      <c r="AB20" s="46" t="str">
        <v>bd</v>
      </c>
      <c r="AC20" s="48">
        <v>46038</v>
      </c>
      <c r="AD20" s="32">
        <v>46044</v>
      </c>
      <c r="AE20" s="86">
        <f>IF(AD20="","",IF(IF(AD20&gt;api용!D$2,api용!D$2,AD20)&lt;AC20,"",IF(AD20&gt;api용!D$2,api용!D$2,AD20)))</f>
        <v>46044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2:50">
      <c r="B21" s="45">
        <f>IF($G21="","",IFERROR(VLOOKUP($G21,RAW_tier!$B$2:$C$200,2,0),2))</f>
        <v>2</v>
      </c>
      <c r="C21" s="31" t="str">
        <f>IF(ISBLANK(태깅기획site_code!F20),"",태깅기획site_code!C20)</f>
        <v>N.America</v>
      </c>
      <c r="D21" s="31" t="str">
        <f>IF(ISBLANK(태깅기획site_code!F20),"",IF(고객법인일정파일!P20="한총","SEC",IF(LEN(TRIM(고객법인일정파일!P20))=0,태깅기획site_code!D20,고객법인일정파일!P20)))</f>
        <v>XADCU</v>
      </c>
      <c r="E21" s="31" t="str">
        <f>IF(ISBLANK(태깅기획site_code!F20),"",태깅기획site_code!E20)</f>
        <v>Canada</v>
      </c>
      <c r="F21" s="31" t="str">
        <f>IF(ISBLANK(태깅기획site_code!F20),"",태깅기획site_code!J20)</f>
        <v>Canada</v>
      </c>
      <c r="G21" s="35" t="str">
        <f>IF(ISBLANK(태깅기획site_code!B20),"",태깅기획site_code!F20)</f>
        <v>ca</v>
      </c>
      <c r="H21" s="43">
        <f>IF(ISBLANK(태깅기획site_code!F20),"",IF(고객법인일정파일!Q20="X","X",고객법인일정파일!R20))</f>
        <v>46043</v>
      </c>
      <c r="I21" s="32">
        <f>IF(ISBLANK(태깅기획site_code!F20),"",IF(고객법인일정파일!Q20="X","",고객법인일정파일!S20))</f>
        <v>46063</v>
      </c>
      <c r="J21" s="41"/>
      <c r="K21" s="43"/>
      <c r="L21" s="39"/>
      <c r="M21" s="40" t="str">
        <f>IF(D21="","",VLOOKUP(D21,고객법인일정파일!$C$5:$J$200,8,0))&amp;""</f>
        <v/>
      </c>
      <c r="N21" s="38" t="str" cm="1">
        <f t="array" ref="N21">_xlfn.TEXTJOIN(CHAR(10), 1, _xlfn._xlws.FILTER('RAW_URL,PageName'!D$2:D$999, ('RAW_URL,PageName'!$C$2:$C$999=$G21)*('RAW_URL,PageName'!$B$2:$B$999="TY"), ""))</f>
        <v/>
      </c>
      <c r="O21" s="33" t="str" cm="1">
        <f t="array" ref="O21">_xlfn.TEXTJOIN(CHAR(10), 1, _xlfn._xlws.FILTER('RAW_URL,PageName'!E$2:E$999, ('RAW_URL,PageName'!$C$2:$C$999=$G21)*('RAW_URL,PageName'!$B$2:$B$999="TY"), ""))</f>
        <v/>
      </c>
      <c r="P21" s="36" t="str" cm="1">
        <f t="array" ref="P21">_xlfn.TEXTJOIN(CHAR(10), 1, _xlfn._xlws.FILTER('RAW_URL,PageName'!F$2:F$999, ('RAW_URL,PageName'!$C$2:$C$999=$G21)*('RAW_URL,PageName'!$B$2:$B$999="TY"), ""))</f>
        <v/>
      </c>
      <c r="Q21" s="38" t="str" cm="1">
        <f t="array" ref="Q21">_xlfn.TEXTJOIN(CHAR(10), 1, _xlfn._xlws.FILTER('RAW_URL,PageName'!D$2:D$999, ('RAW_URL,PageName'!$C$2:$C$999=$G21)*('RAW_URL,PageName'!$B$2:$B$999="LY"), ""))</f>
        <v/>
      </c>
      <c r="R21" s="33" t="str" cm="1">
        <f t="array" ref="R21">_xlfn.TEXTJOIN(CHAR(10), 1, _xlfn._xlws.FILTER('RAW_URL,PageName'!E$2:E$999, ('RAW_URL,PageName'!$C$2:$C$999=$G21)*('RAW_URL,PageName'!$B$2:$B$999="LY"), ""))</f>
        <v/>
      </c>
      <c r="S21" s="56" t="str" cm="1">
        <f t="array" ref="S21">_xlfn.TEXTJOIN(CHAR(10), 1, _xlfn._xlws.FILTER('RAW_URL,PageName'!F$2:F$999, ('RAW_URL,PageName'!$C$2:$C$999=$G21)*('RAW_URL,PageName'!$B$2:$B$999="LY"), ""))</f>
        <v/>
      </c>
      <c r="T21" s="116"/>
      <c r="U21" s="116">
        <f>IFERROR(VLOOKUP($C21,태깅기획site_code!$N$4:$O$18,2,0),"")</f>
        <v>1</v>
      </c>
      <c r="V21" s="1"/>
      <c r="W21" s="45">
        <v>2</v>
      </c>
      <c r="X21" s="31" t="str">
        <v>EU</v>
      </c>
      <c r="Y21" s="31" t="str">
        <v>XADBN-BE</v>
      </c>
      <c r="Z21" s="31" t="str">
        <v>Belgium</v>
      </c>
      <c r="AA21" s="31" t="str">
        <v>Belgium(NL)</v>
      </c>
      <c r="AB21" s="46" t="str">
        <v>be</v>
      </c>
      <c r="AC21" s="48">
        <v>46050</v>
      </c>
      <c r="AD21" s="32">
        <v>46063</v>
      </c>
      <c r="AE21" s="86">
        <f>IF(AD21="","",IF(IF(AD21&gt;api용!D$2,api용!D$2,AD21)&lt;AC21,"",IF(AD21&gt;api용!D$2,api용!D$2,AD21)))</f>
        <v>46063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2:50">
      <c r="B22" s="45">
        <f>IF($G22="","",IFERROR(VLOOKUP($G22,RAW_tier!$B$2:$C$200,2,0),2))</f>
        <v>2</v>
      </c>
      <c r="C22" s="31" t="str">
        <f>IF(ISBLANK(태깅기획site_code!F21),"",태깅기획site_code!C21)</f>
        <v>N.America</v>
      </c>
      <c r="D22" s="31" t="str">
        <f>IF(ISBLANK(태깅기획site_code!F21),"",IF(고객법인일정파일!P21="한총","SEC",IF(LEN(TRIM(고객법인일정파일!P21))=0,태깅기획site_code!D21,고객법인일정파일!P21)))</f>
        <v>XADCU</v>
      </c>
      <c r="E22" s="31" t="str">
        <f>IF(ISBLANK(태깅기획site_code!F21),"",태깅기획site_code!E21)</f>
        <v>Canada</v>
      </c>
      <c r="F22" s="31" t="str">
        <f>IF(ISBLANK(태깅기획site_code!F21),"",태깅기획site_code!J21)</f>
        <v>Canada (fr)</v>
      </c>
      <c r="G22" s="35" t="str">
        <f>IF(ISBLANK(태깅기획site_code!B21),"",태깅기획site_code!F21)</f>
        <v>ca_fr</v>
      </c>
      <c r="H22" s="43">
        <f>IF(ISBLANK(태깅기획site_code!F21),"",IF(고객법인일정파일!Q21="X","X",고객법인일정파일!R21))</f>
        <v>46043</v>
      </c>
      <c r="I22" s="32">
        <f>IF(ISBLANK(태깅기획site_code!F21),"",IF(고객법인일정파일!Q21="X","",고객법인일정파일!S21))</f>
        <v>46063</v>
      </c>
      <c r="J22" s="41"/>
      <c r="K22" s="43"/>
      <c r="L22" s="39"/>
      <c r="M22" s="40" t="str">
        <f>IF(D22="","",VLOOKUP(D22,고객법인일정파일!$C$5:$J$200,8,0))&amp;""</f>
        <v/>
      </c>
      <c r="N22" s="38" t="str" cm="1">
        <f t="array" ref="N22">_xlfn.TEXTJOIN(CHAR(10), 1, _xlfn._xlws.FILTER('RAW_URL,PageName'!D$2:D$999, ('RAW_URL,PageName'!$C$2:$C$999=$G22)*('RAW_URL,PageName'!$B$2:$B$999="TY"), ""))</f>
        <v/>
      </c>
      <c r="O22" s="33" t="str" cm="1">
        <f t="array" ref="O22">_xlfn.TEXTJOIN(CHAR(10), 1, _xlfn._xlws.FILTER('RAW_URL,PageName'!E$2:E$999, ('RAW_URL,PageName'!$C$2:$C$999=$G22)*('RAW_URL,PageName'!$B$2:$B$999="TY"), ""))</f>
        <v/>
      </c>
      <c r="P22" s="36" t="str" cm="1">
        <f t="array" ref="P22">_xlfn.TEXTJOIN(CHAR(10), 1, _xlfn._xlws.FILTER('RAW_URL,PageName'!F$2:F$999, ('RAW_URL,PageName'!$C$2:$C$999=$G22)*('RAW_URL,PageName'!$B$2:$B$999="TY"), ""))</f>
        <v/>
      </c>
      <c r="Q22" s="38" t="str" cm="1">
        <f t="array" ref="Q22">_xlfn.TEXTJOIN(CHAR(10), 1, _xlfn._xlws.FILTER('RAW_URL,PageName'!D$2:D$999, ('RAW_URL,PageName'!$C$2:$C$999=$G22)*('RAW_URL,PageName'!$B$2:$B$999="LY"), ""))</f>
        <v/>
      </c>
      <c r="R22" s="33" t="str" cm="1">
        <f t="array" ref="R22">_xlfn.TEXTJOIN(CHAR(10), 1, _xlfn._xlws.FILTER('RAW_URL,PageName'!E$2:E$999, ('RAW_URL,PageName'!$C$2:$C$999=$G22)*('RAW_URL,PageName'!$B$2:$B$999="LY"), ""))</f>
        <v/>
      </c>
      <c r="S22" s="56" t="str" cm="1">
        <f t="array" ref="S22">_xlfn.TEXTJOIN(CHAR(10), 1, _xlfn._xlws.FILTER('RAW_URL,PageName'!F$2:F$999, ('RAW_URL,PageName'!$C$2:$C$999=$G22)*('RAW_URL,PageName'!$B$2:$B$999="LY"), ""))</f>
        <v/>
      </c>
      <c r="T22" s="116"/>
      <c r="U22" s="116">
        <f>IFERROR(VLOOKUP($C22,태깅기획site_code!$N$4:$O$18,2,0),"")</f>
        <v>1</v>
      </c>
      <c r="V22" s="1"/>
      <c r="W22" s="45">
        <v>2</v>
      </c>
      <c r="X22" s="31" t="str">
        <v>EU</v>
      </c>
      <c r="Y22" s="31" t="str">
        <v>XADROM</v>
      </c>
      <c r="Z22" s="31" t="str">
        <v>Bulgaria</v>
      </c>
      <c r="AA22" s="31" t="str">
        <v>Bulgaria</v>
      </c>
      <c r="AB22" s="46" t="str">
        <v>bg</v>
      </c>
      <c r="AC22" s="48">
        <v>46113</v>
      </c>
      <c r="AD22" s="32">
        <v>46122</v>
      </c>
      <c r="AE22" s="86" t="str">
        <f>IF(AD22="","",IF(IF(AD22&gt;api용!D$2,api용!D$2,AD22)&lt;AC22,"",IF(AD22&gt;api용!D$2,api용!D$2,AD22)))</f>
        <v/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2:50">
      <c r="B23" s="45">
        <f>IF($G23="","",IFERROR(VLOOKUP($G23,RAW_tier!$B$2:$C$200,2,0),2))</f>
        <v>2</v>
      </c>
      <c r="C23" s="31" t="str">
        <f>IF(ISBLANK(태깅기획site_code!F22),"",태깅기획site_code!C22)</f>
        <v>EU</v>
      </c>
      <c r="D23" s="31" t="str">
        <f>IF(ISBLANK(태깅기획site_code!F22),"",IF(고객법인일정파일!P22="한총","SEC",IF(LEN(TRIM(고객법인일정파일!P22))=0,태깅기획site_code!D22,고객법인일정파일!P22)))</f>
        <v>XADUX-CH</v>
      </c>
      <c r="E23" s="31" t="str">
        <f>IF(ISBLANK(태깅기획site_code!F22),"",태깅기획site_code!E22)</f>
        <v>Switzerland</v>
      </c>
      <c r="F23" s="31" t="str">
        <f>IF(ISBLANK(태깅기획site_code!F22),"",태깅기획site_code!J22)</f>
        <v>Switzerland</v>
      </c>
      <c r="G23" s="35" t="str">
        <f>IF(ISBLANK(태깅기획site_code!B22),"",태깅기획site_code!F22)</f>
        <v>ch</v>
      </c>
      <c r="H23" s="43">
        <f>IF(ISBLANK(태깅기획site_code!F22),"",IF(고객법인일정파일!Q22="X","X",고객법인일정파일!R22))</f>
        <v>46048</v>
      </c>
      <c r="I23" s="32">
        <f>IF(ISBLANK(태깅기획site_code!F22),"",IF(고객법인일정파일!Q22="X","",고객법인일정파일!S22))</f>
        <v>46063</v>
      </c>
      <c r="J23" s="41"/>
      <c r="K23" s="43"/>
      <c r="L23" s="39"/>
      <c r="M23" s="40" t="str">
        <f>IF(D23="","",VLOOKUP(D23,고객법인일정파일!$C$5:$J$200,8,0))&amp;""</f>
        <v/>
      </c>
      <c r="N23" s="38" t="str" cm="1">
        <f t="array" ref="N23">_xlfn.TEXTJOIN(CHAR(10), 1, _xlfn._xlws.FILTER('RAW_URL,PageName'!D$2:D$999, ('RAW_URL,PageName'!$C$2:$C$999=$G23)*('RAW_URL,PageName'!$B$2:$B$999="TY"), ""))</f>
        <v/>
      </c>
      <c r="O23" s="33" t="str" cm="1">
        <f t="array" ref="O23">_xlfn.TEXTJOIN(CHAR(10), 1, _xlfn._xlws.FILTER('RAW_URL,PageName'!E$2:E$999, ('RAW_URL,PageName'!$C$2:$C$999=$G23)*('RAW_URL,PageName'!$B$2:$B$999="TY"), ""))</f>
        <v/>
      </c>
      <c r="P23" s="36" t="str" cm="1">
        <f t="array" ref="P23">_xlfn.TEXTJOIN(CHAR(10), 1, _xlfn._xlws.FILTER('RAW_URL,PageName'!F$2:F$999, ('RAW_URL,PageName'!$C$2:$C$999=$G23)*('RAW_URL,PageName'!$B$2:$B$999="TY"), ""))</f>
        <v/>
      </c>
      <c r="Q23" s="38" t="str" cm="1">
        <f t="array" ref="Q23">_xlfn.TEXTJOIN(CHAR(10), 1, _xlfn._xlws.FILTER('RAW_URL,PageName'!D$2:D$999, ('RAW_URL,PageName'!$C$2:$C$999=$G23)*('RAW_URL,PageName'!$B$2:$B$999="LY"), ""))</f>
        <v/>
      </c>
      <c r="R23" s="33" t="str" cm="1">
        <f t="array" ref="R23">_xlfn.TEXTJOIN(CHAR(10), 1, _xlfn._xlws.FILTER('RAW_URL,PageName'!E$2:E$999, ('RAW_URL,PageName'!$C$2:$C$999=$G23)*('RAW_URL,PageName'!$B$2:$B$999="LY"), ""))</f>
        <v/>
      </c>
      <c r="S23" s="56" t="str" cm="1">
        <f t="array" ref="S23">_xlfn.TEXTJOIN(CHAR(10), 1, _xlfn._xlws.FILTER('RAW_URL,PageName'!F$2:F$999, ('RAW_URL,PageName'!$C$2:$C$999=$G23)*('RAW_URL,PageName'!$B$2:$B$999="LY"), ""))</f>
        <v/>
      </c>
      <c r="T23" s="116"/>
      <c r="U23" s="116">
        <f>IFERROR(VLOOKUP($C23,태깅기획site_code!$N$4:$O$18,2,0),"")</f>
        <v>2</v>
      </c>
      <c r="V23" s="1"/>
      <c r="W23" s="45">
        <v>2</v>
      </c>
      <c r="X23" s="31" t="str">
        <v>N.America</v>
      </c>
      <c r="Y23" s="31" t="str">
        <v>XADCU</v>
      </c>
      <c r="Z23" s="31" t="str">
        <v>Canada</v>
      </c>
      <c r="AA23" s="31" t="str">
        <v>Canada</v>
      </c>
      <c r="AB23" s="46" t="str">
        <v>ca</v>
      </c>
      <c r="AC23" s="48">
        <v>46043</v>
      </c>
      <c r="AD23" s="32">
        <v>46063</v>
      </c>
      <c r="AE23" s="86">
        <f>IF(AD23="","",IF(IF(AD23&gt;api용!D$2,api용!D$2,AD23)&lt;AC23,"",IF(AD23&gt;api용!D$2,api용!D$2,AD23)))</f>
        <v>46063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2:50">
      <c r="B24" s="45">
        <f>IF($G24="","",IFERROR(VLOOKUP($G24,RAW_tier!$B$2:$C$200,2,0),2))</f>
        <v>2</v>
      </c>
      <c r="C24" s="31" t="str">
        <f>IF(ISBLANK(태깅기획site_code!F23),"",태깅기획site_code!C23)</f>
        <v>EU</v>
      </c>
      <c r="D24" s="31" t="str">
        <f>IF(ISBLANK(태깅기획site_code!F23),"",IF(고객법인일정파일!P23="한총","SEC",IF(LEN(TRIM(고객법인일정파일!P23))=0,태깅기획site_code!D23,고객법인일정파일!P23)))</f>
        <v>XADUX-CH</v>
      </c>
      <c r="E24" s="31" t="str">
        <f>IF(ISBLANK(태깅기획site_code!F23),"",태깅기획site_code!E23)</f>
        <v>Switzerland</v>
      </c>
      <c r="F24" s="31" t="str">
        <f>IF(ISBLANK(태깅기획site_code!F23),"",태깅기획site_code!J23)</f>
        <v>Switzerland(FR)</v>
      </c>
      <c r="G24" s="35" t="str">
        <f>IF(ISBLANK(태깅기획site_code!B23),"",태깅기획site_code!F23)</f>
        <v>ch_fr</v>
      </c>
      <c r="H24" s="43">
        <f>IF(ISBLANK(태깅기획site_code!F23),"",IF(고객법인일정파일!Q23="X","X",고객법인일정파일!R23))</f>
        <v>46048</v>
      </c>
      <c r="I24" s="32">
        <f>IF(ISBLANK(태깅기획site_code!F23),"",IF(고객법인일정파일!Q23="X","",고객법인일정파일!S23))</f>
        <v>46063</v>
      </c>
      <c r="J24" s="41"/>
      <c r="K24" s="43"/>
      <c r="L24" s="39"/>
      <c r="M24" s="40" t="str">
        <f>IF(D24="","",VLOOKUP(D24,고객법인일정파일!$C$5:$J$200,8,0))&amp;""</f>
        <v/>
      </c>
      <c r="N24" s="38" t="str" cm="1">
        <f t="array" ref="N24">_xlfn.TEXTJOIN(CHAR(10), 1, _xlfn._xlws.FILTER('RAW_URL,PageName'!D$2:D$999, ('RAW_URL,PageName'!$C$2:$C$999=$G24)*('RAW_URL,PageName'!$B$2:$B$999="TY"), ""))</f>
        <v/>
      </c>
      <c r="O24" s="33" t="str" cm="1">
        <f t="array" ref="O24">_xlfn.TEXTJOIN(CHAR(10), 1, _xlfn._xlws.FILTER('RAW_URL,PageName'!E$2:E$999, ('RAW_URL,PageName'!$C$2:$C$999=$G24)*('RAW_URL,PageName'!$B$2:$B$999="TY"), ""))</f>
        <v/>
      </c>
      <c r="P24" s="36" t="str" cm="1">
        <f t="array" ref="P24">_xlfn.TEXTJOIN(CHAR(10), 1, _xlfn._xlws.FILTER('RAW_URL,PageName'!F$2:F$999, ('RAW_URL,PageName'!$C$2:$C$999=$G24)*('RAW_URL,PageName'!$B$2:$B$999="TY"), ""))</f>
        <v/>
      </c>
      <c r="Q24" s="38" t="str" cm="1">
        <f t="array" ref="Q24">_xlfn.TEXTJOIN(CHAR(10), 1, _xlfn._xlws.FILTER('RAW_URL,PageName'!D$2:D$999, ('RAW_URL,PageName'!$C$2:$C$999=$G24)*('RAW_URL,PageName'!$B$2:$B$999="LY"), ""))</f>
        <v/>
      </c>
      <c r="R24" s="33" t="str" cm="1">
        <f t="array" ref="R24">_xlfn.TEXTJOIN(CHAR(10), 1, _xlfn._xlws.FILTER('RAW_URL,PageName'!E$2:E$999, ('RAW_URL,PageName'!$C$2:$C$999=$G24)*('RAW_URL,PageName'!$B$2:$B$999="LY"), ""))</f>
        <v/>
      </c>
      <c r="S24" s="56" t="str" cm="1">
        <f t="array" ref="S24">_xlfn.TEXTJOIN(CHAR(10), 1, _xlfn._xlws.FILTER('RAW_URL,PageName'!F$2:F$999, ('RAW_URL,PageName'!$C$2:$C$999=$G24)*('RAW_URL,PageName'!$B$2:$B$999="LY"), ""))</f>
        <v/>
      </c>
      <c r="T24" s="116"/>
      <c r="U24" s="116">
        <f>IFERROR(VLOOKUP($C24,태깅기획site_code!$N$4:$O$18,2,0),"")</f>
        <v>2</v>
      </c>
      <c r="V24" s="1"/>
      <c r="W24" s="45">
        <v>2</v>
      </c>
      <c r="X24" s="31" t="str">
        <v>N.America</v>
      </c>
      <c r="Y24" s="31" t="str">
        <v>XADCU</v>
      </c>
      <c r="Z24" s="31" t="str">
        <v>Canada</v>
      </c>
      <c r="AA24" s="31" t="str">
        <v>Canada (fr)</v>
      </c>
      <c r="AB24" s="46" t="str">
        <v>ca_fr</v>
      </c>
      <c r="AC24" s="48">
        <v>46043</v>
      </c>
      <c r="AD24" s="32">
        <v>46063</v>
      </c>
      <c r="AE24" s="86">
        <f>IF(AD24="","",IF(IF(AD24&gt;api용!D$2,api용!D$2,AD24)&lt;AC24,"",IF(AD24&gt;api용!D$2,api용!D$2,AD24)))</f>
        <v>46063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2:50">
      <c r="B25" s="45">
        <f>IF($G25="","",IFERROR(VLOOKUP($G25,RAW_tier!$B$2:$C$200,2,0),2))</f>
        <v>2</v>
      </c>
      <c r="C25" s="31" t="str">
        <f>IF(ISBLANK(태깅기획site_code!F24),"",태깅기획site_code!C24)</f>
        <v>L.America</v>
      </c>
      <c r="D25" s="31" t="str">
        <f>IF(ISBLANK(태깅기획site_code!F24),"",IF(고객법인일정파일!P24="한총","SEC",IF(LEN(TRIM(고객법인일정파일!P24))=0,태깅기획site_code!D24,고객법인일정파일!P24)))</f>
        <v>XADCH</v>
      </c>
      <c r="E25" s="31" t="str">
        <f>IF(ISBLANK(태깅기획site_code!F24),"",태깅기획site_code!E24)</f>
        <v>Chile</v>
      </c>
      <c r="F25" s="31" t="str">
        <f>IF(ISBLANK(태깅기획site_code!F24),"",태깅기획site_code!J24)</f>
        <v>Chile</v>
      </c>
      <c r="G25" s="35" t="str">
        <f>IF(ISBLANK(태깅기획site_code!B24),"",태깅기획site_code!F24)</f>
        <v>cl</v>
      </c>
      <c r="H25" s="43">
        <f>IF(ISBLANK(태깅기획site_code!F24),"",IF(고객법인일정파일!Q24="X","X",고객법인일정파일!R24))</f>
        <v>46042</v>
      </c>
      <c r="I25" s="32">
        <f>IF(ISBLANK(태깅기획site_code!F24),"",IF(고객법인일정파일!Q24="X","",고객법인일정파일!S24))</f>
        <v>46063</v>
      </c>
      <c r="J25" s="41"/>
      <c r="K25" s="43"/>
      <c r="L25" s="39"/>
      <c r="M25" s="40" t="str">
        <f>IF(D25="","",VLOOKUP(D25,고객법인일정파일!$C$5:$J$200,8,0))&amp;""</f>
        <v/>
      </c>
      <c r="N25" s="38" t="str" cm="1">
        <f t="array" ref="N25">_xlfn.TEXTJOIN(CHAR(10), 1, _xlfn._xlws.FILTER('RAW_URL,PageName'!D$2:D$999, ('RAW_URL,PageName'!$C$2:$C$999=$G25)*('RAW_URL,PageName'!$B$2:$B$999="TY"), ""))</f>
        <v/>
      </c>
      <c r="O25" s="33" t="str" cm="1">
        <f t="array" ref="O25">_xlfn.TEXTJOIN(CHAR(10), 1, _xlfn._xlws.FILTER('RAW_URL,PageName'!E$2:E$999, ('RAW_URL,PageName'!$C$2:$C$999=$G25)*('RAW_URL,PageName'!$B$2:$B$999="TY"), ""))</f>
        <v/>
      </c>
      <c r="P25" s="36" t="str" cm="1">
        <f t="array" ref="P25">_xlfn.TEXTJOIN(CHAR(10), 1, _xlfn._xlws.FILTER('RAW_URL,PageName'!F$2:F$999, ('RAW_URL,PageName'!$C$2:$C$999=$G25)*('RAW_URL,PageName'!$B$2:$B$999="TY"), ""))</f>
        <v/>
      </c>
      <c r="Q25" s="38" t="str" cm="1">
        <f t="array" ref="Q25">_xlfn.TEXTJOIN(CHAR(10), 1, _xlfn._xlws.FILTER('RAW_URL,PageName'!D$2:D$999, ('RAW_URL,PageName'!$C$2:$C$999=$G25)*('RAW_URL,PageName'!$B$2:$B$999="LY"), ""))</f>
        <v/>
      </c>
      <c r="R25" s="33" t="str" cm="1">
        <f t="array" ref="R25">_xlfn.TEXTJOIN(CHAR(10), 1, _xlfn._xlws.FILTER('RAW_URL,PageName'!E$2:E$999, ('RAW_URL,PageName'!$C$2:$C$999=$G25)*('RAW_URL,PageName'!$B$2:$B$999="LY"), ""))</f>
        <v/>
      </c>
      <c r="S25" s="56" t="str" cm="1">
        <f t="array" ref="S25">_xlfn.TEXTJOIN(CHAR(10), 1, _xlfn._xlws.FILTER('RAW_URL,PageName'!F$2:F$999, ('RAW_URL,PageName'!$C$2:$C$999=$G25)*('RAW_URL,PageName'!$B$2:$B$999="LY"), ""))</f>
        <v/>
      </c>
      <c r="T25" s="116"/>
      <c r="U25" s="116">
        <f>IFERROR(VLOOKUP($C25,태깅기획site_code!$N$4:$O$18,2,0),"")</f>
        <v>3</v>
      </c>
      <c r="V25" s="1"/>
      <c r="W25" s="45">
        <v>2</v>
      </c>
      <c r="X25" s="31" t="str">
        <v>EU</v>
      </c>
      <c r="Y25" s="31" t="str">
        <v>XADUX-CH</v>
      </c>
      <c r="Z25" s="31" t="str">
        <v>Switzerland</v>
      </c>
      <c r="AA25" s="31" t="str">
        <v>Switzerland</v>
      </c>
      <c r="AB25" s="46" t="str">
        <v>ch</v>
      </c>
      <c r="AC25" s="48">
        <v>46048</v>
      </c>
      <c r="AD25" s="32">
        <v>46063</v>
      </c>
      <c r="AE25" s="86">
        <f>IF(AD25="","",IF(IF(AD25&gt;api용!D$2,api용!D$2,AD25)&lt;AC25,"",IF(AD25&gt;api용!D$2,api용!D$2,AD25)))</f>
        <v>46063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2:50" ht="36" customHeight="1">
      <c r="B26" s="45">
        <f>IF($G26="","",IFERROR(VLOOKUP($G26,RAW_tier!$B$2:$C$200,2,0),2))</f>
        <v>1</v>
      </c>
      <c r="C26" s="31" t="str">
        <f>IF(ISBLANK(태깅기획site_code!F25),"",태깅기획site_code!C25)</f>
        <v>China</v>
      </c>
      <c r="D26" s="31" t="str">
        <f>IF(ISBLANK(태깅기획site_code!F25),"",IF(고객법인일정파일!P25="한총","SEC",IF(LEN(TRIM(고객법인일정파일!P25))=0,태깅기획site_code!D25,고객법인일정파일!P25)))</f>
        <v>XCIC</v>
      </c>
      <c r="E26" s="31" t="str">
        <f>IF(ISBLANK(태깅기획site_code!F25),"",태깅기획site_code!E25)</f>
        <v>China</v>
      </c>
      <c r="F26" s="31" t="str">
        <f>IF(ISBLANK(태깅기획site_code!F25),"",태깅기획site_code!J25)</f>
        <v>China</v>
      </c>
      <c r="G26" s="35" t="str">
        <f>IF(ISBLANK(태깅기획site_code!B25),"",태깅기획site_code!F25)</f>
        <v>cn</v>
      </c>
      <c r="H26" s="43">
        <f>IF(ISBLANK(태깅기획site_code!F25),"",IF(고객법인일정파일!Q25="X","X",고객법인일정파일!R25))</f>
        <v>46054</v>
      </c>
      <c r="I26" s="32">
        <f>IF(ISBLANK(태깅기획site_code!F25),"",IF(고객법인일정파일!Q25="X","",고객법인일정파일!S25))</f>
        <v>46063</v>
      </c>
      <c r="J26" s="41"/>
      <c r="K26" s="43"/>
      <c r="L26" s="39"/>
      <c r="M26" s="40" t="str">
        <f>IF(D26="","",VLOOKUP(D26,고객법인일정파일!$C$5:$J$200,8,0))&amp;""</f>
        <v>Note1-test XADHK</v>
      </c>
      <c r="N26" s="38" t="str" cm="1">
        <f t="array" ref="N26">_xlfn.TEXTJOIN(CHAR(10), 1, _xlfn._xlws.FILTER('RAW_URL,PageName'!D$2:D$999, ('RAW_URL,PageName'!$C$2:$C$999=$G26)*('RAW_URL,PageName'!$B$2:$B$999="TY"), ""))</f>
        <v/>
      </c>
      <c r="O26" s="33" t="str" cm="1">
        <f t="array" ref="O26">_xlfn.TEXTJOIN(CHAR(10), 1, _xlfn._xlws.FILTER('RAW_URL,PageName'!E$2:E$999, ('RAW_URL,PageName'!$C$2:$C$999=$G26)*('RAW_URL,PageName'!$B$2:$B$999="TY"), ""))</f>
        <v/>
      </c>
      <c r="P26" s="36" t="str" cm="1">
        <f t="array" ref="P26">_xlfn.TEXTJOIN(CHAR(10), 1, _xlfn._xlws.FILTER('RAW_URL,PageName'!F$2:F$999, ('RAW_URL,PageName'!$C$2:$C$999=$G26)*('RAW_URL,PageName'!$B$2:$B$999="TY"), ""))</f>
        <v/>
      </c>
      <c r="Q26" s="38" t="str" cm="1">
        <f t="array" ref="Q26">_xlfn.TEXTJOIN(CHAR(10), 1, _xlfn._xlws.FILTER('RAW_URL,PageName'!D$2:D$999, ('RAW_URL,PageName'!$C$2:$C$999=$G26)*('RAW_URL,PageName'!$B$2:$B$999="LY"), ""))</f>
        <v/>
      </c>
      <c r="R26" s="33" t="str" cm="1">
        <f t="array" ref="R26">_xlfn.TEXTJOIN(CHAR(10), 1, _xlfn._xlws.FILTER('RAW_URL,PageName'!E$2:E$999, ('RAW_URL,PageName'!$C$2:$C$999=$G26)*('RAW_URL,PageName'!$B$2:$B$999="LY"), ""))</f>
        <v/>
      </c>
      <c r="S26" s="56" t="str" cm="1">
        <f t="array" ref="S26">_xlfn.TEXTJOIN(CHAR(10), 1, _xlfn._xlws.FILTER('RAW_URL,PageName'!F$2:F$999, ('RAW_URL,PageName'!$C$2:$C$999=$G26)*('RAW_URL,PageName'!$B$2:$B$999="LY"), ""))</f>
        <v/>
      </c>
      <c r="T26" s="116"/>
      <c r="U26" s="116">
        <f>IFERROR(VLOOKUP($C26,태깅기획site_code!$N$4:$O$18,2,0),"")</f>
        <v>9</v>
      </c>
      <c r="V26" s="1"/>
      <c r="W26" s="45">
        <v>2</v>
      </c>
      <c r="X26" s="31" t="str">
        <v>EU</v>
      </c>
      <c r="Y26" s="31" t="str">
        <v>XADUX-CH</v>
      </c>
      <c r="Z26" s="31" t="str">
        <v>Switzerland</v>
      </c>
      <c r="AA26" s="31" t="str">
        <v>Switzerland(FR)</v>
      </c>
      <c r="AB26" s="46" t="str">
        <v>ch_fr</v>
      </c>
      <c r="AC26" s="48">
        <v>46048</v>
      </c>
      <c r="AD26" s="32">
        <v>46063</v>
      </c>
      <c r="AE26" s="86">
        <f>IF(AD26="","",IF(IF(AD26&gt;api용!D$2,api용!D$2,AD26)&lt;AC26,"",IF(AD26&gt;api용!D$2,api용!D$2,AD26)))</f>
        <v>46063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2:50">
      <c r="B27" s="45">
        <f>IF($G27="","",IFERROR(VLOOKUP($G27,RAW_tier!$B$2:$C$200,2,0),2))</f>
        <v>2</v>
      </c>
      <c r="C27" s="31" t="str">
        <f>IF(ISBLANK(태깅기획site_code!F26),"",태깅기획site_code!C26)</f>
        <v>L.America</v>
      </c>
      <c r="D27" s="31" t="str">
        <f>IF(ISBLANK(태깅기획site_code!F26),"",IF(고객법인일정파일!P26="한총","SEC",IF(LEN(TRIM(고객법인일정파일!P26))=0,태깅기획site_code!D26,고객법인일정파일!P26)))</f>
        <v>XUMCOL</v>
      </c>
      <c r="E27" s="31" t="str">
        <f>IF(ISBLANK(태깅기획site_code!F26),"",태깅기획site_code!E26)</f>
        <v>Colombia</v>
      </c>
      <c r="F27" s="31" t="str">
        <f>IF(ISBLANK(태깅기획site_code!F26),"",태깅기획site_code!J26)</f>
        <v>Colombia</v>
      </c>
      <c r="G27" s="35" t="str">
        <f>IF(ISBLANK(태깅기획site_code!B26),"",태깅기획site_code!F26)</f>
        <v>co</v>
      </c>
      <c r="H27" s="43">
        <f>IF(ISBLANK(태깅기획site_code!F26),"",IF(고객법인일정파일!Q26="X","X",고객법인일정파일!R26))</f>
        <v>46042</v>
      </c>
      <c r="I27" s="32">
        <f>IF(ISBLANK(태깅기획site_code!F26),"",IF(고객법인일정파일!Q26="X","",고객법인일정파일!S26))</f>
        <v>46063</v>
      </c>
      <c r="J27" s="41"/>
      <c r="K27" s="43">
        <v>45767</v>
      </c>
      <c r="L27" s="39">
        <v>45787</v>
      </c>
      <c r="M27" s="40" t="str">
        <f>IF(D27="","",VLOOKUP(D27,고객법인일정파일!$C$5:$J$200,8,0))&amp;""</f>
        <v/>
      </c>
      <c r="N27" s="38" t="str" cm="1">
        <f t="array" ref="N27">_xlfn.TEXTJOIN(CHAR(10), 1, _xlfn._xlws.FILTER('RAW_URL,PageName'!D$2:D$999, ('RAW_URL,PageName'!$C$2:$C$999=$G27)*('RAW_URL,PageName'!$B$2:$B$999="TY"), ""))</f>
        <v/>
      </c>
      <c r="O27" s="33" t="str" cm="1">
        <f t="array" ref="O27">_xlfn.TEXTJOIN(CHAR(10), 1, _xlfn._xlws.FILTER('RAW_URL,PageName'!E$2:E$999, ('RAW_URL,PageName'!$C$2:$C$999=$G27)*('RAW_URL,PageName'!$B$2:$B$999="TY"), ""))</f>
        <v/>
      </c>
      <c r="P27" s="36" t="str" cm="1">
        <f t="array" ref="P27">_xlfn.TEXTJOIN(CHAR(10), 1, _xlfn._xlws.FILTER('RAW_URL,PageName'!F$2:F$999, ('RAW_URL,PageName'!$C$2:$C$999=$G27)*('RAW_URL,PageName'!$B$2:$B$999="TY"), ""))</f>
        <v/>
      </c>
      <c r="Q27" s="38" t="str" cm="1">
        <f t="array" ref="Q27">_xlfn.TEXTJOIN(CHAR(10), 1, _xlfn._xlws.FILTER('RAW_URL,PageName'!D$2:D$999, ('RAW_URL,PageName'!$C$2:$C$999=$G27)*('RAW_URL,PageName'!$B$2:$B$999="LY"), ""))</f>
        <v/>
      </c>
      <c r="R27" s="33" t="str" cm="1">
        <f t="array" ref="R27">_xlfn.TEXTJOIN(CHAR(10), 1, _xlfn._xlws.FILTER('RAW_URL,PageName'!E$2:E$999, ('RAW_URL,PageName'!$C$2:$C$999=$G27)*('RAW_URL,PageName'!$B$2:$B$999="LY"), ""))</f>
        <v/>
      </c>
      <c r="S27" s="56" t="str" cm="1">
        <f t="array" ref="S27">_xlfn.TEXTJOIN(CHAR(10), 1, _xlfn._xlws.FILTER('RAW_URL,PageName'!F$2:F$999, ('RAW_URL,PageName'!$C$2:$C$999=$G27)*('RAW_URL,PageName'!$B$2:$B$999="LY"), ""))</f>
        <v/>
      </c>
      <c r="T27" s="116"/>
      <c r="U27" s="116">
        <f>IFERROR(VLOOKUP($C27,태깅기획site_code!$N$4:$O$18,2,0),"")</f>
        <v>3</v>
      </c>
      <c r="V27" s="1"/>
      <c r="W27" s="45">
        <v>2</v>
      </c>
      <c r="X27" s="31" t="str">
        <v>L.America</v>
      </c>
      <c r="Y27" s="31" t="str">
        <v>XADCH</v>
      </c>
      <c r="Z27" s="31" t="str">
        <v>Chile</v>
      </c>
      <c r="AA27" s="31" t="str">
        <v>Chile</v>
      </c>
      <c r="AB27" s="46" t="str">
        <v>cl</v>
      </c>
      <c r="AC27" s="48">
        <v>46042</v>
      </c>
      <c r="AD27" s="32">
        <v>46063</v>
      </c>
      <c r="AE27" s="86">
        <f>IF(AD27="","",IF(IF(AD27&gt;api용!D$2,api용!D$2,AD27)&lt;AC27,"",IF(AD27&gt;api용!D$2,api용!D$2,AD27)))</f>
        <v>46063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2:50">
      <c r="B28" s="45">
        <f>IF($G28="","",IFERROR(VLOOKUP($G28,RAW_tier!$B$2:$C$200,2,0),2))</f>
        <v>2</v>
      </c>
      <c r="C28" s="31" t="str">
        <f>IF(ISBLANK(태깅기획site_code!F27),"",태깅기획site_code!C27)</f>
        <v>EU</v>
      </c>
      <c r="D28" s="31" t="str">
        <f>IF(ISBLANK(태깅기획site_code!F27),"",IF(고객법인일정파일!P27="한총","SEC",IF(LEN(TRIM(고객법인일정파일!P27))=0,태깅기획site_code!D27,고객법인일정파일!P27)))</f>
        <v>XADCZ</v>
      </c>
      <c r="E28" s="31" t="str">
        <f>IF(ISBLANK(태깅기획site_code!F27),"",태깅기획site_code!E27)</f>
        <v>Czech</v>
      </c>
      <c r="F28" s="31" t="str">
        <f>IF(ISBLANK(태깅기획site_code!F27),"",태깅기획site_code!J27)</f>
        <v>Czech</v>
      </c>
      <c r="G28" s="35" t="str">
        <f>IF(ISBLANK(태깅기획site_code!B27),"",태깅기획site_code!F27)</f>
        <v>cz</v>
      </c>
      <c r="H28" s="43">
        <f>IF(ISBLANK(태깅기획site_code!F27),"",IF(고객법인일정파일!Q27="X","X",고객법인일정파일!R27))</f>
        <v>46054</v>
      </c>
      <c r="I28" s="32">
        <f>IF(ISBLANK(태깅기획site_code!F27),"",IF(고객법인일정파일!Q27="X","",고객법인일정파일!S27))</f>
        <v>46063</v>
      </c>
      <c r="J28" s="41"/>
      <c r="K28" s="43">
        <v>45778</v>
      </c>
      <c r="L28" s="39">
        <v>45787</v>
      </c>
      <c r="M28" s="40" t="str">
        <f>IF(D28="","",VLOOKUP(D28,고객법인일정파일!$C$5:$J$200,8,0))&amp;""</f>
        <v/>
      </c>
      <c r="N28" s="38" t="str" cm="1">
        <f t="array" ref="N28">_xlfn.TEXTJOIN(CHAR(10), 1, _xlfn._xlws.FILTER('RAW_URL,PageName'!D$2:D$999, ('RAW_URL,PageName'!$C$2:$C$999=$G28)*('RAW_URL,PageName'!$B$2:$B$999="TY"), ""))</f>
        <v/>
      </c>
      <c r="O28" s="33" t="str" cm="1">
        <f t="array" ref="O28">_xlfn.TEXTJOIN(CHAR(10), 1, _xlfn._xlws.FILTER('RAW_URL,PageName'!E$2:E$999, ('RAW_URL,PageName'!$C$2:$C$999=$G28)*('RAW_URL,PageName'!$B$2:$B$999="TY"), ""))</f>
        <v/>
      </c>
      <c r="P28" s="36" t="str" cm="1">
        <f t="array" ref="P28">_xlfn.TEXTJOIN(CHAR(10), 1, _xlfn._xlws.FILTER('RAW_URL,PageName'!F$2:F$999, ('RAW_URL,PageName'!$C$2:$C$999=$G28)*('RAW_URL,PageName'!$B$2:$B$999="TY"), ""))</f>
        <v/>
      </c>
      <c r="Q28" s="38" t="str" cm="1">
        <f t="array" ref="Q28">_xlfn.TEXTJOIN(CHAR(10), 1, _xlfn._xlws.FILTER('RAW_URL,PageName'!D$2:D$999, ('RAW_URL,PageName'!$C$2:$C$999=$G28)*('RAW_URL,PageName'!$B$2:$B$999="LY"), ""))</f>
        <v/>
      </c>
      <c r="R28" s="33" t="str" cm="1">
        <f t="array" ref="R28">_xlfn.TEXTJOIN(CHAR(10), 1, _xlfn._xlws.FILTER('RAW_URL,PageName'!E$2:E$999, ('RAW_URL,PageName'!$C$2:$C$999=$G28)*('RAW_URL,PageName'!$B$2:$B$999="LY"), ""))</f>
        <v/>
      </c>
      <c r="S28" s="56" t="str" cm="1">
        <f t="array" ref="S28">_xlfn.TEXTJOIN(CHAR(10), 1, _xlfn._xlws.FILTER('RAW_URL,PageName'!F$2:F$999, ('RAW_URL,PageName'!$C$2:$C$999=$G28)*('RAW_URL,PageName'!$B$2:$B$999="LY"), ""))</f>
        <v/>
      </c>
      <c r="T28" s="116"/>
      <c r="U28" s="116">
        <f>IFERROR(VLOOKUP($C28,태깅기획site_code!$N$4:$O$18,2,0),"")</f>
        <v>2</v>
      </c>
      <c r="V28" s="1"/>
      <c r="W28" s="45">
        <v>2</v>
      </c>
      <c r="X28" s="31" t="str">
        <v>L.America</v>
      </c>
      <c r="Y28" s="31" t="str">
        <v>XUMCOL</v>
      </c>
      <c r="Z28" s="31" t="str">
        <v>Colombia</v>
      </c>
      <c r="AA28" s="31" t="str">
        <v>Colombia</v>
      </c>
      <c r="AB28" s="46" t="str">
        <v>co</v>
      </c>
      <c r="AC28" s="48">
        <v>46042</v>
      </c>
      <c r="AD28" s="32">
        <v>46063</v>
      </c>
      <c r="AE28" s="86">
        <f>IF(AD28="","",IF(IF(AD28&gt;api용!D$2,api용!D$2,AD28)&lt;AC28,"",IF(AD28&gt;api용!D$2,api용!D$2,AD28)))</f>
        <v>46063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2:50" ht="60" customHeight="1">
      <c r="B29" s="45">
        <f>IF($G29="","",IFERROR(VLOOKUP($G29,RAW_tier!$B$2:$C$200,2,0),2))</f>
        <v>2</v>
      </c>
      <c r="C29" s="31" t="str">
        <f>IF(ISBLANK(태깅기획site_code!F28),"",태깅기획site_code!C28)</f>
        <v>EU</v>
      </c>
      <c r="D29" s="31" t="str">
        <f>IF(ISBLANK(태깅기획site_code!F28),"",IF(고객법인일정파일!P28="한총","SEC",IF(LEN(TRIM(고객법인일정파일!P28))=0,태깅기획site_code!D28,고객법인일정파일!P28)))</f>
        <v>XADG</v>
      </c>
      <c r="E29" s="31" t="str">
        <f>IF(ISBLANK(태깅기획site_code!F28),"",태깅기획site_code!E28)</f>
        <v>Germany</v>
      </c>
      <c r="F29" s="31" t="str">
        <f>IF(ISBLANK(태깅기획site_code!F28),"",태깅기획site_code!J28)</f>
        <v>Germany</v>
      </c>
      <c r="G29" s="35" t="str">
        <f>IF(ISBLANK(태깅기획site_code!B28),"",태깅기획site_code!F28)</f>
        <v>de</v>
      </c>
      <c r="H29" s="43">
        <f>IF(ISBLANK(태깅기획site_code!F28),"",IF(고객법인일정파일!Q28="X","X",고객법인일정파일!R28))</f>
        <v>46031</v>
      </c>
      <c r="I29" s="32">
        <f>IF(ISBLANK(태깅기획site_code!F28),"",IF(고객법인일정파일!Q28="X","",고객법인일정파일!S28))</f>
        <v>46064</v>
      </c>
      <c r="J29" s="41"/>
      <c r="K29" s="43">
        <v>45756</v>
      </c>
      <c r="L29" s="39">
        <v>45788</v>
      </c>
      <c r="M29" s="40" t="str">
        <f>IF(D29="","",VLOOKUP(D29,고객법인일정파일!$C$5:$J$200,8,0))&amp;""</f>
        <v>Note1-test XADG</v>
      </c>
      <c r="N29" s="38" t="str" cm="1">
        <f t="array" ref="N29">_xlfn.TEXTJOIN(CHAR(10), 1, _xlfn._xlws.FILTER('RAW_URL,PageName'!D$2:D$999, ('RAW_URL,PageName'!$C$2:$C$999=$G29)*('RAW_URL,PageName'!$B$2:$B$999="TY"), ""))</f>
        <v>https://company_name.com/de/offer/test-campaign-2026
https://company_name.com/de/offer/test-campaign-2026-other</v>
      </c>
      <c r="O29" s="33" t="str" cm="1">
        <f t="array" ref="O29">_xlfn.TEXTJOIN(CHAR(10), 1, _xlfn._xlws.FILTER('RAW_URL,PageName'!E$2:E$999, ('RAW_URL,PageName'!$C$2:$C$999=$G29)*('RAW_URL,PageName'!$B$2:$B$999="TY"), ""))</f>
        <v>de:offer:testcampaign2026
de:offer:testcampaign2026other</v>
      </c>
      <c r="P29" s="36" t="str" cm="1">
        <f t="array" ref="P29">_xlfn.TEXTJOIN(CHAR(10), 1, _xlfn._xlws.FILTER('RAW_URL,PageName'!F$2:F$999, ('RAW_URL,PageName'!$C$2:$C$999=$G29)*('RAW_URL,PageName'!$B$2:$B$999="TY"), ""))</f>
        <v>노트test1</v>
      </c>
      <c r="Q29" s="38" t="str" cm="1">
        <f t="array" ref="Q29">_xlfn.TEXTJOIN(CHAR(10), 1, _xlfn._xlws.FILTER('RAW_URL,PageName'!D$2:D$999, ('RAW_URL,PageName'!$C$2:$C$999=$G29)*('RAW_URL,PageName'!$B$2:$B$999="LY"), ""))</f>
        <v>https://company_name.com/de/offer/test-campaign-2025</v>
      </c>
      <c r="R29" s="33" t="str" cm="1">
        <f t="array" ref="R29">_xlfn.TEXTJOIN(CHAR(10), 1, _xlfn._xlws.FILTER('RAW_URL,PageName'!E$2:E$999, ('RAW_URL,PageName'!$C$2:$C$999=$G29)*('RAW_URL,PageName'!$B$2:$B$999="LY"), ""))</f>
        <v>de:offer:testcampaign2025</v>
      </c>
      <c r="S29" s="56" t="str" cm="1">
        <f t="array" ref="S29">_xlfn.TEXTJOIN(CHAR(10), 1, _xlfn._xlws.FILTER('RAW_URL,PageName'!F$2:F$999, ('RAW_URL,PageName'!$C$2:$C$999=$G29)*('RAW_URL,PageName'!$B$2:$B$999="LY"), ""))</f>
        <v>노트test1</v>
      </c>
      <c r="T29" s="116"/>
      <c r="U29" s="116">
        <f>IFERROR(VLOOKUP($C29,태깅기획site_code!$N$4:$O$18,2,0),"")</f>
        <v>2</v>
      </c>
      <c r="V29" s="1"/>
      <c r="W29" s="45">
        <v>2</v>
      </c>
      <c r="X29" s="31" t="str">
        <v>EU</v>
      </c>
      <c r="Y29" s="31" t="str">
        <v>XADCZ</v>
      </c>
      <c r="Z29" s="31" t="str">
        <v>Czech</v>
      </c>
      <c r="AA29" s="31" t="str">
        <v>Czech</v>
      </c>
      <c r="AB29" s="46" t="str">
        <v>cz</v>
      </c>
      <c r="AC29" s="48">
        <v>46054</v>
      </c>
      <c r="AD29" s="32">
        <v>46063</v>
      </c>
      <c r="AE29" s="86">
        <f>IF(AD29="","",IF(IF(AD29&gt;api용!D$2,api용!D$2,AD29)&lt;AC29,"",IF(AD29&gt;api용!D$2,api용!D$2,AD29)))</f>
        <v>46063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2:50" ht="60" customHeight="1">
      <c r="B30" s="45">
        <f>IF($G30="","",IFERROR(VLOOKUP($G30,RAW_tier!$B$2:$C$200,2,0),2))</f>
        <v>2</v>
      </c>
      <c r="C30" s="31" t="str">
        <f>IF(ISBLANK(태깅기획site_code!F29),"",태깅기획site_code!C29)</f>
        <v>EU</v>
      </c>
      <c r="D30" s="31" t="str">
        <f>IF(ISBLANK(태깅기획site_code!F29),"",IF(고객법인일정파일!P29="한총","SEC",IF(LEN(TRIM(고객법인일정파일!P29))=0,태깅기획site_code!D29,고객법인일정파일!P29)))</f>
        <v>XADNU</v>
      </c>
      <c r="E30" s="31" t="str">
        <f>IF(ISBLANK(태깅기획site_code!F29),"",태깅기획site_code!E29)</f>
        <v>Denmark</v>
      </c>
      <c r="F30" s="31" t="str">
        <f>IF(ISBLANK(태깅기획site_code!F29),"",태깅기획site_code!J29)</f>
        <v>Denmark</v>
      </c>
      <c r="G30" s="35" t="str">
        <f>IF(ISBLANK(태깅기획site_code!B29),"",태깅기획site_code!F29)</f>
        <v>dk</v>
      </c>
      <c r="H30" s="43" t="str">
        <f>IF(ISBLANK(태깅기획site_code!F29),"",IF(고객법인일정파일!Q29="X","X",고객법인일정파일!R29))</f>
        <v>X</v>
      </c>
      <c r="I30" s="32" t="str">
        <f>IF(ISBLANK(태깅기획site_code!F29),"",IF(고객법인일정파일!Q29="X","",고객법인일정파일!S29))</f>
        <v/>
      </c>
      <c r="J30" s="41"/>
      <c r="K30" s="43" t="s">
        <v>19</v>
      </c>
      <c r="L30" s="39" t="s">
        <v>19</v>
      </c>
      <c r="M30" s="40" t="str">
        <f>IF(D30="","",VLOOKUP(D30,고객법인일정파일!$C$5:$J$200,8,0))&amp;""</f>
        <v>Note1-test XADBN-NL</v>
      </c>
      <c r="N30" s="38" t="str" cm="1">
        <f t="array" ref="N30">_xlfn.TEXTJOIN(CHAR(10), 1, _xlfn._xlws.FILTER('RAW_URL,PageName'!D$2:D$999, ('RAW_URL,PageName'!$C$2:$C$999=$G30)*('RAW_URL,PageName'!$B$2:$B$999="TY"), ""))</f>
        <v/>
      </c>
      <c r="O30" s="33" t="str" cm="1">
        <f t="array" ref="O30">_xlfn.TEXTJOIN(CHAR(10), 1, _xlfn._xlws.FILTER('RAW_URL,PageName'!E$2:E$999, ('RAW_URL,PageName'!$C$2:$C$999=$G30)*('RAW_URL,PageName'!$B$2:$B$999="TY"), ""))</f>
        <v/>
      </c>
      <c r="P30" s="36" t="str" cm="1">
        <f t="array" ref="P30">_xlfn.TEXTJOIN(CHAR(10), 1, _xlfn._xlws.FILTER('RAW_URL,PageName'!F$2:F$999, ('RAW_URL,PageName'!$C$2:$C$999=$G30)*('RAW_URL,PageName'!$B$2:$B$999="TY"), ""))</f>
        <v/>
      </c>
      <c r="Q30" s="38" t="str" cm="1">
        <f t="array" ref="Q30">_xlfn.TEXTJOIN(CHAR(10), 1, _xlfn._xlws.FILTER('RAW_URL,PageName'!D$2:D$999, ('RAW_URL,PageName'!$C$2:$C$999=$G30)*('RAW_URL,PageName'!$B$2:$B$999="LY"), ""))</f>
        <v/>
      </c>
      <c r="R30" s="33" t="str" cm="1">
        <f t="array" ref="R30">_xlfn.TEXTJOIN(CHAR(10), 1, _xlfn._xlws.FILTER('RAW_URL,PageName'!E$2:E$999, ('RAW_URL,PageName'!$C$2:$C$999=$G30)*('RAW_URL,PageName'!$B$2:$B$999="LY"), ""))</f>
        <v/>
      </c>
      <c r="S30" s="56" t="str" cm="1">
        <f t="array" ref="S30">_xlfn.TEXTJOIN(CHAR(10), 1, _xlfn._xlws.FILTER('RAW_URL,PageName'!F$2:F$999, ('RAW_URL,PageName'!$C$2:$C$999=$G30)*('RAW_URL,PageName'!$B$2:$B$999="LY"), ""))</f>
        <v/>
      </c>
      <c r="T30" s="116"/>
      <c r="U30" s="116">
        <f>IFERROR(VLOOKUP($C30,태깅기획site_code!$N$4:$O$18,2,0),"")</f>
        <v>2</v>
      </c>
      <c r="V30" s="1"/>
      <c r="W30" s="45">
        <v>2</v>
      </c>
      <c r="X30" s="31" t="str">
        <v>EU</v>
      </c>
      <c r="Y30" s="31" t="str">
        <v>XADG</v>
      </c>
      <c r="Z30" s="31" t="str">
        <v>Germany</v>
      </c>
      <c r="AA30" s="31" t="str">
        <v>Germany</v>
      </c>
      <c r="AB30" s="46" t="str">
        <v>de</v>
      </c>
      <c r="AC30" s="48">
        <v>46031</v>
      </c>
      <c r="AD30" s="32">
        <v>46064</v>
      </c>
      <c r="AE30" s="86">
        <f>IF(AD30="","",IF(IF(AD30&gt;api용!D$2,api용!D$2,AD30)&lt;AC30,"",IF(AD30&gt;api용!D$2,api용!D$2,AD30)))</f>
        <v>46064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2:50">
      <c r="B31" s="45">
        <f>IF($G31="","",IFERROR(VLOOKUP($G31,RAW_tier!$B$2:$C$200,2,0),2))</f>
        <v>2</v>
      </c>
      <c r="C31" s="31" t="str">
        <f>IF(ISBLANK(태깅기획site_code!F30),"",태깅기획site_code!C30)</f>
        <v>EU</v>
      </c>
      <c r="D31" s="31" t="str">
        <f>IF(ISBLANK(태깅기획site_code!F30),"",IF(고객법인일정파일!P30="한총","SEC",IF(LEN(TRIM(고객법인일정파일!P30))=0,태깅기획site_code!D30,고객법인일정파일!P30)))</f>
        <v>XADB</v>
      </c>
      <c r="E31" s="31" t="str">
        <f>IF(ISBLANK(태깅기획site_code!F30),"",태깅기획site_code!E30)</f>
        <v>Estonia</v>
      </c>
      <c r="F31" s="31" t="str">
        <f>IF(ISBLANK(태깅기획site_code!F30),"",태깅기획site_code!J30)</f>
        <v>Estonia</v>
      </c>
      <c r="G31" s="35" t="str">
        <f>IF(ISBLANK(태깅기획site_code!B30),"",태깅기획site_code!F30)</f>
        <v>ee</v>
      </c>
      <c r="H31" s="43" t="str">
        <f>IF(ISBLANK(태깅기획site_code!F30),"",IF(고객법인일정파일!Q30="X","X",고객법인일정파일!R30))</f>
        <v/>
      </c>
      <c r="I31" s="32" t="str">
        <f>IF(ISBLANK(태깅기획site_code!F30),"",IF(고객법인일정파일!Q30="X","",고객법인일정파일!S30))</f>
        <v/>
      </c>
      <c r="J31" s="41"/>
      <c r="K31" s="43" t="s">
        <v>19</v>
      </c>
      <c r="L31" s="39" t="s">
        <v>19</v>
      </c>
      <c r="M31" s="40" t="str">
        <f>IF(D31="","",VLOOKUP(D31,고객법인일정파일!$C$5:$J$200,8,0))&amp;""</f>
        <v/>
      </c>
      <c r="N31" s="38" t="str" cm="1">
        <f t="array" ref="N31">_xlfn.TEXTJOIN(CHAR(10), 1, _xlfn._xlws.FILTER('RAW_URL,PageName'!D$2:D$999, ('RAW_URL,PageName'!$C$2:$C$999=$G31)*('RAW_URL,PageName'!$B$2:$B$999="TY"), ""))</f>
        <v/>
      </c>
      <c r="O31" s="33" t="str" cm="1">
        <f t="array" ref="O31">_xlfn.TEXTJOIN(CHAR(10), 1, _xlfn._xlws.FILTER('RAW_URL,PageName'!E$2:E$999, ('RAW_URL,PageName'!$C$2:$C$999=$G31)*('RAW_URL,PageName'!$B$2:$B$999="TY"), ""))</f>
        <v/>
      </c>
      <c r="P31" s="36" t="str" cm="1">
        <f t="array" ref="P31">_xlfn.TEXTJOIN(CHAR(10), 1, _xlfn._xlws.FILTER('RAW_URL,PageName'!F$2:F$999, ('RAW_URL,PageName'!$C$2:$C$999=$G31)*('RAW_URL,PageName'!$B$2:$B$999="TY"), ""))</f>
        <v/>
      </c>
      <c r="Q31" s="38" t="str" cm="1">
        <f t="array" ref="Q31">_xlfn.TEXTJOIN(CHAR(10), 1, _xlfn._xlws.FILTER('RAW_URL,PageName'!D$2:D$999, ('RAW_URL,PageName'!$C$2:$C$999=$G31)*('RAW_URL,PageName'!$B$2:$B$999="LY"), ""))</f>
        <v/>
      </c>
      <c r="R31" s="33" t="str" cm="1">
        <f t="array" ref="R31">_xlfn.TEXTJOIN(CHAR(10), 1, _xlfn._xlws.FILTER('RAW_URL,PageName'!E$2:E$999, ('RAW_URL,PageName'!$C$2:$C$999=$G31)*('RAW_URL,PageName'!$B$2:$B$999="LY"), ""))</f>
        <v/>
      </c>
      <c r="S31" s="56" t="str" cm="1">
        <f t="array" ref="S31">_xlfn.TEXTJOIN(CHAR(10), 1, _xlfn._xlws.FILTER('RAW_URL,PageName'!F$2:F$999, ('RAW_URL,PageName'!$C$2:$C$999=$G31)*('RAW_URL,PageName'!$B$2:$B$999="LY"), ""))</f>
        <v/>
      </c>
      <c r="T31" s="116"/>
      <c r="U31" s="116">
        <f>IFERROR(VLOOKUP($C31,태깅기획site_code!$N$4:$O$18,2,0),"")</f>
        <v>2</v>
      </c>
      <c r="V31" s="1"/>
      <c r="W31" s="45">
        <v>2</v>
      </c>
      <c r="X31" s="31" t="str">
        <v>EU</v>
      </c>
      <c r="Y31" s="31" t="str">
        <v>XADNU</v>
      </c>
      <c r="Z31" s="31" t="str">
        <v>Denmark</v>
      </c>
      <c r="AA31" s="31" t="str">
        <v>Denmark</v>
      </c>
      <c r="AB31" s="46" t="str">
        <v>dk</v>
      </c>
      <c r="AC31" s="48" t="str">
        <v>X</v>
      </c>
      <c r="AD31" s="32" t="str">
        <v/>
      </c>
      <c r="AE31" s="86" t="str">
        <f>IF(AD31="","",IF(IF(AD31&gt;api용!D$2,api용!D$2,AD31)&lt;AC31,"",IF(AD31&gt;api용!D$2,api용!D$2,AD31)))</f>
        <v/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2:50" ht="24" customHeight="1">
      <c r="B32" s="45">
        <f>IF($G32="","",IFERROR(VLOOKUP($G32,RAW_tier!$B$2:$C$200,2,0),2))</f>
        <v>2</v>
      </c>
      <c r="C32" s="31" t="str">
        <f>IF(ISBLANK(태깅기획site_code!F31),"",태깅기획site_code!C31)</f>
        <v>MENA</v>
      </c>
      <c r="D32" s="31" t="str">
        <f>IF(ISBLANK(태깅기획site_code!F31),"",IF(고객법인일정파일!P31="한총","SEC",IF(LEN(TRIM(고객법인일정파일!P31))=0,태깅기획site_code!D31,고객법인일정파일!P31)))</f>
        <v>XADADG</v>
      </c>
      <c r="E32" s="31" t="str">
        <f>IF(ISBLANK(태깅기획site_code!F31),"",태깅기획site_code!E31)</f>
        <v>Egypt</v>
      </c>
      <c r="F32" s="31" t="str">
        <f>IF(ISBLANK(태깅기획site_code!F31),"",태깅기획site_code!J31)</f>
        <v>Egypt</v>
      </c>
      <c r="G32" s="35" t="str">
        <f>IF(ISBLANK(태깅기획site_code!B31),"",태깅기획site_code!F31)</f>
        <v>eg</v>
      </c>
      <c r="H32" s="43" t="str">
        <f>IF(ISBLANK(태깅기획site_code!F31),"",IF(고객법인일정파일!Q31="X","X",고객법인일정파일!R31))</f>
        <v>TBC</v>
      </c>
      <c r="I32" s="32" t="str">
        <f>IF(ISBLANK(태깅기획site_code!F31),"",IF(고객법인일정파일!Q31="X","",고객법인일정파일!S31))</f>
        <v>TBC</v>
      </c>
      <c r="J32" s="41"/>
      <c r="K32" s="43" t="s">
        <v>19</v>
      </c>
      <c r="L32" s="39" t="s">
        <v>19</v>
      </c>
      <c r="M32" s="40" t="str">
        <f>IF(D32="","",VLOOKUP(D32,고객법인일정파일!$C$5:$J$200,8,0))&amp;""</f>
        <v>Note1-test XADUX-CH</v>
      </c>
      <c r="N32" s="38" t="str" cm="1">
        <f t="array" ref="N32">_xlfn.TEXTJOIN(CHAR(10), 1, _xlfn._xlws.FILTER('RAW_URL,PageName'!D$2:D$999, ('RAW_URL,PageName'!$C$2:$C$999=$G32)*('RAW_URL,PageName'!$B$2:$B$999="TY"), ""))</f>
        <v/>
      </c>
      <c r="O32" s="33" t="str" cm="1">
        <f t="array" ref="O32">_xlfn.TEXTJOIN(CHAR(10), 1, _xlfn._xlws.FILTER('RAW_URL,PageName'!E$2:E$999, ('RAW_URL,PageName'!$C$2:$C$999=$G32)*('RAW_URL,PageName'!$B$2:$B$999="TY"), ""))</f>
        <v/>
      </c>
      <c r="P32" s="36" t="str" cm="1">
        <f t="array" ref="P32">_xlfn.TEXTJOIN(CHAR(10), 1, _xlfn._xlws.FILTER('RAW_URL,PageName'!F$2:F$999, ('RAW_URL,PageName'!$C$2:$C$999=$G32)*('RAW_URL,PageName'!$B$2:$B$999="TY"), ""))</f>
        <v/>
      </c>
      <c r="Q32" s="38" t="str" cm="1">
        <f t="array" ref="Q32">_xlfn.TEXTJOIN(CHAR(10), 1, _xlfn._xlws.FILTER('RAW_URL,PageName'!D$2:D$999, ('RAW_URL,PageName'!$C$2:$C$999=$G32)*('RAW_URL,PageName'!$B$2:$B$999="LY"), ""))</f>
        <v/>
      </c>
      <c r="R32" s="33" t="str" cm="1">
        <f t="array" ref="R32">_xlfn.TEXTJOIN(CHAR(10), 1, _xlfn._xlws.FILTER('RAW_URL,PageName'!E$2:E$999, ('RAW_URL,PageName'!$C$2:$C$999=$G32)*('RAW_URL,PageName'!$B$2:$B$999="LY"), ""))</f>
        <v/>
      </c>
      <c r="S32" s="56" t="str" cm="1">
        <f t="array" ref="S32">_xlfn.TEXTJOIN(CHAR(10), 1, _xlfn._xlws.FILTER('RAW_URL,PageName'!F$2:F$999, ('RAW_URL,PageName'!$C$2:$C$999=$G32)*('RAW_URL,PageName'!$B$2:$B$999="LY"), ""))</f>
        <v/>
      </c>
      <c r="T32" s="116"/>
      <c r="U32" s="116">
        <f>IFERROR(VLOOKUP($C32,태깅기획site_code!$N$4:$O$18,2,0),"")</f>
        <v>6</v>
      </c>
      <c r="V32" s="1"/>
      <c r="W32" s="45">
        <v>2</v>
      </c>
      <c r="X32" s="31" t="str">
        <v>MENA</v>
      </c>
      <c r="Y32" s="31" t="str">
        <v>XADADG</v>
      </c>
      <c r="Z32" s="31" t="str">
        <v>Egypt</v>
      </c>
      <c r="AA32" s="31" t="str">
        <v>Egypt</v>
      </c>
      <c r="AB32" s="46" t="str">
        <v>eg</v>
      </c>
      <c r="AC32" s="48" t="str">
        <v>TBC</v>
      </c>
      <c r="AD32" s="32" t="str">
        <v>TBC</v>
      </c>
      <c r="AE32" s="86" t="str">
        <f>IF(AD32="","",IF(IF(AD32&gt;api용!D$2,api용!D$2,AD32)&lt;AC32,"",IF(AD32&gt;api용!D$2,api용!D$2,AD32)))</f>
        <v/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2:50">
      <c r="B33" s="45">
        <f>IF($G33="","",IFERROR(VLOOKUP($G33,RAW_tier!$B$2:$C$200,2,0),2))</f>
        <v>2</v>
      </c>
      <c r="C33" s="31" t="str">
        <f>IF(ISBLANK(태깅기획site_code!F32),"",태깅기획site_code!C32)</f>
        <v>EU</v>
      </c>
      <c r="D33" s="31" t="str">
        <f>IF(ISBLANK(태깅기획site_code!F32),"",IF(고객법인일정파일!P32="한총","SEC",IF(LEN(TRIM(고객법인일정파일!P32))=0,태깅기획site_code!D32,고객법인일정파일!P32)))</f>
        <v>XADIB-ES</v>
      </c>
      <c r="E33" s="31" t="str">
        <f>IF(ISBLANK(태깅기획site_code!F32),"",태깅기획site_code!E32)</f>
        <v>Spain</v>
      </c>
      <c r="F33" s="31" t="str">
        <f>IF(ISBLANK(태깅기획site_code!F32),"",태깅기획site_code!J32)</f>
        <v>Spain</v>
      </c>
      <c r="G33" s="35" t="str">
        <f>IF(ISBLANK(태깅기획site_code!B32),"",태깅기획site_code!F32)</f>
        <v>es</v>
      </c>
      <c r="H33" s="43">
        <f>IF(ISBLANK(태깅기획site_code!F32),"",IF(고객법인일정파일!Q32="X","X",고객법인일정파일!R32))</f>
        <v>46042</v>
      </c>
      <c r="I33" s="32">
        <f>IF(ISBLANK(태깅기획site_code!F32),"",IF(고객법인일정파일!Q32="X","",고객법인일정파일!S32))</f>
        <v>46057</v>
      </c>
      <c r="J33" s="41"/>
      <c r="K33" s="43">
        <v>45767</v>
      </c>
      <c r="L33" s="39">
        <v>45780</v>
      </c>
      <c r="M33" s="40" t="str">
        <f>IF(D33="","",VLOOKUP(D33,고객법인일정파일!$C$5:$J$200,8,0))&amp;""</f>
        <v/>
      </c>
      <c r="N33" s="38" t="str" cm="1">
        <f t="array" ref="N33">_xlfn.TEXTJOIN(CHAR(10), 1, _xlfn._xlws.FILTER('RAW_URL,PageName'!D$2:D$999, ('RAW_URL,PageName'!$C$2:$C$999=$G33)*('RAW_URL,PageName'!$B$2:$B$999="TY"), ""))</f>
        <v/>
      </c>
      <c r="O33" s="33" t="str" cm="1">
        <f t="array" ref="O33">_xlfn.TEXTJOIN(CHAR(10), 1, _xlfn._xlws.FILTER('RAW_URL,PageName'!E$2:E$999, ('RAW_URL,PageName'!$C$2:$C$999=$G33)*('RAW_URL,PageName'!$B$2:$B$999="TY"), ""))</f>
        <v/>
      </c>
      <c r="P33" s="36" t="str" cm="1">
        <f t="array" ref="P33">_xlfn.TEXTJOIN(CHAR(10), 1, _xlfn._xlws.FILTER('RAW_URL,PageName'!F$2:F$999, ('RAW_URL,PageName'!$C$2:$C$999=$G33)*('RAW_URL,PageName'!$B$2:$B$999="TY"), ""))</f>
        <v/>
      </c>
      <c r="Q33" s="38" t="str" cm="1">
        <f t="array" ref="Q33">_xlfn.TEXTJOIN(CHAR(10), 1, _xlfn._xlws.FILTER('RAW_URL,PageName'!D$2:D$999, ('RAW_URL,PageName'!$C$2:$C$999=$G33)*('RAW_URL,PageName'!$B$2:$B$999="LY"), ""))</f>
        <v/>
      </c>
      <c r="R33" s="33" t="str" cm="1">
        <f t="array" ref="R33">_xlfn.TEXTJOIN(CHAR(10), 1, _xlfn._xlws.FILTER('RAW_URL,PageName'!E$2:E$999, ('RAW_URL,PageName'!$C$2:$C$999=$G33)*('RAW_URL,PageName'!$B$2:$B$999="LY"), ""))</f>
        <v/>
      </c>
      <c r="S33" s="56" t="str" cm="1">
        <f t="array" ref="S33">_xlfn.TEXTJOIN(CHAR(10), 1, _xlfn._xlws.FILTER('RAW_URL,PageName'!F$2:F$999, ('RAW_URL,PageName'!$C$2:$C$999=$G33)*('RAW_URL,PageName'!$B$2:$B$999="LY"), ""))</f>
        <v/>
      </c>
      <c r="T33" s="116"/>
      <c r="U33" s="116">
        <f>IFERROR(VLOOKUP($C33,태깅기획site_code!$N$4:$O$18,2,0),"")</f>
        <v>2</v>
      </c>
      <c r="V33" s="1"/>
      <c r="W33" s="45">
        <v>2</v>
      </c>
      <c r="X33" s="31" t="str">
        <v>EU</v>
      </c>
      <c r="Y33" s="31" t="str">
        <v>XADIB-ES</v>
      </c>
      <c r="Z33" s="31" t="str">
        <v>Spain</v>
      </c>
      <c r="AA33" s="31" t="str">
        <v>Spain</v>
      </c>
      <c r="AB33" s="46" t="str">
        <v>es</v>
      </c>
      <c r="AC33" s="48">
        <v>46042</v>
      </c>
      <c r="AD33" s="32">
        <v>46057</v>
      </c>
      <c r="AE33" s="86">
        <f>IF(AD33="","",IF(IF(AD33&gt;api용!D$2,api용!D$2,AD33)&lt;AC33,"",IF(AD33&gt;api용!D$2,api용!D$2,AD33)))</f>
        <v>46057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2:50" ht="60" customHeight="1">
      <c r="B34" s="45">
        <f>IF($G34="","",IFERROR(VLOOKUP($G34,RAW_tier!$B$2:$C$200,2,0),2))</f>
        <v>2</v>
      </c>
      <c r="C34" s="31" t="str">
        <f>IF(ISBLANK(태깅기획site_code!F33),"",태깅기획site_code!C33)</f>
        <v>EU</v>
      </c>
      <c r="D34" s="31" t="str">
        <f>IF(ISBLANK(태깅기획site_code!F33),"",IF(고객법인일정파일!P33="한총","SEC",IF(LEN(TRIM(고객법인일정파일!P33))=0,태깅기획site_code!D33,고객법인일정파일!P33)))</f>
        <v>XADNU</v>
      </c>
      <c r="E34" s="31" t="str">
        <f>IF(ISBLANK(태깅기획site_code!F33),"",태깅기획site_code!E33)</f>
        <v>Finland</v>
      </c>
      <c r="F34" s="31" t="str">
        <f>IF(ISBLANK(태깅기획site_code!F33),"",태깅기획site_code!J33)</f>
        <v>Finland</v>
      </c>
      <c r="G34" s="35" t="str">
        <f>IF(ISBLANK(태깅기획site_code!B33),"",태깅기획site_code!F33)</f>
        <v>fi</v>
      </c>
      <c r="H34" s="43" t="str">
        <f>IF(ISBLANK(태깅기획site_code!F33),"",IF(고객법인일정파일!Q33="X","X",고객법인일정파일!R33))</f>
        <v>X</v>
      </c>
      <c r="I34" s="32" t="str">
        <f>IF(ISBLANK(태깅기획site_code!F33),"",IF(고객법인일정파일!Q33="X","",고객법인일정파일!S33))</f>
        <v/>
      </c>
      <c r="J34" s="41"/>
      <c r="K34" s="43" t="s">
        <v>19</v>
      </c>
      <c r="L34" s="39" t="s">
        <v>19</v>
      </c>
      <c r="M34" s="40" t="str">
        <f>IF(D34="","",VLOOKUP(D34,고객법인일정파일!$C$5:$J$200,8,0))&amp;""</f>
        <v>Note1-test XADBN-NL</v>
      </c>
      <c r="N34" s="38" t="str" cm="1">
        <f t="array" ref="N34">_xlfn.TEXTJOIN(CHAR(10), 1, _xlfn._xlws.FILTER('RAW_URL,PageName'!D$2:D$999, ('RAW_URL,PageName'!$C$2:$C$999=$G34)*('RAW_URL,PageName'!$B$2:$B$999="TY"), ""))</f>
        <v/>
      </c>
      <c r="O34" s="33" t="str" cm="1">
        <f t="array" ref="O34">_xlfn.TEXTJOIN(CHAR(10), 1, _xlfn._xlws.FILTER('RAW_URL,PageName'!E$2:E$999, ('RAW_URL,PageName'!$C$2:$C$999=$G34)*('RAW_URL,PageName'!$B$2:$B$999="TY"), ""))</f>
        <v/>
      </c>
      <c r="P34" s="36" t="str" cm="1">
        <f t="array" ref="P34">_xlfn.TEXTJOIN(CHAR(10), 1, _xlfn._xlws.FILTER('RAW_URL,PageName'!F$2:F$999, ('RAW_URL,PageName'!$C$2:$C$999=$G34)*('RAW_URL,PageName'!$B$2:$B$999="TY"), ""))</f>
        <v/>
      </c>
      <c r="Q34" s="38" t="str" cm="1">
        <f t="array" ref="Q34">_xlfn.TEXTJOIN(CHAR(10), 1, _xlfn._xlws.FILTER('RAW_URL,PageName'!D$2:D$999, ('RAW_URL,PageName'!$C$2:$C$999=$G34)*('RAW_URL,PageName'!$B$2:$B$999="LY"), ""))</f>
        <v/>
      </c>
      <c r="R34" s="33" t="str" cm="1">
        <f t="array" ref="R34">_xlfn.TEXTJOIN(CHAR(10), 1, _xlfn._xlws.FILTER('RAW_URL,PageName'!E$2:E$999, ('RAW_URL,PageName'!$C$2:$C$999=$G34)*('RAW_URL,PageName'!$B$2:$B$999="LY"), ""))</f>
        <v/>
      </c>
      <c r="S34" s="56" t="str" cm="1">
        <f t="array" ref="S34">_xlfn.TEXTJOIN(CHAR(10), 1, _xlfn._xlws.FILTER('RAW_URL,PageName'!F$2:F$999, ('RAW_URL,PageName'!$C$2:$C$999=$G34)*('RAW_URL,PageName'!$B$2:$B$999="LY"), ""))</f>
        <v/>
      </c>
      <c r="T34" s="116"/>
      <c r="U34" s="116">
        <f>IFERROR(VLOOKUP($C34,태깅기획site_code!$N$4:$O$18,2,0),"")</f>
        <v>2</v>
      </c>
      <c r="V34" s="1"/>
      <c r="W34" s="45">
        <v>2</v>
      </c>
      <c r="X34" s="31" t="str">
        <v>EU</v>
      </c>
      <c r="Y34" s="31" t="str">
        <v>XADNU</v>
      </c>
      <c r="Z34" s="31" t="str">
        <v>Finland</v>
      </c>
      <c r="AA34" s="31" t="str">
        <v>Finland</v>
      </c>
      <c r="AB34" s="46" t="str">
        <v>fi</v>
      </c>
      <c r="AC34" s="48" t="str">
        <v>X</v>
      </c>
      <c r="AD34" s="32" t="str">
        <v/>
      </c>
      <c r="AE34" s="86" t="str">
        <f>IF(AD34="","",IF(IF(AD34&gt;api용!D$2,api용!D$2,AD34)&lt;AC34,"",IF(AD34&gt;api용!D$2,api용!D$2,AD34)))</f>
        <v/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2:50">
      <c r="B35" s="45">
        <f>IF($G35="","",IFERROR(VLOOKUP($G35,RAW_tier!$B$2:$C$200,2,0),2))</f>
        <v>1</v>
      </c>
      <c r="C35" s="31" t="str">
        <f>IF(ISBLANK(태깅기획site_code!F34),"",태깅기획site_code!C34)</f>
        <v>EU</v>
      </c>
      <c r="D35" s="31" t="str">
        <f>IF(ISBLANK(태깅기획site_code!F34),"",IF(고객법인일정파일!P34="한총","SEC",IF(LEN(TRIM(고객법인일정파일!P34))=0,태깅기획site_code!D34,고객법인일정파일!P34)))</f>
        <v>XADF</v>
      </c>
      <c r="E35" s="31" t="str">
        <f>IF(ISBLANK(태깅기획site_code!F34),"",태깅기획site_code!E34)</f>
        <v>France</v>
      </c>
      <c r="F35" s="31" t="str">
        <f>IF(ISBLANK(태깅기획site_code!F34),"",태깅기획site_code!J34)</f>
        <v>France</v>
      </c>
      <c r="G35" s="35" t="str">
        <f>IF(ISBLANK(태깅기획site_code!B34),"",태깅기획site_code!F34)</f>
        <v>fr</v>
      </c>
      <c r="H35" s="43">
        <f>IF(ISBLANK(태깅기획site_code!F34),"",IF(고객법인일정파일!Q34="X","X",고객법인일정파일!R34))</f>
        <v>46071</v>
      </c>
      <c r="I35" s="32">
        <f>IF(ISBLANK(태깅기획site_code!F34),"",IF(고객법인일정파일!Q34="X","",고객법인일정파일!S34))</f>
        <v>46081</v>
      </c>
      <c r="J35" s="41"/>
      <c r="K35" s="43">
        <v>45795</v>
      </c>
      <c r="L35" s="39">
        <v>45808</v>
      </c>
      <c r="M35" s="40" t="str">
        <f>IF(D35="","",VLOOKUP(D35,고객법인일정파일!$C$5:$J$200,8,0))&amp;""</f>
        <v/>
      </c>
      <c r="N35" s="38" t="str" cm="1">
        <f t="array" ref="N35">_xlfn.TEXTJOIN(CHAR(10), 1, _xlfn._xlws.FILTER('RAW_URL,PageName'!D$2:D$999, ('RAW_URL,PageName'!$C$2:$C$999=$G35)*('RAW_URL,PageName'!$B$2:$B$999="TY"), ""))</f>
        <v/>
      </c>
      <c r="O35" s="33" t="str" cm="1">
        <f t="array" ref="O35">_xlfn.TEXTJOIN(CHAR(10), 1, _xlfn._xlws.FILTER('RAW_URL,PageName'!E$2:E$999, ('RAW_URL,PageName'!$C$2:$C$999=$G35)*('RAW_URL,PageName'!$B$2:$B$999="TY"), ""))</f>
        <v/>
      </c>
      <c r="P35" s="36" t="str" cm="1">
        <f t="array" ref="P35">_xlfn.TEXTJOIN(CHAR(10), 1, _xlfn._xlws.FILTER('RAW_URL,PageName'!F$2:F$999, ('RAW_URL,PageName'!$C$2:$C$999=$G35)*('RAW_URL,PageName'!$B$2:$B$999="TY"), ""))</f>
        <v/>
      </c>
      <c r="Q35" s="38" t="str" cm="1">
        <f t="array" ref="Q35">_xlfn.TEXTJOIN(CHAR(10), 1, _xlfn._xlws.FILTER('RAW_URL,PageName'!D$2:D$999, ('RAW_URL,PageName'!$C$2:$C$999=$G35)*('RAW_URL,PageName'!$B$2:$B$999="LY"), ""))</f>
        <v/>
      </c>
      <c r="R35" s="33" t="str" cm="1">
        <f t="array" ref="R35">_xlfn.TEXTJOIN(CHAR(10), 1, _xlfn._xlws.FILTER('RAW_URL,PageName'!E$2:E$999, ('RAW_URL,PageName'!$C$2:$C$999=$G35)*('RAW_URL,PageName'!$B$2:$B$999="LY"), ""))</f>
        <v/>
      </c>
      <c r="S35" s="56" t="str" cm="1">
        <f t="array" ref="S35">_xlfn.TEXTJOIN(CHAR(10), 1, _xlfn._xlws.FILTER('RAW_URL,PageName'!F$2:F$999, ('RAW_URL,PageName'!$C$2:$C$999=$G35)*('RAW_URL,PageName'!$B$2:$B$999="LY"), ""))</f>
        <v/>
      </c>
      <c r="T35" s="116"/>
      <c r="U35" s="116">
        <f>IFERROR(VLOOKUP($C35,태깅기획site_code!$N$4:$O$18,2,0),"")</f>
        <v>2</v>
      </c>
      <c r="V35" s="1"/>
      <c r="W35" s="45">
        <v>2</v>
      </c>
      <c r="X35" s="31" t="str">
        <v>China</v>
      </c>
      <c r="Y35" s="31" t="str">
        <v>XADHK</v>
      </c>
      <c r="Z35" s="31" t="str">
        <v>Hong Kong</v>
      </c>
      <c r="AA35" s="31" t="str">
        <v>Hong Kong</v>
      </c>
      <c r="AB35" s="46" t="str">
        <v>hk</v>
      </c>
      <c r="AC35" s="48">
        <v>46054</v>
      </c>
      <c r="AD35" s="32">
        <v>46064</v>
      </c>
      <c r="AE35" s="86">
        <f>IF(AD35="","",IF(IF(AD35&gt;api용!D$2,api용!D$2,AD35)&lt;AC35,"",IF(AD35&gt;api용!D$2,api용!D$2,AD35)))</f>
        <v>46064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2:50">
      <c r="B36" s="45">
        <f>IF($G36="","",IFERROR(VLOOKUP($G36,RAW_tier!$B$2:$C$200,2,0),2))</f>
        <v>2</v>
      </c>
      <c r="C36" s="31" t="str">
        <f>IF(ISBLANK(태깅기획site_code!F35),"",태깅기획site_code!C35)</f>
        <v>CIS</v>
      </c>
      <c r="D36" s="31" t="str">
        <f>IF(ISBLANK(태깅기획site_code!F35),"",IF(고객법인일정파일!P35="한총","SEC",IF(LEN(TRIM(고객법인일정파일!P35))=0,태깅기획site_code!D35,고객법인일정파일!P35)))</f>
        <v>XADRC</v>
      </c>
      <c r="E36" s="31" t="str">
        <f>IF(ISBLANK(태깅기획site_code!F35),"",태깅기획site_code!E35)</f>
        <v>Georgia</v>
      </c>
      <c r="F36" s="31" t="str">
        <f>IF(ISBLANK(태깅기획site_code!F35),"",태깅기획site_code!J35)</f>
        <v>Georgia</v>
      </c>
      <c r="G36" s="35" t="str">
        <f>IF(ISBLANK(태깅기획site_code!B35),"",태깅기획site_code!F35)</f>
        <v>ge</v>
      </c>
      <c r="H36" s="43" t="str">
        <f>IF(ISBLANK(태깅기획site_code!F35),"",IF(고객법인일정파일!Q35="X","X",고객법인일정파일!R35))</f>
        <v/>
      </c>
      <c r="I36" s="32" t="str">
        <f>IF(ISBLANK(태깅기획site_code!F35),"",IF(고객법인일정파일!Q35="X","",고객법인일정파일!S35))</f>
        <v/>
      </c>
      <c r="J36" s="41"/>
      <c r="K36" s="43" t="s">
        <v>19</v>
      </c>
      <c r="L36" s="39" t="s">
        <v>19</v>
      </c>
      <c r="M36" s="40" t="e">
        <f>IF(D36="","",VLOOKUP(D36,고객법인일정파일!$C$5:$J$200,8,0))&amp;""</f>
        <v>#N/A</v>
      </c>
      <c r="N36" s="38" t="str" cm="1">
        <f t="array" ref="N36">_xlfn.TEXTJOIN(CHAR(10), 1, _xlfn._xlws.FILTER('RAW_URL,PageName'!D$2:D$999, ('RAW_URL,PageName'!$C$2:$C$999=$G36)*('RAW_URL,PageName'!$B$2:$B$999="TY"), ""))</f>
        <v/>
      </c>
      <c r="O36" s="33" t="str" cm="1">
        <f t="array" ref="O36">_xlfn.TEXTJOIN(CHAR(10), 1, _xlfn._xlws.FILTER('RAW_URL,PageName'!E$2:E$999, ('RAW_URL,PageName'!$C$2:$C$999=$G36)*('RAW_URL,PageName'!$B$2:$B$999="TY"), ""))</f>
        <v/>
      </c>
      <c r="P36" s="36" t="str" cm="1">
        <f t="array" ref="P36">_xlfn.TEXTJOIN(CHAR(10), 1, _xlfn._xlws.FILTER('RAW_URL,PageName'!F$2:F$999, ('RAW_URL,PageName'!$C$2:$C$999=$G36)*('RAW_URL,PageName'!$B$2:$B$999="TY"), ""))</f>
        <v/>
      </c>
      <c r="Q36" s="38" t="str" cm="1">
        <f t="array" ref="Q36">_xlfn.TEXTJOIN(CHAR(10), 1, _xlfn._xlws.FILTER('RAW_URL,PageName'!D$2:D$999, ('RAW_URL,PageName'!$C$2:$C$999=$G36)*('RAW_URL,PageName'!$B$2:$B$999="LY"), ""))</f>
        <v/>
      </c>
      <c r="R36" s="33" t="str" cm="1">
        <f t="array" ref="R36">_xlfn.TEXTJOIN(CHAR(10), 1, _xlfn._xlws.FILTER('RAW_URL,PageName'!E$2:E$999, ('RAW_URL,PageName'!$C$2:$C$999=$G36)*('RAW_URL,PageName'!$B$2:$B$999="LY"), ""))</f>
        <v/>
      </c>
      <c r="S36" s="56" t="str" cm="1">
        <f t="array" ref="S36">_xlfn.TEXTJOIN(CHAR(10), 1, _xlfn._xlws.FILTER('RAW_URL,PageName'!F$2:F$999, ('RAW_URL,PageName'!$C$2:$C$999=$G36)*('RAW_URL,PageName'!$B$2:$B$999="LY"), ""))</f>
        <v/>
      </c>
      <c r="T36" s="116"/>
      <c r="U36" s="116">
        <f>IFERROR(VLOOKUP($C36,태깅기획site_code!$N$4:$O$18,2,0),"")</f>
        <v>7</v>
      </c>
      <c r="V36" s="1"/>
      <c r="W36" s="45">
        <v>2</v>
      </c>
      <c r="X36" s="31" t="str">
        <v>EU</v>
      </c>
      <c r="Y36" s="31" t="str">
        <v>XADUD</v>
      </c>
      <c r="Z36" s="31" t="str">
        <v>Croatia</v>
      </c>
      <c r="AA36" s="31" t="str">
        <v>Croatia</v>
      </c>
      <c r="AB36" s="46" t="str">
        <v>hr</v>
      </c>
      <c r="AC36" s="48" t="str">
        <v>X</v>
      </c>
      <c r="AD36" s="32" t="str">
        <v/>
      </c>
      <c r="AE36" s="86" t="str">
        <f>IF(AD36="","",IF(IF(AD36&gt;api용!D$2,api용!D$2,AD36)&lt;AC36,"",IF(AD36&gt;api용!D$2,api용!D$2,AD36)))</f>
        <v/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2:50">
      <c r="B37" s="45">
        <f>IF($G37="","",IFERROR(VLOOKUP($G37,RAW_tier!$B$2:$C$200,2,0),2))</f>
        <v>2</v>
      </c>
      <c r="C37" s="31" t="str">
        <f>IF(ISBLANK(태깅기획site_code!F36),"",태깅기획site_code!C36)</f>
        <v>EU</v>
      </c>
      <c r="D37" s="31" t="str">
        <f>IF(ISBLANK(태깅기획site_code!F36),"",IF(고객법인일정파일!P36="한총","SEC",IF(LEN(TRIM(고객법인일정파일!P36))=0,태깅기획site_code!D36,고객법인일정파일!P36)))</f>
        <v>XADGR</v>
      </c>
      <c r="E37" s="31" t="str">
        <f>IF(ISBLANK(태깅기획site_code!F36),"",태깅기획site_code!E36)</f>
        <v>Greece</v>
      </c>
      <c r="F37" s="31" t="str">
        <f>IF(ISBLANK(태깅기획site_code!F36),"",태깅기획site_code!J36)</f>
        <v>Greece</v>
      </c>
      <c r="G37" s="35" t="str">
        <f>IF(ISBLANK(태깅기획site_code!B36),"",태깅기획site_code!F36)</f>
        <v>gr</v>
      </c>
      <c r="H37" s="43" t="str">
        <f>IF(ISBLANK(태깅기획site_code!F36),"",IF(고객법인일정파일!Q36="X","X",고객법인일정파일!R36))</f>
        <v/>
      </c>
      <c r="I37" s="32" t="str">
        <f>IF(ISBLANK(태깅기획site_code!F36),"",IF(고객법인일정파일!Q36="X","",고객법인일정파일!S36))</f>
        <v/>
      </c>
      <c r="J37" s="41"/>
      <c r="K37" s="43" t="s">
        <v>19</v>
      </c>
      <c r="L37" s="39" t="s">
        <v>19</v>
      </c>
      <c r="M37" s="40" t="e">
        <f>IF(D37="","",VLOOKUP(D37,고객법인일정파일!$C$5:$J$200,8,0))&amp;""</f>
        <v>#N/A</v>
      </c>
      <c r="N37" s="38" t="str" cm="1">
        <f t="array" ref="N37">_xlfn.TEXTJOIN(CHAR(10), 1, _xlfn._xlws.FILTER('RAW_URL,PageName'!D$2:D$999, ('RAW_URL,PageName'!$C$2:$C$999=$G37)*('RAW_URL,PageName'!$B$2:$B$999="TY"), ""))</f>
        <v/>
      </c>
      <c r="O37" s="33" t="str" cm="1">
        <f t="array" ref="O37">_xlfn.TEXTJOIN(CHAR(10), 1, _xlfn._xlws.FILTER('RAW_URL,PageName'!E$2:E$999, ('RAW_URL,PageName'!$C$2:$C$999=$G37)*('RAW_URL,PageName'!$B$2:$B$999="TY"), ""))</f>
        <v/>
      </c>
      <c r="P37" s="36" t="str" cm="1">
        <f t="array" ref="P37">_xlfn.TEXTJOIN(CHAR(10), 1, _xlfn._xlws.FILTER('RAW_URL,PageName'!F$2:F$999, ('RAW_URL,PageName'!$C$2:$C$999=$G37)*('RAW_URL,PageName'!$B$2:$B$999="TY"), ""))</f>
        <v/>
      </c>
      <c r="Q37" s="38" t="str" cm="1">
        <f t="array" ref="Q37">_xlfn.TEXTJOIN(CHAR(10), 1, _xlfn._xlws.FILTER('RAW_URL,PageName'!D$2:D$999, ('RAW_URL,PageName'!$C$2:$C$999=$G37)*('RAW_URL,PageName'!$B$2:$B$999="LY"), ""))</f>
        <v/>
      </c>
      <c r="R37" s="33" t="str" cm="1">
        <f t="array" ref="R37">_xlfn.TEXTJOIN(CHAR(10), 1, _xlfn._xlws.FILTER('RAW_URL,PageName'!E$2:E$999, ('RAW_URL,PageName'!$C$2:$C$999=$G37)*('RAW_URL,PageName'!$B$2:$B$999="LY"), ""))</f>
        <v/>
      </c>
      <c r="S37" s="56" t="str" cm="1">
        <f t="array" ref="S37">_xlfn.TEXTJOIN(CHAR(10), 1, _xlfn._xlws.FILTER('RAW_URL,PageName'!F$2:F$999, ('RAW_URL,PageName'!$C$2:$C$999=$G37)*('RAW_URL,PageName'!$B$2:$B$999="LY"), ""))</f>
        <v/>
      </c>
      <c r="T37" s="116"/>
      <c r="U37" s="116">
        <f>IFERROR(VLOOKUP($C37,태깅기획site_code!$N$4:$O$18,2,0),"")</f>
        <v>2</v>
      </c>
      <c r="V37" s="1"/>
      <c r="W37" s="45">
        <v>2</v>
      </c>
      <c r="X37" s="31" t="str">
        <v>EU</v>
      </c>
      <c r="Y37" s="31" t="str">
        <v>XADH</v>
      </c>
      <c r="Z37" s="31" t="str">
        <v>Hungary</v>
      </c>
      <c r="AA37" s="31" t="str">
        <v>Hungary</v>
      </c>
      <c r="AB37" s="46" t="str">
        <v>hu</v>
      </c>
      <c r="AC37" s="48">
        <v>46048</v>
      </c>
      <c r="AD37" s="32">
        <v>46054</v>
      </c>
      <c r="AE37" s="86">
        <f>IF(AD37="","",IF(IF(AD37&gt;api용!D$2,api용!D$2,AD37)&lt;AC37,"",IF(AD37&gt;api용!D$2,api용!D$2,AD37)))</f>
        <v>46054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2:50">
      <c r="B38" s="45">
        <f>IF($G38="","",IFERROR(VLOOKUP($G38,RAW_tier!$B$2:$C$200,2,0),2))</f>
        <v>2</v>
      </c>
      <c r="C38" s="31" t="str">
        <f>IF(ISBLANK(태깅기획site_code!F37),"",태깅기획site_code!C37)</f>
        <v>China</v>
      </c>
      <c r="D38" s="31" t="str">
        <f>IF(ISBLANK(태깅기획site_code!F37),"",IF(고객법인일정파일!P37="한총","SEC",IF(LEN(TRIM(고객법인일정파일!P37))=0,태깅기획site_code!D37,고객법인일정파일!P37)))</f>
        <v>XADHK</v>
      </c>
      <c r="E38" s="31" t="str">
        <f>IF(ISBLANK(태깅기획site_code!F37),"",태깅기획site_code!E37)</f>
        <v>Hong Kong</v>
      </c>
      <c r="F38" s="31" t="str">
        <f>IF(ISBLANK(태깅기획site_code!F37),"",태깅기획site_code!J37)</f>
        <v>Hong Kong</v>
      </c>
      <c r="G38" s="35" t="str">
        <f>IF(ISBLANK(태깅기획site_code!B37),"",태깅기획site_code!F37)</f>
        <v>hk</v>
      </c>
      <c r="H38" s="43">
        <f>IF(ISBLANK(태깅기획site_code!F37),"",IF(고객법인일정파일!Q37="X","X",고객법인일정파일!R37))</f>
        <v>46054</v>
      </c>
      <c r="I38" s="32">
        <f>IF(ISBLANK(태깅기획site_code!F37),"",IF(고객법인일정파일!Q37="X","",고객법인일정파일!S37))</f>
        <v>46064</v>
      </c>
      <c r="J38" s="41"/>
      <c r="K38" s="43">
        <v>45778</v>
      </c>
      <c r="L38" s="39">
        <v>45791</v>
      </c>
      <c r="M38" s="40" t="str">
        <f>IF(D38="","",VLOOKUP(D38,고객법인일정파일!$C$5:$J$200,8,0))&amp;""</f>
        <v/>
      </c>
      <c r="N38" s="38" t="str" cm="1">
        <f t="array" ref="N38">_xlfn.TEXTJOIN(CHAR(10), 1, _xlfn._xlws.FILTER('RAW_URL,PageName'!D$2:D$999, ('RAW_URL,PageName'!$C$2:$C$999=$G38)*('RAW_URL,PageName'!$B$2:$B$999="TY"), ""))</f>
        <v/>
      </c>
      <c r="O38" s="33" t="str" cm="1">
        <f t="array" ref="O38">_xlfn.TEXTJOIN(CHAR(10), 1, _xlfn._xlws.FILTER('RAW_URL,PageName'!E$2:E$999, ('RAW_URL,PageName'!$C$2:$C$999=$G38)*('RAW_URL,PageName'!$B$2:$B$999="TY"), ""))</f>
        <v/>
      </c>
      <c r="P38" s="36" t="str" cm="1">
        <f t="array" ref="P38">_xlfn.TEXTJOIN(CHAR(10), 1, _xlfn._xlws.FILTER('RAW_URL,PageName'!F$2:F$999, ('RAW_URL,PageName'!$C$2:$C$999=$G38)*('RAW_URL,PageName'!$B$2:$B$999="TY"), ""))</f>
        <v/>
      </c>
      <c r="Q38" s="38" t="str" cm="1">
        <f t="array" ref="Q38">_xlfn.TEXTJOIN(CHAR(10), 1, _xlfn._xlws.FILTER('RAW_URL,PageName'!D$2:D$999, ('RAW_URL,PageName'!$C$2:$C$999=$G38)*('RAW_URL,PageName'!$B$2:$B$999="LY"), ""))</f>
        <v/>
      </c>
      <c r="R38" s="33" t="str" cm="1">
        <f t="array" ref="R38">_xlfn.TEXTJOIN(CHAR(10), 1, _xlfn._xlws.FILTER('RAW_URL,PageName'!E$2:E$999, ('RAW_URL,PageName'!$C$2:$C$999=$G38)*('RAW_URL,PageName'!$B$2:$B$999="LY"), ""))</f>
        <v/>
      </c>
      <c r="S38" s="56" t="str" cm="1">
        <f t="array" ref="S38">_xlfn.TEXTJOIN(CHAR(10), 1, _xlfn._xlws.FILTER('RAW_URL,PageName'!F$2:F$999, ('RAW_URL,PageName'!$C$2:$C$999=$G38)*('RAW_URL,PageName'!$B$2:$B$999="LY"), ""))</f>
        <v/>
      </c>
      <c r="T38" s="116"/>
      <c r="U38" s="116">
        <f>IFERROR(VLOOKUP($C38,태깅기획site_code!$N$4:$O$18,2,0),"")</f>
        <v>9</v>
      </c>
      <c r="V38" s="1"/>
      <c r="W38" s="45">
        <v>2</v>
      </c>
      <c r="X38" s="31" t="str">
        <v>EU</v>
      </c>
      <c r="Y38" s="31" t="str">
        <v>XADUK-IE</v>
      </c>
      <c r="Z38" s="31" t="str">
        <v>Ireland</v>
      </c>
      <c r="AA38" s="31" t="str">
        <v>Ireland</v>
      </c>
      <c r="AB38" s="46" t="str">
        <v>ie</v>
      </c>
      <c r="AC38" s="48" t="str">
        <v>X</v>
      </c>
      <c r="AD38" s="32" t="str">
        <v/>
      </c>
      <c r="AE38" s="86" t="str">
        <f>IF(AD38="","",IF(IF(AD38&gt;api용!D$2,api용!D$2,AD38)&lt;AC38,"",IF(AD38&gt;api용!D$2,api용!D$2,AD38)))</f>
        <v/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2:50">
      <c r="B39" s="45">
        <f>IF($G39="","",IFERROR(VLOOKUP($G39,RAW_tier!$B$2:$C$200,2,0),2))</f>
        <v>2</v>
      </c>
      <c r="C39" s="31" t="str">
        <f>IF(ISBLANK(태깅기획site_code!F38),"",태깅기획site_code!C38)</f>
        <v>China</v>
      </c>
      <c r="D39" s="31" t="str">
        <f>IF(ISBLANK(태깅기획site_code!F38),"",IF(고객법인일정파일!P38="한총","SEC",IF(LEN(TRIM(고객법인일정파일!P38))=0,태깅기획site_code!D38,고객법인일정파일!P38)))</f>
        <v>XADHK</v>
      </c>
      <c r="E39" s="31" t="str">
        <f>IF(ISBLANK(태깅기획site_code!F38),"",태깅기획site_code!E38)</f>
        <v>Hong Kong</v>
      </c>
      <c r="F39" s="31" t="str">
        <f>IF(ISBLANK(태깅기획site_code!F38),"",태깅기획site_code!J38)</f>
        <v>Hong Kong</v>
      </c>
      <c r="G39" s="35" t="str">
        <f>IF(ISBLANK(태깅기획site_code!B38),"",태깅기획site_code!F38)</f>
        <v>hk_en</v>
      </c>
      <c r="H39" s="43">
        <f>IF(ISBLANK(태깅기획site_code!F38),"",IF(고객법인일정파일!Q38="X","X",고객법인일정파일!R38))</f>
        <v>46054</v>
      </c>
      <c r="I39" s="32">
        <f>IF(ISBLANK(태깅기획site_code!F38),"",IF(고객법인일정파일!Q38="X","",고객법인일정파일!S38))</f>
        <v>46064</v>
      </c>
      <c r="J39" s="41" t="s">
        <v>20</v>
      </c>
      <c r="K39" s="43">
        <v>45778</v>
      </c>
      <c r="L39" s="39">
        <v>45794</v>
      </c>
      <c r="M39" s="40" t="str">
        <f>IF(D39="","",VLOOKUP(D39,고객법인일정파일!$C$5:$J$200,8,0))&amp;""</f>
        <v/>
      </c>
      <c r="N39" s="38" t="str" cm="1">
        <f t="array" ref="N39">_xlfn.TEXTJOIN(CHAR(10), 1, _xlfn._xlws.FILTER('RAW_URL,PageName'!D$2:D$999, ('RAW_URL,PageName'!$C$2:$C$999=$G39)*('RAW_URL,PageName'!$B$2:$B$999="TY"), ""))</f>
        <v/>
      </c>
      <c r="O39" s="33" t="str" cm="1">
        <f t="array" ref="O39">_xlfn.TEXTJOIN(CHAR(10), 1, _xlfn._xlws.FILTER('RAW_URL,PageName'!E$2:E$999, ('RAW_URL,PageName'!$C$2:$C$999=$G39)*('RAW_URL,PageName'!$B$2:$B$999="TY"), ""))</f>
        <v/>
      </c>
      <c r="P39" s="36" t="str" cm="1">
        <f t="array" ref="P39">_xlfn.TEXTJOIN(CHAR(10), 1, _xlfn._xlws.FILTER('RAW_URL,PageName'!F$2:F$999, ('RAW_URL,PageName'!$C$2:$C$999=$G39)*('RAW_URL,PageName'!$B$2:$B$999="TY"), ""))</f>
        <v/>
      </c>
      <c r="Q39" s="38" t="str" cm="1">
        <f t="array" ref="Q39">_xlfn.TEXTJOIN(CHAR(10), 1, _xlfn._xlws.FILTER('RAW_URL,PageName'!D$2:D$999, ('RAW_URL,PageName'!$C$2:$C$999=$G39)*('RAW_URL,PageName'!$B$2:$B$999="LY"), ""))</f>
        <v/>
      </c>
      <c r="R39" s="33" t="str" cm="1">
        <f t="array" ref="R39">_xlfn.TEXTJOIN(CHAR(10), 1, _xlfn._xlws.FILTER('RAW_URL,PageName'!E$2:E$999, ('RAW_URL,PageName'!$C$2:$C$999=$G39)*('RAW_URL,PageName'!$B$2:$B$999="LY"), ""))</f>
        <v/>
      </c>
      <c r="S39" s="56" t="str" cm="1">
        <f t="array" ref="S39">_xlfn.TEXTJOIN(CHAR(10), 1, _xlfn._xlws.FILTER('RAW_URL,PageName'!F$2:F$999, ('RAW_URL,PageName'!$C$2:$C$999=$G39)*('RAW_URL,PageName'!$B$2:$B$999="LY"), ""))</f>
        <v/>
      </c>
      <c r="T39" s="116"/>
      <c r="U39" s="116">
        <f>IFERROR(VLOOKUP($C39,태깅기획site_code!$N$4:$O$18,2,0),"")</f>
        <v>9</v>
      </c>
      <c r="V39" s="1"/>
      <c r="W39" s="45">
        <v>2</v>
      </c>
      <c r="X39" s="31" t="str">
        <v>MENA</v>
      </c>
      <c r="Y39" s="31" t="str">
        <v>XADIL</v>
      </c>
      <c r="Z39" s="31" t="str">
        <v>Israel</v>
      </c>
      <c r="AA39" s="31" t="str">
        <v>Israel</v>
      </c>
      <c r="AB39" s="46" t="str">
        <v>il</v>
      </c>
      <c r="AC39" s="48" t="str">
        <v>X</v>
      </c>
      <c r="AD39" s="32" t="str">
        <v/>
      </c>
      <c r="AE39" s="86" t="str">
        <f>IF(AD39="","",IF(IF(AD39&gt;api용!D$2,api용!D$2,AD39)&lt;AC39,"",IF(AD39&gt;api용!D$2,api용!D$2,AD39)))</f>
        <v/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2:50" ht="24" customHeight="1">
      <c r="B40" s="45">
        <f>IF($G40="","",IFERROR(VLOOKUP($G40,RAW_tier!$B$2:$C$200,2,0),2))</f>
        <v>2</v>
      </c>
      <c r="C40" s="31" t="str">
        <f>IF(ISBLANK(태깅기획site_code!F39),"",태깅기획site_code!C39)</f>
        <v>EU</v>
      </c>
      <c r="D40" s="31" t="str">
        <f>IF(ISBLANK(태깅기획site_code!F39),"",IF(고객법인일정파일!P39="한총","SEC",IF(LEN(TRIM(고객법인일정파일!P39))=0,태깅기획site_code!D39,고객법인일정파일!P39)))</f>
        <v>XADUD</v>
      </c>
      <c r="E40" s="31" t="str">
        <f>IF(ISBLANK(태깅기획site_code!F39),"",태깅기획site_code!E39)</f>
        <v>Croatia</v>
      </c>
      <c r="F40" s="31" t="str">
        <f>IF(ISBLANK(태깅기획site_code!F39),"",태깅기획site_code!J39)</f>
        <v>Croatia</v>
      </c>
      <c r="G40" s="35" t="str">
        <f>IF(ISBLANK(태깅기획site_code!B39),"",태깅기획site_code!F39)</f>
        <v>hr</v>
      </c>
      <c r="H40" s="43" t="str">
        <f>IF(ISBLANK(태깅기획site_code!F39),"",IF(고객법인일정파일!Q39="X","X",고객법인일정파일!R39))</f>
        <v>X</v>
      </c>
      <c r="I40" s="32" t="str">
        <f>IF(ISBLANK(태깅기획site_code!F39),"",IF(고객법인일정파일!Q39="X","",고객법인일정파일!S39))</f>
        <v/>
      </c>
      <c r="J40" s="41"/>
      <c r="K40" s="43" t="s">
        <v>19</v>
      </c>
      <c r="L40" s="39" t="s">
        <v>19</v>
      </c>
      <c r="M40" s="40" t="str">
        <f>IF(D40="","",VLOOKUP(D40,고객법인일정파일!$C$5:$J$200,8,0))&amp;""</f>
        <v>Note1-test XADUX-UT</v>
      </c>
      <c r="N40" s="38" t="str" cm="1">
        <f t="array" ref="N40">_xlfn.TEXTJOIN(CHAR(10), 1, _xlfn._xlws.FILTER('RAW_URL,PageName'!D$2:D$999, ('RAW_URL,PageName'!$C$2:$C$999=$G40)*('RAW_URL,PageName'!$B$2:$B$999="TY"), ""))</f>
        <v/>
      </c>
      <c r="O40" s="33" t="str" cm="1">
        <f t="array" ref="O40">_xlfn.TEXTJOIN(CHAR(10), 1, _xlfn._xlws.FILTER('RAW_URL,PageName'!E$2:E$999, ('RAW_URL,PageName'!$C$2:$C$999=$G40)*('RAW_URL,PageName'!$B$2:$B$999="TY"), ""))</f>
        <v/>
      </c>
      <c r="P40" s="36" t="str" cm="1">
        <f t="array" ref="P40">_xlfn.TEXTJOIN(CHAR(10), 1, _xlfn._xlws.FILTER('RAW_URL,PageName'!F$2:F$999, ('RAW_URL,PageName'!$C$2:$C$999=$G40)*('RAW_URL,PageName'!$B$2:$B$999="TY"), ""))</f>
        <v/>
      </c>
      <c r="Q40" s="38" t="str" cm="1">
        <f t="array" ref="Q40">_xlfn.TEXTJOIN(CHAR(10), 1, _xlfn._xlws.FILTER('RAW_URL,PageName'!D$2:D$999, ('RAW_URL,PageName'!$C$2:$C$999=$G40)*('RAW_URL,PageName'!$B$2:$B$999="LY"), ""))</f>
        <v/>
      </c>
      <c r="R40" s="33" t="str" cm="1">
        <f t="array" ref="R40">_xlfn.TEXTJOIN(CHAR(10), 1, _xlfn._xlws.FILTER('RAW_URL,PageName'!E$2:E$999, ('RAW_URL,PageName'!$C$2:$C$999=$G40)*('RAW_URL,PageName'!$B$2:$B$999="LY"), ""))</f>
        <v/>
      </c>
      <c r="S40" s="56" t="str" cm="1">
        <f t="array" ref="S40">_xlfn.TEXTJOIN(CHAR(10), 1, _xlfn._xlws.FILTER('RAW_URL,PageName'!F$2:F$999, ('RAW_URL,PageName'!$C$2:$C$999=$G40)*('RAW_URL,PageName'!$B$2:$B$999="LY"), ""))</f>
        <v/>
      </c>
      <c r="T40" s="116"/>
      <c r="U40" s="116">
        <f>IFERROR(VLOOKUP($C40,태깅기획site_code!$N$4:$O$18,2,0),"")</f>
        <v>2</v>
      </c>
      <c r="V40" s="1"/>
      <c r="W40" s="45">
        <v>2</v>
      </c>
      <c r="X40" s="31" t="str">
        <v>S.W.Asia</v>
      </c>
      <c r="Y40" s="31" t="str">
        <v>XIADL</v>
      </c>
      <c r="Z40" s="31" t="str">
        <v>India</v>
      </c>
      <c r="AA40" s="31" t="str">
        <v>India</v>
      </c>
      <c r="AB40" s="46" t="str">
        <v>in</v>
      </c>
      <c r="AC40" s="48">
        <v>46038</v>
      </c>
      <c r="AD40" s="32">
        <v>46044</v>
      </c>
      <c r="AE40" s="86">
        <f>IF(AD40="","",IF(IF(AD40&gt;api용!D$2,api용!D$2,AD40)&lt;AC40,"",IF(AD40&gt;api용!D$2,api용!D$2,AD40)))</f>
        <v>46044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2:50">
      <c r="B41" s="45">
        <f>IF($G41="","",IFERROR(VLOOKUP($G41,RAW_tier!$B$2:$C$200,2,0),2))</f>
        <v>2</v>
      </c>
      <c r="C41" s="31" t="str">
        <f>IF(ISBLANK(태깅기획site_code!F40),"",태깅기획site_code!C40)</f>
        <v>EU</v>
      </c>
      <c r="D41" s="31" t="str">
        <f>IF(ISBLANK(태깅기획site_code!F40),"",IF(고객법인일정파일!P40="한총","SEC",IF(LEN(TRIM(고객법인일정파일!P40))=0,태깅기획site_code!D40,고객법인일정파일!P40)))</f>
        <v>XADH</v>
      </c>
      <c r="E41" s="31" t="str">
        <f>IF(ISBLANK(태깅기획site_code!F40),"",태깅기획site_code!E40)</f>
        <v>Hungary</v>
      </c>
      <c r="F41" s="31" t="str">
        <f>IF(ISBLANK(태깅기획site_code!F40),"",태깅기획site_code!J40)</f>
        <v>Hungary</v>
      </c>
      <c r="G41" s="35" t="str">
        <f>IF(ISBLANK(태깅기획site_code!B40),"",태깅기획site_code!F40)</f>
        <v>hu</v>
      </c>
      <c r="H41" s="43">
        <f>IF(ISBLANK(태깅기획site_code!F40),"",IF(고객법인일정파일!Q40="X","X",고객법인일정파일!R40))</f>
        <v>46048</v>
      </c>
      <c r="I41" s="32">
        <f>IF(ISBLANK(태깅기획site_code!F40),"",IF(고객법인일정파일!Q40="X","",고객법인일정파일!S40))</f>
        <v>46054</v>
      </c>
      <c r="J41" s="41"/>
      <c r="K41" s="43">
        <v>45774</v>
      </c>
      <c r="L41" s="39">
        <v>45781</v>
      </c>
      <c r="M41" s="40" t="str">
        <f>IF(D41="","",VLOOKUP(D41,고객법인일정파일!$C$5:$J$200,8,0))&amp;""</f>
        <v/>
      </c>
      <c r="N41" s="38" t="str" cm="1">
        <f t="array" ref="N41">_xlfn.TEXTJOIN(CHAR(10), 1, _xlfn._xlws.FILTER('RAW_URL,PageName'!D$2:D$999, ('RAW_URL,PageName'!$C$2:$C$999=$G41)*('RAW_URL,PageName'!$B$2:$B$999="TY"), ""))</f>
        <v/>
      </c>
      <c r="O41" s="33" t="str" cm="1">
        <f t="array" ref="O41">_xlfn.TEXTJOIN(CHAR(10), 1, _xlfn._xlws.FILTER('RAW_URL,PageName'!E$2:E$999, ('RAW_URL,PageName'!$C$2:$C$999=$G41)*('RAW_URL,PageName'!$B$2:$B$999="TY"), ""))</f>
        <v/>
      </c>
      <c r="P41" s="36" t="str" cm="1">
        <f t="array" ref="P41">_xlfn.TEXTJOIN(CHAR(10), 1, _xlfn._xlws.FILTER('RAW_URL,PageName'!F$2:F$999, ('RAW_URL,PageName'!$C$2:$C$999=$G41)*('RAW_URL,PageName'!$B$2:$B$999="TY"), ""))</f>
        <v/>
      </c>
      <c r="Q41" s="38" t="str" cm="1">
        <f t="array" ref="Q41">_xlfn.TEXTJOIN(CHAR(10), 1, _xlfn._xlws.FILTER('RAW_URL,PageName'!D$2:D$999, ('RAW_URL,PageName'!$C$2:$C$999=$G41)*('RAW_URL,PageName'!$B$2:$B$999="LY"), ""))</f>
        <v/>
      </c>
      <c r="R41" s="33" t="str" cm="1">
        <f t="array" ref="R41">_xlfn.TEXTJOIN(CHAR(10), 1, _xlfn._xlws.FILTER('RAW_URL,PageName'!E$2:E$999, ('RAW_URL,PageName'!$C$2:$C$999=$G41)*('RAW_URL,PageName'!$B$2:$B$999="LY"), ""))</f>
        <v/>
      </c>
      <c r="S41" s="56" t="str" cm="1">
        <f t="array" ref="S41">_xlfn.TEXTJOIN(CHAR(10), 1, _xlfn._xlws.FILTER('RAW_URL,PageName'!F$2:F$999, ('RAW_URL,PageName'!$C$2:$C$999=$G41)*('RAW_URL,PageName'!$B$2:$B$999="LY"), ""))</f>
        <v/>
      </c>
      <c r="T41" s="116"/>
      <c r="U41" s="116">
        <f>IFERROR(VLOOKUP($C41,태깅기획site_code!$N$4:$O$18,2,0),"")</f>
        <v>2</v>
      </c>
      <c r="V41" s="1"/>
      <c r="W41" s="45">
        <v>2</v>
      </c>
      <c r="X41" s="31" t="str">
        <v>MENA</v>
      </c>
      <c r="Y41" s="31" t="str">
        <v>XADLV</v>
      </c>
      <c r="Z41" s="31" t="str">
        <v>Iraq</v>
      </c>
      <c r="AA41" s="31" t="str">
        <v>Iraq</v>
      </c>
      <c r="AB41" s="46" t="str">
        <v>iq_ar</v>
      </c>
      <c r="AC41" s="48" t="str">
        <v>TBC</v>
      </c>
      <c r="AD41" s="32" t="str">
        <v>TBC</v>
      </c>
      <c r="AE41" s="86" t="str">
        <f>IF(AD41="","",IF(IF(AD41&gt;api용!D$2,api용!D$2,AD41)&lt;AC41,"",IF(AD41&gt;api용!D$2,api용!D$2,AD41)))</f>
        <v/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2:50" ht="24" customHeight="1">
      <c r="B42" s="45">
        <f>IF($G42="","",IFERROR(VLOOKUP($G42,RAW_tier!$B$2:$C$200,2,0),2))</f>
        <v>2</v>
      </c>
      <c r="C42" s="31" t="str">
        <f>IF(ISBLANK(태깅기획site_code!F41),"",태깅기획site_code!C41)</f>
        <v>S.E.Asia</v>
      </c>
      <c r="D42" s="31" t="str">
        <f>IF(ISBLANK(태깅기획site_code!F41),"",IF(고객법인일정파일!P41="한총","SEC",IF(LEN(TRIM(고객법인일정파일!P41))=0,태깅기획site_code!D41,고객법인일정파일!P41)))</f>
        <v>XADIN</v>
      </c>
      <c r="E42" s="31" t="str">
        <f>IF(ISBLANK(태깅기획site_code!F41),"",태깅기획site_code!E41)</f>
        <v>Indonesia</v>
      </c>
      <c r="F42" s="31" t="str">
        <f>IF(ISBLANK(태깅기획site_code!F41),"",태깅기획site_code!J41)</f>
        <v>Indonesia</v>
      </c>
      <c r="G42" s="35" t="str">
        <f>IF(ISBLANK(태깅기획site_code!B41),"",태깅기획site_code!F41)</f>
        <v>id</v>
      </c>
      <c r="H42" s="43" t="str">
        <f>IF(ISBLANK(태깅기획site_code!F41),"",IF(고객법인일정파일!Q41="X","X",고객법인일정파일!R41))</f>
        <v/>
      </c>
      <c r="I42" s="32" t="str">
        <f>IF(ISBLANK(태깅기획site_code!F41),"",IF(고객법인일정파일!Q41="X","",고객법인일정파일!S41))</f>
        <v/>
      </c>
      <c r="J42" s="41"/>
      <c r="K42" s="43" t="s">
        <v>19</v>
      </c>
      <c r="L42" s="39" t="s">
        <v>19</v>
      </c>
      <c r="M42" s="40" t="str">
        <f>IF(D42="","",VLOOKUP(D42,고객법인일정파일!$C$5:$J$200,8,0))&amp;""</f>
        <v>Note1-test XADTK</v>
      </c>
      <c r="N42" s="38" t="str" cm="1">
        <f t="array" ref="N42">_xlfn.TEXTJOIN(CHAR(10), 1, _xlfn._xlws.FILTER('RAW_URL,PageName'!D$2:D$999, ('RAW_URL,PageName'!$C$2:$C$999=$G42)*('RAW_URL,PageName'!$B$2:$B$999="TY"), ""))</f>
        <v/>
      </c>
      <c r="O42" s="33" t="str" cm="1">
        <f t="array" ref="O42">_xlfn.TEXTJOIN(CHAR(10), 1, _xlfn._xlws.FILTER('RAW_URL,PageName'!E$2:E$999, ('RAW_URL,PageName'!$C$2:$C$999=$G42)*('RAW_URL,PageName'!$B$2:$B$999="TY"), ""))</f>
        <v/>
      </c>
      <c r="P42" s="36" t="str" cm="1">
        <f t="array" ref="P42">_xlfn.TEXTJOIN(CHAR(10), 1, _xlfn._xlws.FILTER('RAW_URL,PageName'!F$2:F$999, ('RAW_URL,PageName'!$C$2:$C$999=$G42)*('RAW_URL,PageName'!$B$2:$B$999="TY"), ""))</f>
        <v/>
      </c>
      <c r="Q42" s="38" t="str" cm="1">
        <f t="array" ref="Q42">_xlfn.TEXTJOIN(CHAR(10), 1, _xlfn._xlws.FILTER('RAW_URL,PageName'!D$2:D$999, ('RAW_URL,PageName'!$C$2:$C$999=$G42)*('RAW_URL,PageName'!$B$2:$B$999="LY"), ""))</f>
        <v/>
      </c>
      <c r="R42" s="33" t="str" cm="1">
        <f t="array" ref="R42">_xlfn.TEXTJOIN(CHAR(10), 1, _xlfn._xlws.FILTER('RAW_URL,PageName'!E$2:E$999, ('RAW_URL,PageName'!$C$2:$C$999=$G42)*('RAW_URL,PageName'!$B$2:$B$999="LY"), ""))</f>
        <v/>
      </c>
      <c r="S42" s="56" t="str" cm="1">
        <f t="array" ref="S42">_xlfn.TEXTJOIN(CHAR(10), 1, _xlfn._xlws.FILTER('RAW_URL,PageName'!F$2:F$999, ('RAW_URL,PageName'!$C$2:$C$999=$G42)*('RAW_URL,PageName'!$B$2:$B$999="LY"), ""))</f>
        <v/>
      </c>
      <c r="T42" s="116"/>
      <c r="U42" s="116">
        <f>IFERROR(VLOOKUP($C42,태깅기획site_code!$N$4:$O$18,2,0),"")</f>
        <v>4</v>
      </c>
      <c r="V42" s="1"/>
      <c r="W42" s="45">
        <v>2</v>
      </c>
      <c r="X42" s="31" t="str">
        <v>MENA</v>
      </c>
      <c r="Y42" s="31" t="str">
        <v>XADLV</v>
      </c>
      <c r="Z42" s="31" t="str">
        <v>Iraq</v>
      </c>
      <c r="AA42" s="31" t="str">
        <v>Kurdistan</v>
      </c>
      <c r="AB42" s="46" t="str">
        <v>iq_ku</v>
      </c>
      <c r="AC42" s="48" t="str">
        <v>TBC</v>
      </c>
      <c r="AD42" s="32" t="str">
        <v>TBC</v>
      </c>
      <c r="AE42" s="86" t="str">
        <f>IF(AD42="","",IF(IF(AD42&gt;api용!D$2,api용!D$2,AD42)&lt;AC42,"",IF(AD42&gt;api용!D$2,api용!D$2,AD42)))</f>
        <v/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2:50">
      <c r="B43" s="45">
        <f>IF($G43="","",IFERROR(VLOOKUP($G43,RAW_tier!$B$2:$C$200,2,0),2))</f>
        <v>2</v>
      </c>
      <c r="C43" s="31" t="str">
        <f>IF(ISBLANK(태깅기획site_code!F42),"",태깅기획site_code!C42)</f>
        <v>EU</v>
      </c>
      <c r="D43" s="31" t="str">
        <f>IF(ISBLANK(태깅기획site_code!F42),"",IF(고객법인일정파일!P42="한총","SEC",IF(LEN(TRIM(고객법인일정파일!P42))=0,태깅기획site_code!D42,고객법인일정파일!P42)))</f>
        <v>XADUK-IE</v>
      </c>
      <c r="E43" s="31" t="str">
        <f>IF(ISBLANK(태깅기획site_code!F42),"",태깅기획site_code!E42)</f>
        <v>Ireland</v>
      </c>
      <c r="F43" s="31" t="str">
        <f>IF(ISBLANK(태깅기획site_code!F42),"",태깅기획site_code!J42)</f>
        <v>Ireland</v>
      </c>
      <c r="G43" s="35" t="str">
        <f>IF(ISBLANK(태깅기획site_code!B42),"",태깅기획site_code!F42)</f>
        <v>ie</v>
      </c>
      <c r="H43" s="43" t="str">
        <f>IF(ISBLANK(태깅기획site_code!F42),"",IF(고객법인일정파일!Q42="X","X",고객법인일정파일!R42))</f>
        <v>X</v>
      </c>
      <c r="I43" s="32" t="str">
        <f>IF(ISBLANK(태깅기획site_code!F42),"",IF(고객법인일정파일!Q42="X","",고객법인일정파일!S42))</f>
        <v/>
      </c>
      <c r="J43" s="41"/>
      <c r="K43" s="43" t="s">
        <v>19</v>
      </c>
      <c r="L43" s="39" t="s">
        <v>19</v>
      </c>
      <c r="M43" s="40" t="str">
        <f>IF(D43="","",VLOOKUP(D43,고객법인일정파일!$C$5:$J$200,8,0))&amp;""</f>
        <v/>
      </c>
      <c r="N43" s="38" t="str" cm="1">
        <f t="array" ref="N43">_xlfn.TEXTJOIN(CHAR(10), 1, _xlfn._xlws.FILTER('RAW_URL,PageName'!D$2:D$999, ('RAW_URL,PageName'!$C$2:$C$999=$G43)*('RAW_URL,PageName'!$B$2:$B$999="TY"), ""))</f>
        <v/>
      </c>
      <c r="O43" s="33" t="str" cm="1">
        <f t="array" ref="O43">_xlfn.TEXTJOIN(CHAR(10), 1, _xlfn._xlws.FILTER('RAW_URL,PageName'!E$2:E$999, ('RAW_URL,PageName'!$C$2:$C$999=$G43)*('RAW_URL,PageName'!$B$2:$B$999="TY"), ""))</f>
        <v/>
      </c>
      <c r="P43" s="36" t="str" cm="1">
        <f t="array" ref="P43">_xlfn.TEXTJOIN(CHAR(10), 1, _xlfn._xlws.FILTER('RAW_URL,PageName'!F$2:F$999, ('RAW_URL,PageName'!$C$2:$C$999=$G43)*('RAW_URL,PageName'!$B$2:$B$999="TY"), ""))</f>
        <v/>
      </c>
      <c r="Q43" s="38" t="str" cm="1">
        <f t="array" ref="Q43">_xlfn.TEXTJOIN(CHAR(10), 1, _xlfn._xlws.FILTER('RAW_URL,PageName'!D$2:D$999, ('RAW_URL,PageName'!$C$2:$C$999=$G43)*('RAW_URL,PageName'!$B$2:$B$999="LY"), ""))</f>
        <v/>
      </c>
      <c r="R43" s="33" t="str" cm="1">
        <f t="array" ref="R43">_xlfn.TEXTJOIN(CHAR(10), 1, _xlfn._xlws.FILTER('RAW_URL,PageName'!E$2:E$999, ('RAW_URL,PageName'!$C$2:$C$999=$G43)*('RAW_URL,PageName'!$B$2:$B$999="LY"), ""))</f>
        <v/>
      </c>
      <c r="S43" s="56" t="str" cm="1">
        <f t="array" ref="S43">_xlfn.TEXTJOIN(CHAR(10), 1, _xlfn._xlws.FILTER('RAW_URL,PageName'!F$2:F$999, ('RAW_URL,PageName'!$C$2:$C$999=$G43)*('RAW_URL,PageName'!$B$2:$B$999="LY"), ""))</f>
        <v/>
      </c>
      <c r="T43" s="116"/>
      <c r="U43" s="116">
        <f>IFERROR(VLOOKUP($C43,태깅기획site_code!$N$4:$O$18,2,0),"")</f>
        <v>2</v>
      </c>
      <c r="V43" s="1"/>
      <c r="W43" s="45">
        <v>2</v>
      </c>
      <c r="X43" s="31" t="str">
        <v>EU</v>
      </c>
      <c r="Y43" s="31" t="str">
        <v>XADI</v>
      </c>
      <c r="Z43" s="31" t="str">
        <v>Italy</v>
      </c>
      <c r="AA43" s="31" t="str">
        <v>Italy</v>
      </c>
      <c r="AB43" s="46" t="str">
        <v>it</v>
      </c>
      <c r="AC43" s="48">
        <v>46050</v>
      </c>
      <c r="AD43" s="32">
        <v>46064</v>
      </c>
      <c r="AE43" s="86">
        <f>IF(AD43="","",IF(IF(AD43&gt;api용!D$2,api용!D$2,AD43)&lt;AC43,"",IF(AD43&gt;api용!D$2,api용!D$2,AD43)))</f>
        <v>46064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2:50">
      <c r="B44" s="45">
        <f>IF($G44="","",IFERROR(VLOOKUP($G44,RAW_tier!$B$2:$C$200,2,0),2))</f>
        <v>2</v>
      </c>
      <c r="C44" s="31" t="str">
        <f>IF(ISBLANK(태깅기획site_code!F43),"",태깅기획site_code!C43)</f>
        <v>MENA</v>
      </c>
      <c r="D44" s="31" t="str">
        <f>IF(ISBLANK(태깅기획site_code!F43),"",IF(고객법인일정파일!P43="한총","SEC",IF(LEN(TRIM(고객법인일정파일!P43))=0,태깅기획site_code!D43,고객법인일정파일!P43)))</f>
        <v>XADIL</v>
      </c>
      <c r="E44" s="31" t="str">
        <f>IF(ISBLANK(태깅기획site_code!F43),"",태깅기획site_code!E43)</f>
        <v>Israel</v>
      </c>
      <c r="F44" s="31" t="str">
        <f>IF(ISBLANK(태깅기획site_code!F43),"",태깅기획site_code!J43)</f>
        <v>Israel</v>
      </c>
      <c r="G44" s="35" t="str">
        <f>IF(ISBLANK(태깅기획site_code!B43),"",태깅기획site_code!F43)</f>
        <v>il</v>
      </c>
      <c r="H44" s="43" t="str">
        <f>IF(ISBLANK(태깅기획site_code!F43),"",IF(고객법인일정파일!Q43="X","X",고객법인일정파일!R43))</f>
        <v>X</v>
      </c>
      <c r="I44" s="32" t="str">
        <f>IF(ISBLANK(태깅기획site_code!F43),"",IF(고객법인일정파일!Q43="X","",고객법인일정파일!S43))</f>
        <v/>
      </c>
      <c r="J44" s="41"/>
      <c r="K44" s="43" t="s">
        <v>19</v>
      </c>
      <c r="L44" s="39" t="s">
        <v>19</v>
      </c>
      <c r="M44" s="40" t="str">
        <f>IF(D44="","",VLOOKUP(D44,고객법인일정파일!$C$5:$J$200,8,0))&amp;""</f>
        <v/>
      </c>
      <c r="N44" s="38" t="str" cm="1">
        <f t="array" ref="N44">_xlfn.TEXTJOIN(CHAR(10), 1, _xlfn._xlws.FILTER('RAW_URL,PageName'!D$2:D$999, ('RAW_URL,PageName'!$C$2:$C$999=$G44)*('RAW_URL,PageName'!$B$2:$B$999="TY"), ""))</f>
        <v/>
      </c>
      <c r="O44" s="33" t="str" cm="1">
        <f t="array" ref="O44">_xlfn.TEXTJOIN(CHAR(10), 1, _xlfn._xlws.FILTER('RAW_URL,PageName'!E$2:E$999, ('RAW_URL,PageName'!$C$2:$C$999=$G44)*('RAW_URL,PageName'!$B$2:$B$999="TY"), ""))</f>
        <v/>
      </c>
      <c r="P44" s="36" t="str" cm="1">
        <f t="array" ref="P44">_xlfn.TEXTJOIN(CHAR(10), 1, _xlfn._xlws.FILTER('RAW_URL,PageName'!F$2:F$999, ('RAW_URL,PageName'!$C$2:$C$999=$G44)*('RAW_URL,PageName'!$B$2:$B$999="TY"), ""))</f>
        <v/>
      </c>
      <c r="Q44" s="38" t="str" cm="1">
        <f t="array" ref="Q44">_xlfn.TEXTJOIN(CHAR(10), 1, _xlfn._xlws.FILTER('RAW_URL,PageName'!D$2:D$999, ('RAW_URL,PageName'!$C$2:$C$999=$G44)*('RAW_URL,PageName'!$B$2:$B$999="LY"), ""))</f>
        <v/>
      </c>
      <c r="R44" s="33" t="str" cm="1">
        <f t="array" ref="R44">_xlfn.TEXTJOIN(CHAR(10), 1, _xlfn._xlws.FILTER('RAW_URL,PageName'!E$2:E$999, ('RAW_URL,PageName'!$C$2:$C$999=$G44)*('RAW_URL,PageName'!$B$2:$B$999="LY"), ""))</f>
        <v/>
      </c>
      <c r="S44" s="56" t="str" cm="1">
        <f t="array" ref="S44">_xlfn.TEXTJOIN(CHAR(10), 1, _xlfn._xlws.FILTER('RAW_URL,PageName'!F$2:F$999, ('RAW_URL,PageName'!$C$2:$C$999=$G44)*('RAW_URL,PageName'!$B$2:$B$999="LY"), ""))</f>
        <v/>
      </c>
      <c r="T44" s="116"/>
      <c r="U44" s="116">
        <f>IFERROR(VLOOKUP($C44,태깅기획site_code!$N$4:$O$18,2,0),"")</f>
        <v>6</v>
      </c>
      <c r="V44" s="1"/>
      <c r="W44" s="45">
        <v>2</v>
      </c>
      <c r="X44" s="31" t="str">
        <v>CIS</v>
      </c>
      <c r="Y44" s="31" t="str">
        <v>XADCAD</v>
      </c>
      <c r="Z44" s="31" t="str">
        <v>Kazakhstan</v>
      </c>
      <c r="AA44" s="31" t="str">
        <v>Kazakhstan (Kazakh)</v>
      </c>
      <c r="AB44" s="46" t="str">
        <v>kz_kz</v>
      </c>
      <c r="AC44" s="48">
        <v>46054</v>
      </c>
      <c r="AD44" s="32">
        <v>46064</v>
      </c>
      <c r="AE44" s="86">
        <f>IF(AD44="","",IF(IF(AD44&gt;api용!D$2,api용!D$2,AD44)&lt;AC44,"",IF(AD44&gt;api용!D$2,api용!D$2,AD44)))</f>
        <v>46064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2:50">
      <c r="B45" s="45">
        <f>IF($G45="","",IFERROR(VLOOKUP($G45,RAW_tier!$B$2:$C$200,2,0),2))</f>
        <v>2</v>
      </c>
      <c r="C45" s="31" t="str">
        <f>IF(ISBLANK(태깅기획site_code!F44),"",태깅기획site_code!C44)</f>
        <v>S.W.Asia</v>
      </c>
      <c r="D45" s="31" t="str">
        <f>IF(ISBLANK(태깅기획site_code!F44),"",IF(고객법인일정파일!P44="한총","SEC",IF(LEN(TRIM(고객법인일정파일!P44))=0,태깅기획site_code!D44,고객법인일정파일!P44)))</f>
        <v>XIADL</v>
      </c>
      <c r="E45" s="31" t="str">
        <f>IF(ISBLANK(태깅기획site_code!F44),"",태깅기획site_code!E44)</f>
        <v>India</v>
      </c>
      <c r="F45" s="31" t="str">
        <f>IF(ISBLANK(태깅기획site_code!F44),"",태깅기획site_code!J44)</f>
        <v>India</v>
      </c>
      <c r="G45" s="35" t="str">
        <f>IF(ISBLANK(태깅기획site_code!B44),"",태깅기획site_code!F44)</f>
        <v>in</v>
      </c>
      <c r="H45" s="43">
        <f>IF(ISBLANK(태깅기획site_code!F44),"",IF(고객법인일정파일!Q44="X","X",고객법인일정파일!R44))</f>
        <v>46038</v>
      </c>
      <c r="I45" s="32">
        <f>IF(ISBLANK(태깅기획site_code!F44),"",IF(고객법인일정파일!Q44="X","",고객법인일정파일!S44))</f>
        <v>46044</v>
      </c>
      <c r="J45" s="41"/>
      <c r="K45" s="43">
        <v>45764</v>
      </c>
      <c r="L45" s="39">
        <v>45772</v>
      </c>
      <c r="M45" s="40" t="str">
        <f>IF(D45="","",VLOOKUP(D45,고객법인일정파일!$C$5:$J$200,8,0))&amp;""</f>
        <v/>
      </c>
      <c r="N45" s="38" t="str" cm="1">
        <f t="array" ref="N45">_xlfn.TEXTJOIN(CHAR(10), 1, _xlfn._xlws.FILTER('RAW_URL,PageName'!D$2:D$999, ('RAW_URL,PageName'!$C$2:$C$999=$G45)*('RAW_URL,PageName'!$B$2:$B$999="TY"), ""))</f>
        <v/>
      </c>
      <c r="O45" s="33" t="str" cm="1">
        <f t="array" ref="O45">_xlfn.TEXTJOIN(CHAR(10), 1, _xlfn._xlws.FILTER('RAW_URL,PageName'!E$2:E$999, ('RAW_URL,PageName'!$C$2:$C$999=$G45)*('RAW_URL,PageName'!$B$2:$B$999="TY"), ""))</f>
        <v/>
      </c>
      <c r="P45" s="36" t="str" cm="1">
        <f t="array" ref="P45">_xlfn.TEXTJOIN(CHAR(10), 1, _xlfn._xlws.FILTER('RAW_URL,PageName'!F$2:F$999, ('RAW_URL,PageName'!$C$2:$C$999=$G45)*('RAW_URL,PageName'!$B$2:$B$999="TY"), ""))</f>
        <v/>
      </c>
      <c r="Q45" s="38" t="str" cm="1">
        <f t="array" ref="Q45">_xlfn.TEXTJOIN(CHAR(10), 1, _xlfn._xlws.FILTER('RAW_URL,PageName'!D$2:D$999, ('RAW_URL,PageName'!$C$2:$C$999=$G45)*('RAW_URL,PageName'!$B$2:$B$999="LY"), ""))</f>
        <v/>
      </c>
      <c r="R45" s="33" t="str" cm="1">
        <f t="array" ref="R45">_xlfn.TEXTJOIN(CHAR(10), 1, _xlfn._xlws.FILTER('RAW_URL,PageName'!E$2:E$999, ('RAW_URL,PageName'!$C$2:$C$999=$G45)*('RAW_URL,PageName'!$B$2:$B$999="LY"), ""))</f>
        <v/>
      </c>
      <c r="S45" s="56" t="str" cm="1">
        <f t="array" ref="S45">_xlfn.TEXTJOIN(CHAR(10), 1, _xlfn._xlws.FILTER('RAW_URL,PageName'!F$2:F$999, ('RAW_URL,PageName'!$C$2:$C$999=$G45)*('RAW_URL,PageName'!$B$2:$B$999="LY"), ""))</f>
        <v/>
      </c>
      <c r="T45" s="116"/>
      <c r="U45" s="116">
        <f>IFERROR(VLOOKUP($C45,태깅기획site_code!$N$4:$O$18,2,0),"")</f>
        <v>5</v>
      </c>
      <c r="V45" s="1"/>
      <c r="W45" s="45">
        <v>2</v>
      </c>
      <c r="X45" s="31" t="str">
        <v>CIS</v>
      </c>
      <c r="Y45" s="31" t="str">
        <v>XADCAD</v>
      </c>
      <c r="Z45" s="31" t="str">
        <v>Kazakhstan</v>
      </c>
      <c r="AA45" s="31" t="str">
        <v>Kazakhstan</v>
      </c>
      <c r="AB45" s="46" t="str">
        <v>kz_ru</v>
      </c>
      <c r="AC45" s="48">
        <v>46054</v>
      </c>
      <c r="AD45" s="32">
        <v>46064</v>
      </c>
      <c r="AE45" s="86">
        <f>IF(AD45="","",IF(IF(AD45&gt;api용!D$2,api용!D$2,AD45)&lt;AC45,"",IF(AD45&gt;api용!D$2,api용!D$2,AD45)))</f>
        <v>46064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2:50" ht="48" customHeight="1">
      <c r="B46" s="45">
        <f>IF($G46="","",IFERROR(VLOOKUP($G46,RAW_tier!$B$2:$C$200,2,0),2))</f>
        <v>2</v>
      </c>
      <c r="C46" s="31" t="str">
        <f>IF(ISBLANK(태깅기획site_code!F45),"",태깅기획site_code!C45)</f>
        <v>MENA</v>
      </c>
      <c r="D46" s="31" t="str">
        <f>IF(ISBLANK(태깅기획site_code!F45),"",IF(고객법인일정파일!P45="한총","SEC",IF(LEN(TRIM(고객법인일정파일!P45))=0,태깅기획site_code!D45,고객법인일정파일!P45)))</f>
        <v>XADLV</v>
      </c>
      <c r="E46" s="31" t="str">
        <f>IF(ISBLANK(태깅기획site_code!F45),"",태깅기획site_code!E45)</f>
        <v>Iraq</v>
      </c>
      <c r="F46" s="31" t="str">
        <f>IF(ISBLANK(태깅기획site_code!F45),"",태깅기획site_code!J45)</f>
        <v>Iraq</v>
      </c>
      <c r="G46" s="35" t="str">
        <f>IF(ISBLANK(태깅기획site_code!B45),"",태깅기획site_code!F45)</f>
        <v>iq_ar</v>
      </c>
      <c r="H46" s="43" t="str">
        <f>IF(ISBLANK(태깅기획site_code!F45),"",IF(고객법인일정파일!Q45="X","X",고객법인일정파일!R45))</f>
        <v>TBC</v>
      </c>
      <c r="I46" s="32" t="str">
        <f>IF(ISBLANK(태깅기획site_code!F45),"",IF(고객법인일정파일!Q45="X","",고객법인일정파일!S45))</f>
        <v>TBC</v>
      </c>
      <c r="J46" s="41"/>
      <c r="K46" s="43" t="s">
        <v>19</v>
      </c>
      <c r="L46" s="39" t="s">
        <v>19</v>
      </c>
      <c r="M46" s="40" t="str">
        <f>IF(D46="","",VLOOKUP(D46,고객법인일정파일!$C$5:$J$200,8,0))&amp;""</f>
        <v>Note1-test XADPOL</v>
      </c>
      <c r="N46" s="38" t="str" cm="1">
        <f t="array" ref="N46">_xlfn.TEXTJOIN(CHAR(10), 1, _xlfn._xlws.FILTER('RAW_URL,PageName'!D$2:D$999, ('RAW_URL,PageName'!$C$2:$C$999=$G46)*('RAW_URL,PageName'!$B$2:$B$999="TY"), ""))</f>
        <v/>
      </c>
      <c r="O46" s="33" t="str" cm="1">
        <f t="array" ref="O46">_xlfn.TEXTJOIN(CHAR(10), 1, _xlfn._xlws.FILTER('RAW_URL,PageName'!E$2:E$999, ('RAW_URL,PageName'!$C$2:$C$999=$G46)*('RAW_URL,PageName'!$B$2:$B$999="TY"), ""))</f>
        <v/>
      </c>
      <c r="P46" s="36" t="str" cm="1">
        <f t="array" ref="P46">_xlfn.TEXTJOIN(CHAR(10), 1, _xlfn._xlws.FILTER('RAW_URL,PageName'!F$2:F$999, ('RAW_URL,PageName'!$C$2:$C$999=$G46)*('RAW_URL,PageName'!$B$2:$B$999="TY"), ""))</f>
        <v/>
      </c>
      <c r="Q46" s="38" t="str" cm="1">
        <f t="array" ref="Q46">_xlfn.TEXTJOIN(CHAR(10), 1, _xlfn._xlws.FILTER('RAW_URL,PageName'!D$2:D$999, ('RAW_URL,PageName'!$C$2:$C$999=$G46)*('RAW_URL,PageName'!$B$2:$B$999="LY"), ""))</f>
        <v/>
      </c>
      <c r="R46" s="33" t="str" cm="1">
        <f t="array" ref="R46">_xlfn.TEXTJOIN(CHAR(10), 1, _xlfn._xlws.FILTER('RAW_URL,PageName'!E$2:E$999, ('RAW_URL,PageName'!$C$2:$C$999=$G46)*('RAW_URL,PageName'!$B$2:$B$999="LY"), ""))</f>
        <v/>
      </c>
      <c r="S46" s="56" t="str" cm="1">
        <f t="array" ref="S46">_xlfn.TEXTJOIN(CHAR(10), 1, _xlfn._xlws.FILTER('RAW_URL,PageName'!F$2:F$999, ('RAW_URL,PageName'!$C$2:$C$999=$G46)*('RAW_URL,PageName'!$B$2:$B$999="LY"), ""))</f>
        <v/>
      </c>
      <c r="T46" s="116"/>
      <c r="U46" s="116">
        <f>IFERROR(VLOOKUP($C46,태깅기획site_code!$N$4:$O$18,2,0),"")</f>
        <v>6</v>
      </c>
      <c r="V46" s="1"/>
      <c r="W46" s="45">
        <v>2</v>
      </c>
      <c r="X46" s="31" t="str">
        <v>L.America</v>
      </c>
      <c r="Y46" s="31" t="str">
        <v>XADLU</v>
      </c>
      <c r="Z46" s="31" t="str">
        <v>Panama</v>
      </c>
      <c r="AA46" s="31" t="str">
        <v>Panama (Spanish)</v>
      </c>
      <c r="AB46" s="46" t="str">
        <v>latin</v>
      </c>
      <c r="AC46" s="48">
        <v>46042</v>
      </c>
      <c r="AD46" s="32">
        <v>46063</v>
      </c>
      <c r="AE46" s="86">
        <f>IF(AD46="","",IF(IF(AD46&gt;api용!D$2,api용!D$2,AD46)&lt;AC46,"",IF(AD46&gt;api용!D$2,api용!D$2,AD46)))</f>
        <v>46063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2:50" ht="48" customHeight="1">
      <c r="B47" s="45">
        <f>IF($G47="","",IFERROR(VLOOKUP($G47,RAW_tier!$B$2:$C$200,2,0),2))</f>
        <v>2</v>
      </c>
      <c r="C47" s="31" t="str">
        <f>IF(ISBLANK(태깅기획site_code!F46),"",태깅기획site_code!C46)</f>
        <v>MENA</v>
      </c>
      <c r="D47" s="31" t="str">
        <f>IF(ISBLANK(태깅기획site_code!F46),"",IF(고객법인일정파일!P46="한총","SEC",IF(LEN(TRIM(고객법인일정파일!P46))=0,태깅기획site_code!D46,고객법인일정파일!P46)))</f>
        <v>XADLV</v>
      </c>
      <c r="E47" s="31" t="str">
        <f>IF(ISBLANK(태깅기획site_code!F46),"",태깅기획site_code!E46)</f>
        <v>Iraq</v>
      </c>
      <c r="F47" s="31" t="str">
        <f>IF(ISBLANK(태깅기획site_code!F46),"",태깅기획site_code!J46)</f>
        <v>Kurdistan</v>
      </c>
      <c r="G47" s="35" t="str">
        <f>IF(ISBLANK(태깅기획site_code!B46),"",태깅기획site_code!F46)</f>
        <v>iq_ku</v>
      </c>
      <c r="H47" s="43" t="str">
        <f>IF(ISBLANK(태깅기획site_code!F46),"",IF(고객법인일정파일!Q46="X","X",고객법인일정파일!R46))</f>
        <v>TBC</v>
      </c>
      <c r="I47" s="32" t="str">
        <f>IF(ISBLANK(태깅기획site_code!F46),"",IF(고객법인일정파일!Q46="X","",고객법인일정파일!S46))</f>
        <v>TBC</v>
      </c>
      <c r="J47" s="41"/>
      <c r="K47" s="43" t="s">
        <v>19</v>
      </c>
      <c r="L47" s="39" t="s">
        <v>19</v>
      </c>
      <c r="M47" s="40" t="str">
        <f>IF(D47="","",VLOOKUP(D47,고객법인일정파일!$C$5:$J$200,8,0))&amp;""</f>
        <v>Note1-test XADPOL</v>
      </c>
      <c r="N47" s="38" t="str" cm="1">
        <f t="array" ref="N47">_xlfn.TEXTJOIN(CHAR(10), 1, _xlfn._xlws.FILTER('RAW_URL,PageName'!D$2:D$999, ('RAW_URL,PageName'!$C$2:$C$999=$G47)*('RAW_URL,PageName'!$B$2:$B$999="TY"), ""))</f>
        <v/>
      </c>
      <c r="O47" s="33" t="str" cm="1">
        <f t="array" ref="O47">_xlfn.TEXTJOIN(CHAR(10), 1, _xlfn._xlws.FILTER('RAW_URL,PageName'!E$2:E$999, ('RAW_URL,PageName'!$C$2:$C$999=$G47)*('RAW_URL,PageName'!$B$2:$B$999="TY"), ""))</f>
        <v/>
      </c>
      <c r="P47" s="36" t="str" cm="1">
        <f t="array" ref="P47">_xlfn.TEXTJOIN(CHAR(10), 1, _xlfn._xlws.FILTER('RAW_URL,PageName'!F$2:F$999, ('RAW_URL,PageName'!$C$2:$C$999=$G47)*('RAW_URL,PageName'!$B$2:$B$999="TY"), ""))</f>
        <v/>
      </c>
      <c r="Q47" s="38" t="str" cm="1">
        <f t="array" ref="Q47">_xlfn.TEXTJOIN(CHAR(10), 1, _xlfn._xlws.FILTER('RAW_URL,PageName'!D$2:D$999, ('RAW_URL,PageName'!$C$2:$C$999=$G47)*('RAW_URL,PageName'!$B$2:$B$999="LY"), ""))</f>
        <v/>
      </c>
      <c r="R47" s="33" t="str" cm="1">
        <f t="array" ref="R47">_xlfn.TEXTJOIN(CHAR(10), 1, _xlfn._xlws.FILTER('RAW_URL,PageName'!E$2:E$999, ('RAW_URL,PageName'!$C$2:$C$999=$G47)*('RAW_URL,PageName'!$B$2:$B$999="LY"), ""))</f>
        <v/>
      </c>
      <c r="S47" s="56" t="str" cm="1">
        <f t="array" ref="S47">_xlfn.TEXTJOIN(CHAR(10), 1, _xlfn._xlws.FILTER('RAW_URL,PageName'!F$2:F$999, ('RAW_URL,PageName'!$C$2:$C$999=$G47)*('RAW_URL,PageName'!$B$2:$B$999="LY"), ""))</f>
        <v/>
      </c>
      <c r="T47" s="116"/>
      <c r="U47" s="116">
        <f>IFERROR(VLOOKUP($C47,태깅기획site_code!$N$4:$O$18,2,0),"")</f>
        <v>6</v>
      </c>
      <c r="V47" s="1"/>
      <c r="W47" s="45">
        <v>2</v>
      </c>
      <c r="X47" s="31" t="str">
        <v>L.America</v>
      </c>
      <c r="Y47" s="31" t="str">
        <v>XADLU</v>
      </c>
      <c r="Z47" s="31" t="str">
        <v>Panama</v>
      </c>
      <c r="AA47" s="31" t="str">
        <v>Panama (English)</v>
      </c>
      <c r="AB47" s="46" t="str">
        <v>latin_en</v>
      </c>
      <c r="AC47" s="48">
        <v>46042</v>
      </c>
      <c r="AD47" s="32">
        <v>46063</v>
      </c>
      <c r="AE47" s="86">
        <f>IF(AD47="","",IF(IF(AD47&gt;api용!D$2,api용!D$2,AD47)&lt;AC47,"",IF(AD47&gt;api용!D$2,api용!D$2,AD47)))</f>
        <v>46063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2:50">
      <c r="B48" s="45">
        <f>IF($G48="","",IFERROR(VLOOKUP($G48,RAW_tier!$B$2:$C$200,2,0),2))</f>
        <v>2</v>
      </c>
      <c r="C48" s="31" t="str">
        <f>IF(ISBLANK(태깅기획site_code!F47),"",태깅기획site_code!C47)</f>
        <v>MENA</v>
      </c>
      <c r="D48" s="31" t="str">
        <f>IF(ISBLANK(태깅기획site_code!F47),"",IF(고객법인일정파일!P47="한총","SEC",IF(LEN(TRIM(고객법인일정파일!P47))=0,태깅기획site_code!D47,고객법인일정파일!P47)))</f>
        <v>IrUn</v>
      </c>
      <c r="E48" s="31" t="str">
        <f>IF(ISBLANK(태깅기획site_code!F47),"",태깅기획site_code!E47)</f>
        <v>iran</v>
      </c>
      <c r="F48" s="31" t="str">
        <f>IF(ISBLANK(태깅기획site_code!F47),"",태깅기획site_code!J47)</f>
        <v>Iran</v>
      </c>
      <c r="G48" s="35" t="str">
        <f>IF(ISBLANK(태깅기획site_code!B47),"",태깅기획site_code!F47)</f>
        <v>iran</v>
      </c>
      <c r="H48" s="43" t="str">
        <f>IF(ISBLANK(태깅기획site_code!F47),"",IF(고객법인일정파일!Q47="X","X",고객법인일정파일!R47))</f>
        <v/>
      </c>
      <c r="I48" s="32" t="str">
        <f>IF(ISBLANK(태깅기획site_code!F47),"",IF(고객법인일정파일!Q47="X","",고객법인일정파일!S47))</f>
        <v/>
      </c>
      <c r="J48" s="41"/>
      <c r="K48" s="43" t="s">
        <v>19</v>
      </c>
      <c r="L48" s="39" t="s">
        <v>19</v>
      </c>
      <c r="M48" s="40" t="e">
        <f>IF(D48="","",VLOOKUP(D48,고객법인일정파일!$C$5:$J$200,8,0))&amp;""</f>
        <v>#N/A</v>
      </c>
      <c r="N48" s="38" t="str" cm="1">
        <f t="array" ref="N48">_xlfn.TEXTJOIN(CHAR(10), 1, _xlfn._xlws.FILTER('RAW_URL,PageName'!D$2:D$999, ('RAW_URL,PageName'!$C$2:$C$999=$G48)*('RAW_URL,PageName'!$B$2:$B$999="TY"), ""))</f>
        <v/>
      </c>
      <c r="O48" s="33" t="str" cm="1">
        <f t="array" ref="O48">_xlfn.TEXTJOIN(CHAR(10), 1, _xlfn._xlws.FILTER('RAW_URL,PageName'!E$2:E$999, ('RAW_URL,PageName'!$C$2:$C$999=$G48)*('RAW_URL,PageName'!$B$2:$B$999="TY"), ""))</f>
        <v/>
      </c>
      <c r="P48" s="36" t="str" cm="1">
        <f t="array" ref="P48">_xlfn.TEXTJOIN(CHAR(10), 1, _xlfn._xlws.FILTER('RAW_URL,PageName'!F$2:F$999, ('RAW_URL,PageName'!$C$2:$C$999=$G48)*('RAW_URL,PageName'!$B$2:$B$999="TY"), ""))</f>
        <v/>
      </c>
      <c r="Q48" s="38" t="str" cm="1">
        <f t="array" ref="Q48">_xlfn.TEXTJOIN(CHAR(10), 1, _xlfn._xlws.FILTER('RAW_URL,PageName'!D$2:D$999, ('RAW_URL,PageName'!$C$2:$C$999=$G48)*('RAW_URL,PageName'!$B$2:$B$999="LY"), ""))</f>
        <v/>
      </c>
      <c r="R48" s="33" t="str" cm="1">
        <f t="array" ref="R48">_xlfn.TEXTJOIN(CHAR(10), 1, _xlfn._xlws.FILTER('RAW_URL,PageName'!E$2:E$999, ('RAW_URL,PageName'!$C$2:$C$999=$G48)*('RAW_URL,PageName'!$B$2:$B$999="LY"), ""))</f>
        <v/>
      </c>
      <c r="S48" s="56" t="str" cm="1">
        <f t="array" ref="S48">_xlfn.TEXTJOIN(CHAR(10), 1, _xlfn._xlws.FILTER('RAW_URL,PageName'!F$2:F$999, ('RAW_URL,PageName'!$C$2:$C$999=$G48)*('RAW_URL,PageName'!$B$2:$B$999="LY"), ""))</f>
        <v/>
      </c>
      <c r="T48" s="116"/>
      <c r="U48" s="116">
        <f>IFERROR(VLOOKUP($C48,태깅기획site_code!$N$4:$O$18,2,0),"")</f>
        <v>6</v>
      </c>
      <c r="V48" s="1"/>
      <c r="W48" s="45">
        <v>2</v>
      </c>
      <c r="X48" s="31" t="str">
        <v>MENA</v>
      </c>
      <c r="Y48" s="31" t="str">
        <v>XADLV</v>
      </c>
      <c r="Z48" s="31" t="str">
        <v>Lebanon</v>
      </c>
      <c r="AA48" s="31" t="str">
        <v>Lebanon</v>
      </c>
      <c r="AB48" s="46" t="str">
        <v>lb</v>
      </c>
      <c r="AC48" s="48" t="str">
        <v>TBC</v>
      </c>
      <c r="AD48" s="32" t="str">
        <v>TBC</v>
      </c>
      <c r="AE48" s="86" t="str">
        <f>IF(AD48="","",IF(IF(AD48&gt;api용!D$2,api용!D$2,AD48)&lt;AC48,"",IF(AD48&gt;api용!D$2,api용!D$2,AD48)))</f>
        <v/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2:50">
      <c r="B49" s="45">
        <f>IF($G49="","",IFERROR(VLOOKUP($G49,RAW_tier!$B$2:$C$200,2,0),2))</f>
        <v>2</v>
      </c>
      <c r="C49" s="31" t="str">
        <f>IF(ISBLANK(태깅기획site_code!F48),"",태깅기획site_code!C48)</f>
        <v>EU</v>
      </c>
      <c r="D49" s="31" t="str">
        <f>IF(ISBLANK(태깅기획site_code!F48),"",IF(고객법인일정파일!P48="한총","SEC",IF(LEN(TRIM(고객법인일정파일!P48))=0,태깅기획site_code!D48,고객법인일정파일!P48)))</f>
        <v>XADI</v>
      </c>
      <c r="E49" s="31" t="str">
        <f>IF(ISBLANK(태깅기획site_code!F48),"",태깅기획site_code!E48)</f>
        <v>Italy</v>
      </c>
      <c r="F49" s="31" t="str">
        <f>IF(ISBLANK(태깅기획site_code!F48),"",태깅기획site_code!J48)</f>
        <v>Italy</v>
      </c>
      <c r="G49" s="35" t="str">
        <f>IF(ISBLANK(태깅기획site_code!B48),"",태깅기획site_code!F48)</f>
        <v>it</v>
      </c>
      <c r="H49" s="43">
        <f>IF(ISBLANK(태깅기획site_code!F48),"",IF(고객법인일정파일!Q48="X","X",고객법인일정파일!R48))</f>
        <v>46050</v>
      </c>
      <c r="I49" s="32">
        <f>IF(ISBLANK(태깅기획site_code!F48),"",IF(고객법인일정파일!Q48="X","",고객법인일정파일!S48))</f>
        <v>46064</v>
      </c>
      <c r="J49" s="41"/>
      <c r="K49" s="43">
        <v>45775</v>
      </c>
      <c r="L49" s="39">
        <v>45788</v>
      </c>
      <c r="M49" s="40" t="str">
        <f>IF(D49="","",VLOOKUP(D49,고객법인일정파일!$C$5:$J$200,8,0))&amp;""</f>
        <v/>
      </c>
      <c r="N49" s="38" t="str" cm="1">
        <f t="array" ref="N49">_xlfn.TEXTJOIN(CHAR(10), 1, _xlfn._xlws.FILTER('RAW_URL,PageName'!D$2:D$999, ('RAW_URL,PageName'!$C$2:$C$999=$G49)*('RAW_URL,PageName'!$B$2:$B$999="TY"), ""))</f>
        <v/>
      </c>
      <c r="O49" s="33" t="str" cm="1">
        <f t="array" ref="O49">_xlfn.TEXTJOIN(CHAR(10), 1, _xlfn._xlws.FILTER('RAW_URL,PageName'!E$2:E$999, ('RAW_URL,PageName'!$C$2:$C$999=$G49)*('RAW_URL,PageName'!$B$2:$B$999="TY"), ""))</f>
        <v/>
      </c>
      <c r="P49" s="36" t="str" cm="1">
        <f t="array" ref="P49">_xlfn.TEXTJOIN(CHAR(10), 1, _xlfn._xlws.FILTER('RAW_URL,PageName'!F$2:F$999, ('RAW_URL,PageName'!$C$2:$C$999=$G49)*('RAW_URL,PageName'!$B$2:$B$999="TY"), ""))</f>
        <v/>
      </c>
      <c r="Q49" s="38" t="str" cm="1">
        <f t="array" ref="Q49">_xlfn.TEXTJOIN(CHAR(10), 1, _xlfn._xlws.FILTER('RAW_URL,PageName'!D$2:D$999, ('RAW_URL,PageName'!$C$2:$C$999=$G49)*('RAW_URL,PageName'!$B$2:$B$999="LY"), ""))</f>
        <v/>
      </c>
      <c r="R49" s="33" t="str" cm="1">
        <f t="array" ref="R49">_xlfn.TEXTJOIN(CHAR(10), 1, _xlfn._xlws.FILTER('RAW_URL,PageName'!E$2:E$999, ('RAW_URL,PageName'!$C$2:$C$999=$G49)*('RAW_URL,PageName'!$B$2:$B$999="LY"), ""))</f>
        <v/>
      </c>
      <c r="S49" s="56" t="str" cm="1">
        <f t="array" ref="S49">_xlfn.TEXTJOIN(CHAR(10), 1, _xlfn._xlws.FILTER('RAW_URL,PageName'!F$2:F$999, ('RAW_URL,PageName'!$C$2:$C$999=$G49)*('RAW_URL,PageName'!$B$2:$B$999="LY"), ""))</f>
        <v/>
      </c>
      <c r="T49" s="116"/>
      <c r="U49" s="116">
        <f>IFERROR(VLOOKUP($C49,태깅기획site_code!$N$4:$O$18,2,0),"")</f>
        <v>2</v>
      </c>
      <c r="V49" s="1"/>
      <c r="W49" s="45">
        <v>2</v>
      </c>
      <c r="X49" s="31" t="str">
        <v>MENA</v>
      </c>
      <c r="Y49" s="31" t="str">
        <v>XADLV</v>
      </c>
      <c r="Z49" s="31" t="str">
        <v>Jordan</v>
      </c>
      <c r="AA49" s="31" t="str">
        <v>LEVANT</v>
      </c>
      <c r="AB49" s="46" t="str">
        <v>levant</v>
      </c>
      <c r="AC49" s="48" t="str">
        <v>TBC</v>
      </c>
      <c r="AD49" s="32" t="str">
        <v>TBC</v>
      </c>
      <c r="AE49" s="86" t="str">
        <f>IF(AD49="","",IF(IF(AD49&gt;api용!D$2,api용!D$2,AD49)&lt;AC49,"",IF(AD49&gt;api용!D$2,api용!D$2,AD49)))</f>
        <v/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2:50" ht="36" customHeight="1">
      <c r="B50" s="45">
        <f>IF($G50="","",IFERROR(VLOOKUP($G50,RAW_tier!$B$2:$C$200,2,0),2))</f>
        <v>1</v>
      </c>
      <c r="C50" s="31" t="str">
        <f>IF(ISBLANK(태깅기획site_code!F49),"",태깅기획site_code!C49)</f>
        <v>Japan</v>
      </c>
      <c r="D50" s="31" t="str">
        <f>IF(ISBLANK(태깅기획site_code!F49),"",IF(고객법인일정파일!P49="한총","SEC",IF(LEN(TRIM(고객법인일정파일!P49))=0,태깅기획site_code!D49,고객법인일정파일!P49)))</f>
        <v>XADJ</v>
      </c>
      <c r="E50" s="31" t="str">
        <f>IF(ISBLANK(태깅기획site_code!F49),"",태깅기획site_code!E49)</f>
        <v>Japan</v>
      </c>
      <c r="F50" s="31" t="str">
        <f>IF(ISBLANK(태깅기획site_code!F49),"",태깅기획site_code!J49)</f>
        <v>Japan</v>
      </c>
      <c r="G50" s="35" t="str">
        <f>IF(ISBLANK(태깅기획site_code!B49),"",태깅기획site_code!F49)</f>
        <v>jp</v>
      </c>
      <c r="H50" s="43" t="str">
        <f>IF(ISBLANK(태깅기획site_code!F49),"",IF(고객법인일정파일!Q49="X","X",고객법인일정파일!R49))</f>
        <v>X</v>
      </c>
      <c r="I50" s="32" t="str">
        <f>IF(ISBLANK(태깅기획site_code!F49),"",IF(고객법인일정파일!Q49="X","",고객법인일정파일!S49))</f>
        <v/>
      </c>
      <c r="J50" s="41"/>
      <c r="K50" s="43" t="s">
        <v>19</v>
      </c>
      <c r="L50" s="39" t="s">
        <v>19</v>
      </c>
      <c r="M50" s="40" t="str">
        <f>IF(D50="","",VLOOKUP(D50,고객법인일정파일!$C$5:$J$200,8,0))&amp;""</f>
        <v>Note1-test TotUl</v>
      </c>
      <c r="N50" s="38" t="str" cm="1">
        <f t="array" ref="N50">_xlfn.TEXTJOIN(CHAR(10), 1, _xlfn._xlws.FILTER('RAW_URL,PageName'!D$2:D$999, ('RAW_URL,PageName'!$C$2:$C$999=$G50)*('RAW_URL,PageName'!$B$2:$B$999="TY"), ""))</f>
        <v/>
      </c>
      <c r="O50" s="33" t="str" cm="1">
        <f t="array" ref="O50">_xlfn.TEXTJOIN(CHAR(10), 1, _xlfn._xlws.FILTER('RAW_URL,PageName'!E$2:E$999, ('RAW_URL,PageName'!$C$2:$C$999=$G50)*('RAW_URL,PageName'!$B$2:$B$999="TY"), ""))</f>
        <v/>
      </c>
      <c r="P50" s="36" t="str" cm="1">
        <f t="array" ref="P50">_xlfn.TEXTJOIN(CHAR(10), 1, _xlfn._xlws.FILTER('RAW_URL,PageName'!F$2:F$999, ('RAW_URL,PageName'!$C$2:$C$999=$G50)*('RAW_URL,PageName'!$B$2:$B$999="TY"), ""))</f>
        <v/>
      </c>
      <c r="Q50" s="38" t="str" cm="1">
        <f t="array" ref="Q50">_xlfn.TEXTJOIN(CHAR(10), 1, _xlfn._xlws.FILTER('RAW_URL,PageName'!D$2:D$999, ('RAW_URL,PageName'!$C$2:$C$999=$G50)*('RAW_URL,PageName'!$B$2:$B$999="LY"), ""))</f>
        <v/>
      </c>
      <c r="R50" s="33" t="str" cm="1">
        <f t="array" ref="R50">_xlfn.TEXTJOIN(CHAR(10), 1, _xlfn._xlws.FILTER('RAW_URL,PageName'!E$2:E$999, ('RAW_URL,PageName'!$C$2:$C$999=$G50)*('RAW_URL,PageName'!$B$2:$B$999="LY"), ""))</f>
        <v/>
      </c>
      <c r="S50" s="56" t="str" cm="1">
        <f t="array" ref="S50">_xlfn.TEXTJOIN(CHAR(10), 1, _xlfn._xlws.FILTER('RAW_URL,PageName'!F$2:F$999, ('RAW_URL,PageName'!$C$2:$C$999=$G50)*('RAW_URL,PageName'!$B$2:$B$999="LY"), ""))</f>
        <v/>
      </c>
      <c r="T50" s="116"/>
      <c r="U50" s="116">
        <f>IFERROR(VLOOKUP($C50,태깅기획site_code!$N$4:$O$18,2,0),"")</f>
        <v>10</v>
      </c>
      <c r="V50" s="1"/>
      <c r="W50" s="45">
        <v>2</v>
      </c>
      <c r="X50" s="31" t="str">
        <v>MENA</v>
      </c>
      <c r="Y50" s="31" t="str">
        <v>XADLV</v>
      </c>
      <c r="Z50" s="31" t="str">
        <v>Jordan</v>
      </c>
      <c r="AA50" s="31" t="str">
        <v>LEVANT (ar)</v>
      </c>
      <c r="AB50" s="46" t="str">
        <v>levant_ar</v>
      </c>
      <c r="AC50" s="48" t="str">
        <v>TBC</v>
      </c>
      <c r="AD50" s="32" t="str">
        <v>TBC</v>
      </c>
      <c r="AE50" s="86" t="str">
        <f>IF(AD50="","",IF(IF(AD50&gt;api용!D$2,api용!D$2,AD50)&lt;AC50,"",IF(AD50&gt;api용!D$2,api용!D$2,AD50)))</f>
        <v/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2:50">
      <c r="B51" s="45">
        <f>IF($G51="","",IFERROR(VLOOKUP($G51,RAW_tier!$B$2:$C$200,2,0),2))</f>
        <v>2</v>
      </c>
      <c r="C51" s="31" t="str">
        <f>IF(ISBLANK(태깅기획site_code!F50),"",태깅기획site_code!C50)</f>
        <v>CIS</v>
      </c>
      <c r="D51" s="31" t="str">
        <f>IF(ISBLANK(태깅기획site_code!F50),"",IF(고객법인일정파일!P50="한총","SEC",IF(LEN(TRIM(고객법인일정파일!P50))=0,태깅기획site_code!D50,고객법인일정파일!P50)))</f>
        <v>XADCAD</v>
      </c>
      <c r="E51" s="31" t="str">
        <f>IF(ISBLANK(태깅기획site_code!F50),"",태깅기획site_code!E50)</f>
        <v>Kazakhstan</v>
      </c>
      <c r="F51" s="31" t="str">
        <f>IF(ISBLANK(태깅기획site_code!F50),"",태깅기획site_code!J50)</f>
        <v>Kazakhstan (Kazakh)</v>
      </c>
      <c r="G51" s="35" t="str">
        <f>IF(ISBLANK(태깅기획site_code!B50),"",태깅기획site_code!F50)</f>
        <v>kz_kz</v>
      </c>
      <c r="H51" s="43">
        <f>IF(ISBLANK(태깅기획site_code!F50),"",IF(고객법인일정파일!Q50="X","X",고객법인일정파일!R50))</f>
        <v>46054</v>
      </c>
      <c r="I51" s="32">
        <f>IF(ISBLANK(태깅기획site_code!F50),"",IF(고객법인일정파일!Q50="X","",고객법인일정파일!S50))</f>
        <v>46064</v>
      </c>
      <c r="J51" s="41"/>
      <c r="K51" s="43"/>
      <c r="L51" s="39"/>
      <c r="M51" s="40" t="str">
        <f>IF(D51="","",VLOOKUP(D51,고객법인일정파일!$C$5:$J$200,8,0))&amp;""</f>
        <v/>
      </c>
      <c r="N51" s="38" t="str" cm="1">
        <f t="array" ref="N51">_xlfn.TEXTJOIN(CHAR(10), 1, _xlfn._xlws.FILTER('RAW_URL,PageName'!D$2:D$999, ('RAW_URL,PageName'!$C$2:$C$999=$G51)*('RAW_URL,PageName'!$B$2:$B$999="TY"), ""))</f>
        <v/>
      </c>
      <c r="O51" s="33" t="str" cm="1">
        <f t="array" ref="O51">_xlfn.TEXTJOIN(CHAR(10), 1, _xlfn._xlws.FILTER('RAW_URL,PageName'!E$2:E$999, ('RAW_URL,PageName'!$C$2:$C$999=$G51)*('RAW_URL,PageName'!$B$2:$B$999="TY"), ""))</f>
        <v/>
      </c>
      <c r="P51" s="36" t="str" cm="1">
        <f t="array" ref="P51">_xlfn.TEXTJOIN(CHAR(10), 1, _xlfn._xlws.FILTER('RAW_URL,PageName'!F$2:F$999, ('RAW_URL,PageName'!$C$2:$C$999=$G51)*('RAW_URL,PageName'!$B$2:$B$999="TY"), ""))</f>
        <v/>
      </c>
      <c r="Q51" s="38" t="str" cm="1">
        <f t="array" ref="Q51">_xlfn.TEXTJOIN(CHAR(10), 1, _xlfn._xlws.FILTER('RAW_URL,PageName'!D$2:D$999, ('RAW_URL,PageName'!$C$2:$C$999=$G51)*('RAW_URL,PageName'!$B$2:$B$999="LY"), ""))</f>
        <v/>
      </c>
      <c r="R51" s="33" t="str" cm="1">
        <f t="array" ref="R51">_xlfn.TEXTJOIN(CHAR(10), 1, _xlfn._xlws.FILTER('RAW_URL,PageName'!E$2:E$999, ('RAW_URL,PageName'!$C$2:$C$999=$G51)*('RAW_URL,PageName'!$B$2:$B$999="LY"), ""))</f>
        <v/>
      </c>
      <c r="S51" s="56" t="str" cm="1">
        <f t="array" ref="S51">_xlfn.TEXTJOIN(CHAR(10), 1, _xlfn._xlws.FILTER('RAW_URL,PageName'!F$2:F$999, ('RAW_URL,PageName'!$C$2:$C$999=$G51)*('RAW_URL,PageName'!$B$2:$B$999="LY"), ""))</f>
        <v/>
      </c>
      <c r="T51" s="116"/>
      <c r="U51" s="116">
        <f>IFERROR(VLOOKUP($C51,태깅기획site_code!$N$4:$O$18,2,0),"")</f>
        <v>7</v>
      </c>
      <c r="V51" s="1"/>
      <c r="W51" s="45">
        <v>2</v>
      </c>
      <c r="X51" s="31" t="str">
        <v>EU</v>
      </c>
      <c r="Y51" s="31" t="str">
        <v>XADUD</v>
      </c>
      <c r="Z51" s="31" t="str">
        <v>Macedonia</v>
      </c>
      <c r="AA51" s="31" t="str">
        <v>Macedonia</v>
      </c>
      <c r="AB51" s="46" t="str">
        <v>mk</v>
      </c>
      <c r="AC51" s="48" t="str">
        <v>X</v>
      </c>
      <c r="AD51" s="32" t="str">
        <v/>
      </c>
      <c r="AE51" s="86" t="str">
        <f>IF(AD51="","",IF(IF(AD51&gt;api용!D$2,api용!D$2,AD51)&lt;AC51,"",IF(AD51&gt;api용!D$2,api용!D$2,AD51)))</f>
        <v/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2:50">
      <c r="B52" s="45">
        <f>IF($G52="","",IFERROR(VLOOKUP($G52,RAW_tier!$B$2:$C$200,2,0),2))</f>
        <v>2</v>
      </c>
      <c r="C52" s="31" t="str">
        <f>IF(ISBLANK(태깅기획site_code!F51),"",태깅기획site_code!C51)</f>
        <v>CIS</v>
      </c>
      <c r="D52" s="31" t="str">
        <f>IF(ISBLANK(태깅기획site_code!F51),"",IF(고객법인일정파일!P51="한총","SEC",IF(LEN(TRIM(고객법인일정파일!P51))=0,태깅기획site_code!D51,고객법인일정파일!P51)))</f>
        <v>XADCAD</v>
      </c>
      <c r="E52" s="31" t="str">
        <f>IF(ISBLANK(태깅기획site_code!F51),"",태깅기획site_code!E51)</f>
        <v>Kazakhstan</v>
      </c>
      <c r="F52" s="31" t="str">
        <f>IF(ISBLANK(태깅기획site_code!F51),"",태깅기획site_code!J51)</f>
        <v>Kazakhstan</v>
      </c>
      <c r="G52" s="35" t="str">
        <f>IF(ISBLANK(태깅기획site_code!B51),"",태깅기획site_code!F51)</f>
        <v>kz_ru</v>
      </c>
      <c r="H52" s="43">
        <f>IF(ISBLANK(태깅기획site_code!F51),"",IF(고객법인일정파일!Q51="X","X",고객법인일정파일!R51))</f>
        <v>46054</v>
      </c>
      <c r="I52" s="32">
        <f>IF(ISBLANK(태깅기획site_code!F51),"",IF(고객법인일정파일!Q51="X","",고객법인일정파일!S51))</f>
        <v>46064</v>
      </c>
      <c r="J52" s="41"/>
      <c r="K52" s="43"/>
      <c r="L52" s="39"/>
      <c r="M52" s="40" t="str">
        <f>IF(D52="","",VLOOKUP(D52,고객법인일정파일!$C$5:$J$200,8,0))&amp;""</f>
        <v/>
      </c>
      <c r="N52" s="38" t="str" cm="1">
        <f t="array" ref="N52">_xlfn.TEXTJOIN(CHAR(10), 1, _xlfn._xlws.FILTER('RAW_URL,PageName'!D$2:D$999, ('RAW_URL,PageName'!$C$2:$C$999=$G52)*('RAW_URL,PageName'!$B$2:$B$999="TY"), ""))</f>
        <v/>
      </c>
      <c r="O52" s="33" t="str" cm="1">
        <f t="array" ref="O52">_xlfn.TEXTJOIN(CHAR(10), 1, _xlfn._xlws.FILTER('RAW_URL,PageName'!E$2:E$999, ('RAW_URL,PageName'!$C$2:$C$999=$G52)*('RAW_URL,PageName'!$B$2:$B$999="TY"), ""))</f>
        <v/>
      </c>
      <c r="P52" s="36" t="str" cm="1">
        <f t="array" ref="P52">_xlfn.TEXTJOIN(CHAR(10), 1, _xlfn._xlws.FILTER('RAW_URL,PageName'!F$2:F$999, ('RAW_URL,PageName'!$C$2:$C$999=$G52)*('RAW_URL,PageName'!$B$2:$B$999="TY"), ""))</f>
        <v/>
      </c>
      <c r="Q52" s="38" t="str" cm="1">
        <f t="array" ref="Q52">_xlfn.TEXTJOIN(CHAR(10), 1, _xlfn._xlws.FILTER('RAW_URL,PageName'!D$2:D$999, ('RAW_URL,PageName'!$C$2:$C$999=$G52)*('RAW_URL,PageName'!$B$2:$B$999="LY"), ""))</f>
        <v/>
      </c>
      <c r="R52" s="33" t="str" cm="1">
        <f t="array" ref="R52">_xlfn.TEXTJOIN(CHAR(10), 1, _xlfn._xlws.FILTER('RAW_URL,PageName'!E$2:E$999, ('RAW_URL,PageName'!$C$2:$C$999=$G52)*('RAW_URL,PageName'!$B$2:$B$999="LY"), ""))</f>
        <v/>
      </c>
      <c r="S52" s="56" t="str" cm="1">
        <f t="array" ref="S52">_xlfn.TEXTJOIN(CHAR(10), 1, _xlfn._xlws.FILTER('RAW_URL,PageName'!F$2:F$999, ('RAW_URL,PageName'!$C$2:$C$999=$G52)*('RAW_URL,PageName'!$B$2:$B$999="LY"), ""))</f>
        <v/>
      </c>
      <c r="T52" s="116"/>
      <c r="U52" s="116">
        <f>IFERROR(VLOOKUP($C52,태깅기획site_code!$N$4:$O$18,2,0),"")</f>
        <v>7</v>
      </c>
      <c r="V52" s="1"/>
      <c r="W52" s="45">
        <v>2</v>
      </c>
      <c r="X52" s="31" t="str">
        <v>S.E.Asia</v>
      </c>
      <c r="Y52" s="31" t="str">
        <v>TXAD-TH</v>
      </c>
      <c r="Z52" s="31" t="str">
        <v>Myanmar</v>
      </c>
      <c r="AA52" s="31" t="str">
        <v>Myanmar</v>
      </c>
      <c r="AB52" s="46" t="str">
        <v>mm</v>
      </c>
      <c r="AC52" s="48">
        <v>46243</v>
      </c>
      <c r="AD52" s="32">
        <v>46246</v>
      </c>
      <c r="AE52" s="86" t="str">
        <f>IF(AD52="","",IF(IF(AD52&gt;api용!D$2,api용!D$2,AD52)&lt;AC52,"",IF(AD52&gt;api용!D$2,api용!D$2,AD52)))</f>
        <v/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2:50">
      <c r="B53" s="45">
        <f>IF($G53="","",IFERROR(VLOOKUP($G53,RAW_tier!$B$2:$C$200,2,0),2))</f>
        <v>2</v>
      </c>
      <c r="C53" s="31" t="str">
        <f>IF(ISBLANK(태깅기획site_code!F52),"",태깅기획site_code!C52)</f>
        <v>L.America</v>
      </c>
      <c r="D53" s="31" t="str">
        <f>IF(ISBLANK(태깅기획site_code!F52),"",IF(고객법인일정파일!P52="한총","SEC",IF(LEN(TRIM(고객법인일정파일!P52))=0,태깅기획site_code!D52,고객법인일정파일!P52)))</f>
        <v>XADLU</v>
      </c>
      <c r="E53" s="31" t="str">
        <f>IF(ISBLANK(태깅기획site_code!F52),"",태깅기획site_code!E52)</f>
        <v>Panama</v>
      </c>
      <c r="F53" s="31" t="str">
        <f>IF(ISBLANK(태깅기획site_code!F52),"",태깅기획site_code!J52)</f>
        <v>Panama (Spanish)</v>
      </c>
      <c r="G53" s="35" t="str">
        <f>IF(ISBLANK(태깅기획site_code!B52),"",태깅기획site_code!F52)</f>
        <v>latin</v>
      </c>
      <c r="H53" s="43">
        <f>IF(ISBLANK(태깅기획site_code!F52),"",IF(고객법인일정파일!Q52="X","X",고객법인일정파일!R52))</f>
        <v>46042</v>
      </c>
      <c r="I53" s="32">
        <f>IF(ISBLANK(태깅기획site_code!F52),"",IF(고객법인일정파일!Q52="X","",고객법인일정파일!S52))</f>
        <v>46063</v>
      </c>
      <c r="J53" s="41"/>
      <c r="K53" s="43">
        <v>45767</v>
      </c>
      <c r="L53" s="39">
        <v>45787</v>
      </c>
      <c r="M53" s="40" t="str">
        <f>IF(D53="","",VLOOKUP(D53,고객법인일정파일!$C$5:$J$200,8,0))&amp;""</f>
        <v/>
      </c>
      <c r="N53" s="38" t="str" cm="1">
        <f t="array" ref="N53">_xlfn.TEXTJOIN(CHAR(10), 1, _xlfn._xlws.FILTER('RAW_URL,PageName'!D$2:D$999, ('RAW_URL,PageName'!$C$2:$C$999=$G53)*('RAW_URL,PageName'!$B$2:$B$999="TY"), ""))</f>
        <v/>
      </c>
      <c r="O53" s="33" t="str" cm="1">
        <f t="array" ref="O53">_xlfn.TEXTJOIN(CHAR(10), 1, _xlfn._xlws.FILTER('RAW_URL,PageName'!E$2:E$999, ('RAW_URL,PageName'!$C$2:$C$999=$G53)*('RAW_URL,PageName'!$B$2:$B$999="TY"), ""))</f>
        <v/>
      </c>
      <c r="P53" s="36" t="str" cm="1">
        <f t="array" ref="P53">_xlfn.TEXTJOIN(CHAR(10), 1, _xlfn._xlws.FILTER('RAW_URL,PageName'!F$2:F$999, ('RAW_URL,PageName'!$C$2:$C$999=$G53)*('RAW_URL,PageName'!$B$2:$B$999="TY"), ""))</f>
        <v/>
      </c>
      <c r="Q53" s="38" t="str" cm="1">
        <f t="array" ref="Q53">_xlfn.TEXTJOIN(CHAR(10), 1, _xlfn._xlws.FILTER('RAW_URL,PageName'!D$2:D$999, ('RAW_URL,PageName'!$C$2:$C$999=$G53)*('RAW_URL,PageName'!$B$2:$B$999="LY"), ""))</f>
        <v/>
      </c>
      <c r="R53" s="33" t="str" cm="1">
        <f t="array" ref="R53">_xlfn.TEXTJOIN(CHAR(10), 1, _xlfn._xlws.FILTER('RAW_URL,PageName'!E$2:E$999, ('RAW_URL,PageName'!$C$2:$C$999=$G53)*('RAW_URL,PageName'!$B$2:$B$999="LY"), ""))</f>
        <v/>
      </c>
      <c r="S53" s="56" t="str" cm="1">
        <f t="array" ref="S53">_xlfn.TEXTJOIN(CHAR(10), 1, _xlfn._xlws.FILTER('RAW_URL,PageName'!F$2:F$999, ('RAW_URL,PageName'!$C$2:$C$999=$G53)*('RAW_URL,PageName'!$B$2:$B$999="LY"), ""))</f>
        <v/>
      </c>
      <c r="T53" s="116"/>
      <c r="U53" s="116">
        <f>IFERROR(VLOOKUP($C53,태깅기획site_code!$N$4:$O$18,2,0),"")</f>
        <v>3</v>
      </c>
      <c r="V53" s="1"/>
      <c r="W53" s="45">
        <v>2</v>
      </c>
      <c r="X53" s="31" t="str">
        <v>CIS</v>
      </c>
      <c r="Y53" s="31" t="str">
        <v>XADCAD</v>
      </c>
      <c r="Z53" s="31" t="str">
        <v>Mongolia</v>
      </c>
      <c r="AA53" s="31" t="str">
        <v>Mongolia</v>
      </c>
      <c r="AB53" s="46" t="str">
        <v>mn</v>
      </c>
      <c r="AC53" s="48">
        <v>46054</v>
      </c>
      <c r="AD53" s="32">
        <v>46064</v>
      </c>
      <c r="AE53" s="86">
        <f>IF(AD53="","",IF(IF(AD53&gt;api용!D$2,api용!D$2,AD53)&lt;AC53,"",IF(AD53&gt;api용!D$2,api용!D$2,AD53)))</f>
        <v>46064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2:50">
      <c r="B54" s="45">
        <f>IF($G54="","",IFERROR(VLOOKUP($G54,RAW_tier!$B$2:$C$200,2,0),2))</f>
        <v>2</v>
      </c>
      <c r="C54" s="31" t="str">
        <f>IF(ISBLANK(태깅기획site_code!F53),"",태깅기획site_code!C53)</f>
        <v>L.America</v>
      </c>
      <c r="D54" s="31" t="str">
        <f>IF(ISBLANK(태깅기획site_code!F53),"",IF(고객법인일정파일!P53="한총","SEC",IF(LEN(TRIM(고객법인일정파일!P53))=0,태깅기획site_code!D53,고객법인일정파일!P53)))</f>
        <v>XADLU</v>
      </c>
      <c r="E54" s="31" t="str">
        <f>IF(ISBLANK(태깅기획site_code!F53),"",태깅기획site_code!E53)</f>
        <v>Panama</v>
      </c>
      <c r="F54" s="31" t="str">
        <f>IF(ISBLANK(태깅기획site_code!F53),"",태깅기획site_code!J53)</f>
        <v>Panama (English)</v>
      </c>
      <c r="G54" s="35" t="str">
        <f>IF(ISBLANK(태깅기획site_code!B53),"",태깅기획site_code!F53)</f>
        <v>latin_en</v>
      </c>
      <c r="H54" s="43">
        <f>IF(ISBLANK(태깅기획site_code!F53),"",IF(고객법인일정파일!Q53="X","X",고객법인일정파일!R53))</f>
        <v>46042</v>
      </c>
      <c r="I54" s="32">
        <f>IF(ISBLANK(태깅기획site_code!F53),"",IF(고객법인일정파일!Q53="X","",고객법인일정파일!S53))</f>
        <v>46063</v>
      </c>
      <c r="J54" s="41"/>
      <c r="K54" s="43">
        <v>45767</v>
      </c>
      <c r="L54" s="39">
        <v>45787</v>
      </c>
      <c r="M54" s="40" t="str">
        <f>IF(D54="","",VLOOKUP(D54,고객법인일정파일!$C$5:$J$200,8,0))&amp;""</f>
        <v/>
      </c>
      <c r="N54" s="38" t="str" cm="1">
        <f t="array" ref="N54">_xlfn.TEXTJOIN(CHAR(10), 1, _xlfn._xlws.FILTER('RAW_URL,PageName'!D$2:D$999, ('RAW_URL,PageName'!$C$2:$C$999=$G54)*('RAW_URL,PageName'!$B$2:$B$999="TY"), ""))</f>
        <v/>
      </c>
      <c r="O54" s="33" t="str" cm="1">
        <f t="array" ref="O54">_xlfn.TEXTJOIN(CHAR(10), 1, _xlfn._xlws.FILTER('RAW_URL,PageName'!E$2:E$999, ('RAW_URL,PageName'!$C$2:$C$999=$G54)*('RAW_URL,PageName'!$B$2:$B$999="TY"), ""))</f>
        <v/>
      </c>
      <c r="P54" s="36" t="str" cm="1">
        <f t="array" ref="P54">_xlfn.TEXTJOIN(CHAR(10), 1, _xlfn._xlws.FILTER('RAW_URL,PageName'!F$2:F$999, ('RAW_URL,PageName'!$C$2:$C$999=$G54)*('RAW_URL,PageName'!$B$2:$B$999="TY"), ""))</f>
        <v/>
      </c>
      <c r="Q54" s="38" t="str" cm="1">
        <f t="array" ref="Q54">_xlfn.TEXTJOIN(CHAR(10), 1, _xlfn._xlws.FILTER('RAW_URL,PageName'!D$2:D$999, ('RAW_URL,PageName'!$C$2:$C$999=$G54)*('RAW_URL,PageName'!$B$2:$B$999="LY"), ""))</f>
        <v/>
      </c>
      <c r="R54" s="33" t="str" cm="1">
        <f t="array" ref="R54">_xlfn.TEXTJOIN(CHAR(10), 1, _xlfn._xlws.FILTER('RAW_URL,PageName'!E$2:E$999, ('RAW_URL,PageName'!$C$2:$C$999=$G54)*('RAW_URL,PageName'!$B$2:$B$999="LY"), ""))</f>
        <v/>
      </c>
      <c r="S54" s="56" t="str" cm="1">
        <f t="array" ref="S54">_xlfn.TEXTJOIN(CHAR(10), 1, _xlfn._xlws.FILTER('RAW_URL,PageName'!F$2:F$999, ('RAW_URL,PageName'!$C$2:$C$999=$G54)*('RAW_URL,PageName'!$B$2:$B$999="LY"), ""))</f>
        <v/>
      </c>
      <c r="T54" s="116"/>
      <c r="U54" s="116">
        <f>IFERROR(VLOOKUP($C54,태깅기획site_code!$N$4:$O$18,2,0),"")</f>
        <v>3</v>
      </c>
      <c r="V54" s="1"/>
      <c r="W54" s="45">
        <v>2</v>
      </c>
      <c r="X54" s="31" t="str">
        <v>S.E.Asia</v>
      </c>
      <c r="Y54" s="31" t="str">
        <v>XMAD</v>
      </c>
      <c r="Z54" s="31" t="str">
        <v>Malaysia</v>
      </c>
      <c r="AA54" s="31" t="str">
        <v>Malaysia</v>
      </c>
      <c r="AB54" s="46" t="str">
        <v>my</v>
      </c>
      <c r="AC54" s="48" t="str">
        <v>X</v>
      </c>
      <c r="AD54" s="32" t="str">
        <v/>
      </c>
      <c r="AE54" s="86" t="str">
        <f>IF(AD54="","",IF(IF(AD54&gt;api용!D$2,api용!D$2,AD54)&lt;AC54,"",IF(AD54&gt;api용!D$2,api용!D$2,AD54)))</f>
        <v/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2:50" ht="48" customHeight="1">
      <c r="B55" s="45">
        <f>IF($G55="","",IFERROR(VLOOKUP($G55,RAW_tier!$B$2:$C$200,2,0),2))</f>
        <v>2</v>
      </c>
      <c r="C55" s="31" t="str">
        <f>IF(ISBLANK(태깅기획site_code!F54),"",태깅기획site_code!C54)</f>
        <v>MENA</v>
      </c>
      <c r="D55" s="31" t="str">
        <f>IF(ISBLANK(태깅기획site_code!F54),"",IF(고객법인일정파일!P54="한총","SEC",IF(LEN(TRIM(고객법인일정파일!P54))=0,태깅기획site_code!D54,고객법인일정파일!P54)))</f>
        <v>XADLV</v>
      </c>
      <c r="E55" s="31" t="str">
        <f>IF(ISBLANK(태깅기획site_code!F54),"",태깅기획site_code!E54)</f>
        <v>Lebanon</v>
      </c>
      <c r="F55" s="31" t="str">
        <f>IF(ISBLANK(태깅기획site_code!F54),"",태깅기획site_code!J54)</f>
        <v>Lebanon</v>
      </c>
      <c r="G55" s="35" t="str">
        <f>IF(ISBLANK(태깅기획site_code!B54),"",태깅기획site_code!F54)</f>
        <v>lb</v>
      </c>
      <c r="H55" s="43" t="str">
        <f>IF(ISBLANK(태깅기획site_code!F54),"",IF(고객법인일정파일!Q54="X","X",고객법인일정파일!R54))</f>
        <v>TBC</v>
      </c>
      <c r="I55" s="32" t="str">
        <f>IF(ISBLANK(태깅기획site_code!F54),"",IF(고객법인일정파일!Q54="X","",고객법인일정파일!S54))</f>
        <v>TBC</v>
      </c>
      <c r="J55" s="41"/>
      <c r="K55" s="43" t="s">
        <v>19</v>
      </c>
      <c r="L55" s="39" t="s">
        <v>19</v>
      </c>
      <c r="M55" s="40" t="str">
        <f>IF(D55="","",VLOOKUP(D55,고객법인일정파일!$C$5:$J$200,8,0))&amp;""</f>
        <v>Note1-test XADPOL</v>
      </c>
      <c r="N55" s="38" t="str" cm="1">
        <f t="array" ref="N55">_xlfn.TEXTJOIN(CHAR(10), 1, _xlfn._xlws.FILTER('RAW_URL,PageName'!D$2:D$999, ('RAW_URL,PageName'!$C$2:$C$999=$G55)*('RAW_URL,PageName'!$B$2:$B$999="TY"), ""))</f>
        <v/>
      </c>
      <c r="O55" s="33" t="str" cm="1">
        <f t="array" ref="O55">_xlfn.TEXTJOIN(CHAR(10), 1, _xlfn._xlws.FILTER('RAW_URL,PageName'!E$2:E$999, ('RAW_URL,PageName'!$C$2:$C$999=$G55)*('RAW_URL,PageName'!$B$2:$B$999="TY"), ""))</f>
        <v/>
      </c>
      <c r="P55" s="36" t="str" cm="1">
        <f t="array" ref="P55">_xlfn.TEXTJOIN(CHAR(10), 1, _xlfn._xlws.FILTER('RAW_URL,PageName'!F$2:F$999, ('RAW_URL,PageName'!$C$2:$C$999=$G55)*('RAW_URL,PageName'!$B$2:$B$999="TY"), ""))</f>
        <v/>
      </c>
      <c r="Q55" s="38" t="str" cm="1">
        <f t="array" ref="Q55">_xlfn.TEXTJOIN(CHAR(10), 1, _xlfn._xlws.FILTER('RAW_URL,PageName'!D$2:D$999, ('RAW_URL,PageName'!$C$2:$C$999=$G55)*('RAW_URL,PageName'!$B$2:$B$999="LY"), ""))</f>
        <v/>
      </c>
      <c r="R55" s="33" t="str" cm="1">
        <f t="array" ref="R55">_xlfn.TEXTJOIN(CHAR(10), 1, _xlfn._xlws.FILTER('RAW_URL,PageName'!E$2:E$999, ('RAW_URL,PageName'!$C$2:$C$999=$G55)*('RAW_URL,PageName'!$B$2:$B$999="LY"), ""))</f>
        <v/>
      </c>
      <c r="S55" s="56" t="str" cm="1">
        <f t="array" ref="S55">_xlfn.TEXTJOIN(CHAR(10), 1, _xlfn._xlws.FILTER('RAW_URL,PageName'!F$2:F$999, ('RAW_URL,PageName'!$C$2:$C$999=$G55)*('RAW_URL,PageName'!$B$2:$B$999="LY"), ""))</f>
        <v/>
      </c>
      <c r="T55" s="116"/>
      <c r="U55" s="116">
        <f>IFERROR(VLOOKUP($C55,태깅기획site_code!$N$4:$O$18,2,0),"")</f>
        <v>6</v>
      </c>
      <c r="V55" s="1"/>
      <c r="W55" s="45">
        <v>2</v>
      </c>
      <c r="X55" s="31" t="str">
        <v>MENA</v>
      </c>
      <c r="Y55" s="31" t="str">
        <v>XADMUG</v>
      </c>
      <c r="Z55" s="31" t="str">
        <v>Morocco</v>
      </c>
      <c r="AA55" s="31" t="str">
        <v>North Africa</v>
      </c>
      <c r="AB55" s="46" t="str">
        <v>n_africa</v>
      </c>
      <c r="AC55" s="48" t="str">
        <v>TBC</v>
      </c>
      <c r="AD55" s="32" t="str">
        <v>TBC</v>
      </c>
      <c r="AE55" s="86" t="str">
        <f>IF(AD55="","",IF(IF(AD55&gt;api용!D$2,api용!D$2,AD55)&lt;AC55,"",IF(AD55&gt;api용!D$2,api용!D$2,AD55)))</f>
        <v/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2:50" ht="48" customHeight="1">
      <c r="B56" s="45">
        <f>IF($G56="","",IFERROR(VLOOKUP($G56,RAW_tier!$B$2:$C$200,2,0),2))</f>
        <v>2</v>
      </c>
      <c r="C56" s="31" t="str">
        <f>IF(ISBLANK(태깅기획site_code!F55),"",태깅기획site_code!C55)</f>
        <v>MENA</v>
      </c>
      <c r="D56" s="31" t="str">
        <f>IF(ISBLANK(태깅기획site_code!F55),"",IF(고객법인일정파일!P55="한총","SEC",IF(LEN(TRIM(고객법인일정파일!P55))=0,태깅기획site_code!D55,고객법인일정파일!P55)))</f>
        <v>XADLV</v>
      </c>
      <c r="E56" s="31" t="str">
        <f>IF(ISBLANK(태깅기획site_code!F55),"",태깅기획site_code!E55)</f>
        <v>Jordan</v>
      </c>
      <c r="F56" s="31" t="str">
        <f>IF(ISBLANK(태깅기획site_code!F55),"",태깅기획site_code!J55)</f>
        <v>LEVANT</v>
      </c>
      <c r="G56" s="35" t="str">
        <f>IF(ISBLANK(태깅기획site_code!B55),"",태깅기획site_code!F55)</f>
        <v>levant</v>
      </c>
      <c r="H56" s="43" t="str">
        <f>IF(ISBLANK(태깅기획site_code!F55),"",IF(고객법인일정파일!Q55="X","X",고객법인일정파일!R55))</f>
        <v>TBC</v>
      </c>
      <c r="I56" s="32" t="str">
        <f>IF(ISBLANK(태깅기획site_code!F55),"",IF(고객법인일정파일!Q55="X","",고객법인일정파일!S55))</f>
        <v>TBC</v>
      </c>
      <c r="J56" s="41"/>
      <c r="K56" s="43" t="s">
        <v>19</v>
      </c>
      <c r="L56" s="39" t="s">
        <v>19</v>
      </c>
      <c r="M56" s="40" t="str">
        <f>IF(D56="","",VLOOKUP(D56,고객법인일정파일!$C$5:$J$200,8,0))&amp;""</f>
        <v>Note1-test XADPOL</v>
      </c>
      <c r="N56" s="38" t="str" cm="1">
        <f t="array" ref="N56">_xlfn.TEXTJOIN(CHAR(10), 1, _xlfn._xlws.FILTER('RAW_URL,PageName'!D$2:D$999, ('RAW_URL,PageName'!$C$2:$C$999=$G56)*('RAW_URL,PageName'!$B$2:$B$999="TY"), ""))</f>
        <v/>
      </c>
      <c r="O56" s="33" t="str" cm="1">
        <f t="array" ref="O56">_xlfn.TEXTJOIN(CHAR(10), 1, _xlfn._xlws.FILTER('RAW_URL,PageName'!E$2:E$999, ('RAW_URL,PageName'!$C$2:$C$999=$G56)*('RAW_URL,PageName'!$B$2:$B$999="TY"), ""))</f>
        <v/>
      </c>
      <c r="P56" s="36" t="str" cm="1">
        <f t="array" ref="P56">_xlfn.TEXTJOIN(CHAR(10), 1, _xlfn._xlws.FILTER('RAW_URL,PageName'!F$2:F$999, ('RAW_URL,PageName'!$C$2:$C$999=$G56)*('RAW_URL,PageName'!$B$2:$B$999="TY"), ""))</f>
        <v/>
      </c>
      <c r="Q56" s="38" t="str" cm="1">
        <f t="array" ref="Q56">_xlfn.TEXTJOIN(CHAR(10), 1, _xlfn._xlws.FILTER('RAW_URL,PageName'!D$2:D$999, ('RAW_URL,PageName'!$C$2:$C$999=$G56)*('RAW_URL,PageName'!$B$2:$B$999="LY"), ""))</f>
        <v/>
      </c>
      <c r="R56" s="33" t="str" cm="1">
        <f t="array" ref="R56">_xlfn.TEXTJOIN(CHAR(10), 1, _xlfn._xlws.FILTER('RAW_URL,PageName'!E$2:E$999, ('RAW_URL,PageName'!$C$2:$C$999=$G56)*('RAW_URL,PageName'!$B$2:$B$999="LY"), ""))</f>
        <v/>
      </c>
      <c r="S56" s="56" t="str" cm="1">
        <f t="array" ref="S56">_xlfn.TEXTJOIN(CHAR(10), 1, _xlfn._xlws.FILTER('RAW_URL,PageName'!F$2:F$999, ('RAW_URL,PageName'!$C$2:$C$999=$G56)*('RAW_URL,PageName'!$B$2:$B$999="LY"), ""))</f>
        <v/>
      </c>
      <c r="T56" s="116"/>
      <c r="U56" s="116">
        <f>IFERROR(VLOOKUP($C56,태깅기획site_code!$N$4:$O$18,2,0),"")</f>
        <v>6</v>
      </c>
      <c r="V56" s="1"/>
      <c r="W56" s="45">
        <v>2</v>
      </c>
      <c r="X56" s="31" t="str">
        <v>EU</v>
      </c>
      <c r="Y56" s="31" t="str">
        <v>XADBN-NL</v>
      </c>
      <c r="Z56" s="31" t="str">
        <v>Netherlands</v>
      </c>
      <c r="AA56" s="31" t="str">
        <v>Netherlands</v>
      </c>
      <c r="AB56" s="46" t="str">
        <v>nl</v>
      </c>
      <c r="AC56" s="48">
        <v>46050</v>
      </c>
      <c r="AD56" s="32">
        <v>46063</v>
      </c>
      <c r="AE56" s="86">
        <f>IF(AD56="","",IF(IF(AD56&gt;api용!D$2,api용!D$2,AD56)&lt;AC56,"",IF(AD56&gt;api용!D$2,api용!D$2,AD56)))</f>
        <v>46063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2:50" ht="48" customHeight="1">
      <c r="B57" s="45">
        <f>IF($G57="","",IFERROR(VLOOKUP($G57,RAW_tier!$B$2:$C$200,2,0),2))</f>
        <v>2</v>
      </c>
      <c r="C57" s="31" t="str">
        <f>IF(ISBLANK(태깅기획site_code!F56),"",태깅기획site_code!C56)</f>
        <v>MENA</v>
      </c>
      <c r="D57" s="31" t="str">
        <f>IF(ISBLANK(태깅기획site_code!F56),"",IF(고객법인일정파일!P56="한총","SEC",IF(LEN(TRIM(고객법인일정파일!P56))=0,태깅기획site_code!D56,고객법인일정파일!P56)))</f>
        <v>XADLV</v>
      </c>
      <c r="E57" s="31" t="str">
        <f>IF(ISBLANK(태깅기획site_code!F56),"",태깅기획site_code!E56)</f>
        <v>Jordan</v>
      </c>
      <c r="F57" s="31" t="str">
        <f>IF(ISBLANK(태깅기획site_code!F56),"",태깅기획site_code!J56)</f>
        <v>LEVANT (ar)</v>
      </c>
      <c r="G57" s="35" t="str">
        <f>IF(ISBLANK(태깅기획site_code!B56),"",태깅기획site_code!F56)</f>
        <v>levant_ar</v>
      </c>
      <c r="H57" s="43" t="str">
        <f>IF(ISBLANK(태깅기획site_code!F56),"",IF(고객법인일정파일!Q56="X","X",고객법인일정파일!R56))</f>
        <v>TBC</v>
      </c>
      <c r="I57" s="32" t="str">
        <f>IF(ISBLANK(태깅기획site_code!F56),"",IF(고객법인일정파일!Q56="X","",고객법인일정파일!S56))</f>
        <v>TBC</v>
      </c>
      <c r="J57" s="41"/>
      <c r="K57" s="43" t="s">
        <v>19</v>
      </c>
      <c r="L57" s="39" t="s">
        <v>19</v>
      </c>
      <c r="M57" s="40" t="str">
        <f>IF(D57="","",VLOOKUP(D57,고객법인일정파일!$C$5:$J$200,8,0))&amp;""</f>
        <v>Note1-test XADPOL</v>
      </c>
      <c r="N57" s="38" t="str" cm="1">
        <f t="array" ref="N57">_xlfn.TEXTJOIN(CHAR(10), 1, _xlfn._xlws.FILTER('RAW_URL,PageName'!D$2:D$999, ('RAW_URL,PageName'!$C$2:$C$999=$G57)*('RAW_URL,PageName'!$B$2:$B$999="TY"), ""))</f>
        <v/>
      </c>
      <c r="O57" s="33" t="str" cm="1">
        <f t="array" ref="O57">_xlfn.TEXTJOIN(CHAR(10), 1, _xlfn._xlws.FILTER('RAW_URL,PageName'!E$2:E$999, ('RAW_URL,PageName'!$C$2:$C$999=$G57)*('RAW_URL,PageName'!$B$2:$B$999="TY"), ""))</f>
        <v/>
      </c>
      <c r="P57" s="36" t="str" cm="1">
        <f t="array" ref="P57">_xlfn.TEXTJOIN(CHAR(10), 1, _xlfn._xlws.FILTER('RAW_URL,PageName'!F$2:F$999, ('RAW_URL,PageName'!$C$2:$C$999=$G57)*('RAW_URL,PageName'!$B$2:$B$999="TY"), ""))</f>
        <v/>
      </c>
      <c r="Q57" s="38" t="str" cm="1">
        <f t="array" ref="Q57">_xlfn.TEXTJOIN(CHAR(10), 1, _xlfn._xlws.FILTER('RAW_URL,PageName'!D$2:D$999, ('RAW_URL,PageName'!$C$2:$C$999=$G57)*('RAW_URL,PageName'!$B$2:$B$999="LY"), ""))</f>
        <v/>
      </c>
      <c r="R57" s="33" t="str" cm="1">
        <f t="array" ref="R57">_xlfn.TEXTJOIN(CHAR(10), 1, _xlfn._xlws.FILTER('RAW_URL,PageName'!E$2:E$999, ('RAW_URL,PageName'!$C$2:$C$999=$G57)*('RAW_URL,PageName'!$B$2:$B$999="LY"), ""))</f>
        <v/>
      </c>
      <c r="S57" s="56" t="str" cm="1">
        <f t="array" ref="S57">_xlfn.TEXTJOIN(CHAR(10), 1, _xlfn._xlws.FILTER('RAW_URL,PageName'!F$2:F$999, ('RAW_URL,PageName'!$C$2:$C$999=$G57)*('RAW_URL,PageName'!$B$2:$B$999="LY"), ""))</f>
        <v/>
      </c>
      <c r="T57" s="116"/>
      <c r="U57" s="116">
        <f>IFERROR(VLOOKUP($C57,태깅기획site_code!$N$4:$O$18,2,0),"")</f>
        <v>6</v>
      </c>
      <c r="V57" s="1"/>
      <c r="W57" s="45">
        <v>2</v>
      </c>
      <c r="X57" s="31" t="str">
        <v>EU</v>
      </c>
      <c r="Y57" s="31" t="str">
        <v>XADNU</v>
      </c>
      <c r="Z57" s="31" t="str">
        <v>Norway</v>
      </c>
      <c r="AA57" s="31" t="str">
        <v>Norway</v>
      </c>
      <c r="AB57" s="46" t="str">
        <v>no</v>
      </c>
      <c r="AC57" s="48" t="str">
        <v>X</v>
      </c>
      <c r="AD57" s="32" t="str">
        <v/>
      </c>
      <c r="AE57" s="86" t="str">
        <f>IF(AD57="","",IF(IF(AD57&gt;api용!D$2,api용!D$2,AD57)&lt;AC57,"",IF(AD57&gt;api용!D$2,api용!D$2,AD57)))</f>
        <v/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2:50">
      <c r="B58" s="45">
        <f>IF($G58="","",IFERROR(VLOOKUP($G58,RAW_tier!$B$2:$C$200,2,0),2))</f>
        <v>2</v>
      </c>
      <c r="C58" s="31" t="str">
        <f>IF(ISBLANK(태깅기획site_code!F57),"",태깅기획site_code!C57)</f>
        <v>EU</v>
      </c>
      <c r="D58" s="31" t="str">
        <f>IF(ISBLANK(태깅기획site_code!F57),"",IF(고객법인일정파일!P57="한총","SEC",IF(LEN(TRIM(고객법인일정파일!P57))=0,태깅기획site_code!D57,고객법인일정파일!P57)))</f>
        <v>XADB</v>
      </c>
      <c r="E58" s="31" t="str">
        <f>IF(ISBLANK(태깅기획site_code!F57),"",태깅기획site_code!E57)</f>
        <v>Lithuania</v>
      </c>
      <c r="F58" s="31" t="str">
        <f>IF(ISBLANK(태깅기획site_code!F57),"",태깅기획site_code!J57)</f>
        <v>Lithuania</v>
      </c>
      <c r="G58" s="35" t="str">
        <f>IF(ISBLANK(태깅기획site_code!B57),"",태깅기획site_code!F57)</f>
        <v>lt</v>
      </c>
      <c r="H58" s="43" t="str">
        <f>IF(ISBLANK(태깅기획site_code!F57),"",IF(고객법인일정파일!Q57="X","X",고객법인일정파일!R57))</f>
        <v/>
      </c>
      <c r="I58" s="32" t="str">
        <f>IF(ISBLANK(태깅기획site_code!F57),"",IF(고객법인일정파일!Q57="X","",고객법인일정파일!S57))</f>
        <v/>
      </c>
      <c r="J58" s="41"/>
      <c r="K58" s="43" t="s">
        <v>19</v>
      </c>
      <c r="L58" s="39" t="s">
        <v>19</v>
      </c>
      <c r="M58" s="40" t="str">
        <f>IF(D58="","",VLOOKUP(D58,고객법인일정파일!$C$5:$J$200,8,0))&amp;""</f>
        <v/>
      </c>
      <c r="N58" s="38" t="str" cm="1">
        <f t="array" ref="N58">_xlfn.TEXTJOIN(CHAR(10), 1, _xlfn._xlws.FILTER('RAW_URL,PageName'!D$2:D$999, ('RAW_URL,PageName'!$C$2:$C$999=$G58)*('RAW_URL,PageName'!$B$2:$B$999="TY"), ""))</f>
        <v/>
      </c>
      <c r="O58" s="33" t="str" cm="1">
        <f t="array" ref="O58">_xlfn.TEXTJOIN(CHAR(10), 1, _xlfn._xlws.FILTER('RAW_URL,PageName'!E$2:E$999, ('RAW_URL,PageName'!$C$2:$C$999=$G58)*('RAW_URL,PageName'!$B$2:$B$999="TY"), ""))</f>
        <v/>
      </c>
      <c r="P58" s="36" t="str" cm="1">
        <f t="array" ref="P58">_xlfn.TEXTJOIN(CHAR(10), 1, _xlfn._xlws.FILTER('RAW_URL,PageName'!F$2:F$999, ('RAW_URL,PageName'!$C$2:$C$999=$G58)*('RAW_URL,PageName'!$B$2:$B$999="TY"), ""))</f>
        <v/>
      </c>
      <c r="Q58" s="38" t="str" cm="1">
        <f t="array" ref="Q58">_xlfn.TEXTJOIN(CHAR(10), 1, _xlfn._xlws.FILTER('RAW_URL,PageName'!D$2:D$999, ('RAW_URL,PageName'!$C$2:$C$999=$G58)*('RAW_URL,PageName'!$B$2:$B$999="LY"), ""))</f>
        <v/>
      </c>
      <c r="R58" s="33" t="str" cm="1">
        <f t="array" ref="R58">_xlfn.TEXTJOIN(CHAR(10), 1, _xlfn._xlws.FILTER('RAW_URL,PageName'!E$2:E$999, ('RAW_URL,PageName'!$C$2:$C$999=$G58)*('RAW_URL,PageName'!$B$2:$B$999="LY"), ""))</f>
        <v/>
      </c>
      <c r="S58" s="56" t="str" cm="1">
        <f t="array" ref="S58">_xlfn.TEXTJOIN(CHAR(10), 1, _xlfn._xlws.FILTER('RAW_URL,PageName'!F$2:F$999, ('RAW_URL,PageName'!$C$2:$C$999=$G58)*('RAW_URL,PageName'!$B$2:$B$999="LY"), ""))</f>
        <v/>
      </c>
      <c r="T58" s="116"/>
      <c r="U58" s="116">
        <f>IFERROR(VLOOKUP($C58,태깅기획site_code!$N$4:$O$18,2,0),"")</f>
        <v>2</v>
      </c>
      <c r="V58" s="1"/>
      <c r="W58" s="45">
        <v>2</v>
      </c>
      <c r="X58" s="31" t="str">
        <v>S.E.Asia</v>
      </c>
      <c r="Y58" s="31" t="str">
        <v>XADNZ</v>
      </c>
      <c r="Z58" s="31" t="str">
        <v>New Zealand</v>
      </c>
      <c r="AA58" s="31" t="str">
        <v>New Zealand</v>
      </c>
      <c r="AB58" s="46" t="str">
        <v>nz</v>
      </c>
      <c r="AC58" s="48">
        <v>46036</v>
      </c>
      <c r="AD58" s="32">
        <v>46064</v>
      </c>
      <c r="AE58" s="86">
        <f>IF(AD58="","",IF(IF(AD58&gt;api용!D$2,api용!D$2,AD58)&lt;AC58,"",IF(AD58&gt;api용!D$2,api용!D$2,AD58)))</f>
        <v>46064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2:50">
      <c r="B59" s="45">
        <f>IF($G59="","",IFERROR(VLOOKUP($G59,RAW_tier!$B$2:$C$200,2,0),2))</f>
        <v>2</v>
      </c>
      <c r="C59" s="31" t="str">
        <f>IF(ISBLANK(태깅기획site_code!F58),"",태깅기획site_code!C58)</f>
        <v>EU</v>
      </c>
      <c r="D59" s="31" t="str">
        <f>IF(ISBLANK(태깅기획site_code!F58),"",IF(고객법인일정파일!P58="한총","SEC",IF(LEN(TRIM(고객법인일정파일!P58))=0,태깅기획site_code!D58,고객법인일정파일!P58)))</f>
        <v>XADB</v>
      </c>
      <c r="E59" s="31" t="str">
        <f>IF(ISBLANK(태깅기획site_code!F58),"",태깅기획site_code!E58)</f>
        <v>Latvia</v>
      </c>
      <c r="F59" s="31" t="str">
        <f>IF(ISBLANK(태깅기획site_code!F58),"",태깅기획site_code!J58)</f>
        <v>Latvia</v>
      </c>
      <c r="G59" s="35" t="str">
        <f>IF(ISBLANK(태깅기획site_code!B58),"",태깅기획site_code!F58)</f>
        <v>lv</v>
      </c>
      <c r="H59" s="43" t="str">
        <f>IF(ISBLANK(태깅기획site_code!F58),"",IF(고객법인일정파일!Q58="X","X",고객법인일정파일!R58))</f>
        <v/>
      </c>
      <c r="I59" s="32" t="str">
        <f>IF(ISBLANK(태깅기획site_code!F58),"",IF(고객법인일정파일!Q58="X","",고객법인일정파일!S58))</f>
        <v/>
      </c>
      <c r="J59" s="41"/>
      <c r="K59" s="43" t="s">
        <v>19</v>
      </c>
      <c r="L59" s="39" t="s">
        <v>19</v>
      </c>
      <c r="M59" s="40" t="str">
        <f>IF(D59="","",VLOOKUP(D59,고객법인일정파일!$C$5:$J$200,8,0))&amp;""</f>
        <v/>
      </c>
      <c r="N59" s="38" t="str" cm="1">
        <f t="array" ref="N59">_xlfn.TEXTJOIN(CHAR(10), 1, _xlfn._xlws.FILTER('RAW_URL,PageName'!D$2:D$999, ('RAW_URL,PageName'!$C$2:$C$999=$G59)*('RAW_URL,PageName'!$B$2:$B$999="TY"), ""))</f>
        <v/>
      </c>
      <c r="O59" s="33" t="str" cm="1">
        <f t="array" ref="O59">_xlfn.TEXTJOIN(CHAR(10), 1, _xlfn._xlws.FILTER('RAW_URL,PageName'!E$2:E$999, ('RAW_URL,PageName'!$C$2:$C$999=$G59)*('RAW_URL,PageName'!$B$2:$B$999="TY"), ""))</f>
        <v/>
      </c>
      <c r="P59" s="36" t="str" cm="1">
        <f t="array" ref="P59">_xlfn.TEXTJOIN(CHAR(10), 1, _xlfn._xlws.FILTER('RAW_URL,PageName'!F$2:F$999, ('RAW_URL,PageName'!$C$2:$C$999=$G59)*('RAW_URL,PageName'!$B$2:$B$999="TY"), ""))</f>
        <v/>
      </c>
      <c r="Q59" s="38" t="str" cm="1">
        <f t="array" ref="Q59">_xlfn.TEXTJOIN(CHAR(10), 1, _xlfn._xlws.FILTER('RAW_URL,PageName'!D$2:D$999, ('RAW_URL,PageName'!$C$2:$C$999=$G59)*('RAW_URL,PageName'!$B$2:$B$999="LY"), ""))</f>
        <v/>
      </c>
      <c r="R59" s="33" t="str" cm="1">
        <f t="array" ref="R59">_xlfn.TEXTJOIN(CHAR(10), 1, _xlfn._xlws.FILTER('RAW_URL,PageName'!E$2:E$999, ('RAW_URL,PageName'!$C$2:$C$999=$G59)*('RAW_URL,PageName'!$B$2:$B$999="LY"), ""))</f>
        <v/>
      </c>
      <c r="S59" s="56" t="str" cm="1">
        <f t="array" ref="S59">_xlfn.TEXTJOIN(CHAR(10), 1, _xlfn._xlws.FILTER('RAW_URL,PageName'!F$2:F$999, ('RAW_URL,PageName'!$C$2:$C$999=$G59)*('RAW_URL,PageName'!$B$2:$B$999="LY"), ""))</f>
        <v/>
      </c>
      <c r="T59" s="116"/>
      <c r="U59" s="116">
        <f>IFERROR(VLOOKUP($C59,태깅기획site_code!$N$4:$O$18,2,0),"")</f>
        <v>2</v>
      </c>
      <c r="V59" s="1"/>
      <c r="W59" s="45">
        <v>2</v>
      </c>
      <c r="X59" s="31" t="str">
        <v>L.America</v>
      </c>
      <c r="Y59" s="31" t="str">
        <v>XADPR</v>
      </c>
      <c r="Z59" s="31" t="str">
        <v>Peru</v>
      </c>
      <c r="AA59" s="31" t="str">
        <v>Peru</v>
      </c>
      <c r="AB59" s="46" t="str">
        <v>pe</v>
      </c>
      <c r="AC59" s="48">
        <v>46048</v>
      </c>
      <c r="AD59" s="32">
        <v>46063</v>
      </c>
      <c r="AE59" s="86">
        <f>IF(AD59="","",IF(IF(AD59&gt;api용!D$2,api용!D$2,AD59)&lt;AC59,"",IF(AD59&gt;api용!D$2,api용!D$2,AD59)))</f>
        <v>46063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2:50" ht="24" customHeight="1">
      <c r="B60" s="45">
        <f>IF($G60="","",IFERROR(VLOOKUP($G60,RAW_tier!$B$2:$C$200,2,0),2))</f>
        <v>2</v>
      </c>
      <c r="C60" s="31" t="str">
        <f>IF(ISBLANK(태깅기획site_code!F59),"",태깅기획site_code!C59)</f>
        <v>EU</v>
      </c>
      <c r="D60" s="31" t="str">
        <f>IF(ISBLANK(태깅기획site_code!F59),"",IF(고객법인일정파일!P59="한총","SEC",IF(LEN(TRIM(고객법인일정파일!P59))=0,태깅기획site_code!D59,고객법인일정파일!P59)))</f>
        <v>XADUD</v>
      </c>
      <c r="E60" s="31" t="str">
        <f>IF(ISBLANK(태깅기획site_code!F59),"",태깅기획site_code!E59)</f>
        <v>Macedonia</v>
      </c>
      <c r="F60" s="31" t="str">
        <f>IF(ISBLANK(태깅기획site_code!F59),"",태깅기획site_code!J59)</f>
        <v>Macedonia</v>
      </c>
      <c r="G60" s="35" t="str">
        <f>IF(ISBLANK(태깅기획site_code!B59),"",태깅기획site_code!F59)</f>
        <v>mk</v>
      </c>
      <c r="H60" s="43" t="str">
        <f>IF(ISBLANK(태깅기획site_code!F59),"",IF(고객법인일정파일!Q59="X","X",고객법인일정파일!R59))</f>
        <v>X</v>
      </c>
      <c r="I60" s="32" t="str">
        <f>IF(ISBLANK(태깅기획site_code!F59),"",IF(고객법인일정파일!Q59="X","",고객법인일정파일!S59))</f>
        <v/>
      </c>
      <c r="J60" s="41"/>
      <c r="K60" s="43" t="s">
        <v>19</v>
      </c>
      <c r="L60" s="39" t="s">
        <v>19</v>
      </c>
      <c r="M60" s="40" t="str">
        <f>IF(D60="","",VLOOKUP(D60,고객법인일정파일!$C$5:$J$200,8,0))&amp;""</f>
        <v>Note1-test XADUX-UT</v>
      </c>
      <c r="N60" s="38" t="str" cm="1">
        <f t="array" ref="N60">_xlfn.TEXTJOIN(CHAR(10), 1, _xlfn._xlws.FILTER('RAW_URL,PageName'!D$2:D$999, ('RAW_URL,PageName'!$C$2:$C$999=$G60)*('RAW_URL,PageName'!$B$2:$B$999="TY"), ""))</f>
        <v/>
      </c>
      <c r="O60" s="33" t="str" cm="1">
        <f t="array" ref="O60">_xlfn.TEXTJOIN(CHAR(10), 1, _xlfn._xlws.FILTER('RAW_URL,PageName'!E$2:E$999, ('RAW_URL,PageName'!$C$2:$C$999=$G60)*('RAW_URL,PageName'!$B$2:$B$999="TY"), ""))</f>
        <v/>
      </c>
      <c r="P60" s="36" t="str" cm="1">
        <f t="array" ref="P60">_xlfn.TEXTJOIN(CHAR(10), 1, _xlfn._xlws.FILTER('RAW_URL,PageName'!F$2:F$999, ('RAW_URL,PageName'!$C$2:$C$999=$G60)*('RAW_URL,PageName'!$B$2:$B$999="TY"), ""))</f>
        <v/>
      </c>
      <c r="Q60" s="38" t="str" cm="1">
        <f t="array" ref="Q60">_xlfn.TEXTJOIN(CHAR(10), 1, _xlfn._xlws.FILTER('RAW_URL,PageName'!D$2:D$999, ('RAW_URL,PageName'!$C$2:$C$999=$G60)*('RAW_URL,PageName'!$B$2:$B$999="LY"), ""))</f>
        <v/>
      </c>
      <c r="R60" s="33" t="str" cm="1">
        <f t="array" ref="R60">_xlfn.TEXTJOIN(CHAR(10), 1, _xlfn._xlws.FILTER('RAW_URL,PageName'!E$2:E$999, ('RAW_URL,PageName'!$C$2:$C$999=$G60)*('RAW_URL,PageName'!$B$2:$B$999="LY"), ""))</f>
        <v/>
      </c>
      <c r="S60" s="56" t="str" cm="1">
        <f t="array" ref="S60">_xlfn.TEXTJOIN(CHAR(10), 1, _xlfn._xlws.FILTER('RAW_URL,PageName'!F$2:F$999, ('RAW_URL,PageName'!$C$2:$C$999=$G60)*('RAW_URL,PageName'!$B$2:$B$999="LY"), ""))</f>
        <v/>
      </c>
      <c r="T60" s="116"/>
      <c r="U60" s="116">
        <f>IFERROR(VLOOKUP($C60,태깅기획site_code!$N$4:$O$18,2,0),"")</f>
        <v>2</v>
      </c>
      <c r="V60" s="1"/>
      <c r="W60" s="45">
        <v>2</v>
      </c>
      <c r="X60" s="31" t="str">
        <v>S.E.Asia</v>
      </c>
      <c r="Y60" s="31" t="str">
        <v>XADPCO</v>
      </c>
      <c r="Z60" s="31" t="str">
        <v>Philippines</v>
      </c>
      <c r="AA60" s="31" t="str">
        <v>Philippines</v>
      </c>
      <c r="AB60" s="46" t="str">
        <v>ph</v>
      </c>
      <c r="AC60" s="48">
        <v>46038</v>
      </c>
      <c r="AD60" s="32">
        <v>46064</v>
      </c>
      <c r="AE60" s="86">
        <f>IF(AD60="","",IF(IF(AD60&gt;api용!D$2,api용!D$2,AD60)&lt;AC60,"",IF(AD60&gt;api용!D$2,api용!D$2,AD60)))</f>
        <v>46064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2:50" ht="36" customHeight="1">
      <c r="B61" s="45">
        <f>IF($G61="","",IFERROR(VLOOKUP($G61,RAW_tier!$B$2:$C$200,2,0),2))</f>
        <v>2</v>
      </c>
      <c r="C61" s="31" t="str">
        <f>IF(ISBLANK(태깅기획site_code!F60),"",태깅기획site_code!C60)</f>
        <v>S.E.Asia</v>
      </c>
      <c r="D61" s="31" t="str">
        <f>IF(ISBLANK(태깅기획site_code!F60),"",IF(고객법인일정파일!P60="한총","SEC",IF(LEN(TRIM(고객법인일정파일!P60))=0,태깅기획site_code!D60,고객법인일정파일!P60)))</f>
        <v>TXAD-TH</v>
      </c>
      <c r="E61" s="31" t="str">
        <f>IF(ISBLANK(태깅기획site_code!F60),"",태깅기획site_code!E60)</f>
        <v>Myanmar</v>
      </c>
      <c r="F61" s="31" t="str">
        <f>IF(ISBLANK(태깅기획site_code!F60),"",태깅기획site_code!J60)</f>
        <v>Myanmar</v>
      </c>
      <c r="G61" s="35" t="str">
        <f>IF(ISBLANK(태깅기획site_code!B60),"",태깅기획site_code!F60)</f>
        <v>mm</v>
      </c>
      <c r="H61" s="43">
        <f>IF(ISBLANK(태깅기획site_code!F60),"",IF(고객법인일정파일!Q60="X","X",고객법인일정파일!R60))</f>
        <v>46243</v>
      </c>
      <c r="I61" s="32">
        <f>IF(ISBLANK(태깅기획site_code!F60),"",IF(고객법인일정파일!Q60="X","",고객법인일정파일!S60))</f>
        <v>46246</v>
      </c>
      <c r="J61" s="41"/>
      <c r="K61" s="43">
        <v>45878</v>
      </c>
      <c r="L61" s="39">
        <v>45887</v>
      </c>
      <c r="M61" s="40" t="str">
        <f>IF(D61="","",VLOOKUP(D61,고객법인일정파일!$C$5:$J$200,8,0))&amp;""</f>
        <v>Note1-test XADF</v>
      </c>
      <c r="N61" s="38" t="str" cm="1">
        <f t="array" ref="N61">_xlfn.TEXTJOIN(CHAR(10), 1, _xlfn._xlws.FILTER('RAW_URL,PageName'!D$2:D$999, ('RAW_URL,PageName'!$C$2:$C$999=$G61)*('RAW_URL,PageName'!$B$2:$B$999="TY"), ""))</f>
        <v/>
      </c>
      <c r="O61" s="33" t="str" cm="1">
        <f t="array" ref="O61">_xlfn.TEXTJOIN(CHAR(10), 1, _xlfn._xlws.FILTER('RAW_URL,PageName'!E$2:E$999, ('RAW_URL,PageName'!$C$2:$C$999=$G61)*('RAW_URL,PageName'!$B$2:$B$999="TY"), ""))</f>
        <v/>
      </c>
      <c r="P61" s="36" t="str" cm="1">
        <f t="array" ref="P61">_xlfn.TEXTJOIN(CHAR(10), 1, _xlfn._xlws.FILTER('RAW_URL,PageName'!F$2:F$999, ('RAW_URL,PageName'!$C$2:$C$999=$G61)*('RAW_URL,PageName'!$B$2:$B$999="TY"), ""))</f>
        <v/>
      </c>
      <c r="Q61" s="38" t="str" cm="1">
        <f t="array" ref="Q61">_xlfn.TEXTJOIN(CHAR(10), 1, _xlfn._xlws.FILTER('RAW_URL,PageName'!D$2:D$999, ('RAW_URL,PageName'!$C$2:$C$999=$G61)*('RAW_URL,PageName'!$B$2:$B$999="LY"), ""))</f>
        <v/>
      </c>
      <c r="R61" s="33" t="str" cm="1">
        <f t="array" ref="R61">_xlfn.TEXTJOIN(CHAR(10), 1, _xlfn._xlws.FILTER('RAW_URL,PageName'!E$2:E$999, ('RAW_URL,PageName'!$C$2:$C$999=$G61)*('RAW_URL,PageName'!$B$2:$B$999="LY"), ""))</f>
        <v/>
      </c>
      <c r="S61" s="56" t="str" cm="1">
        <f t="array" ref="S61">_xlfn.TEXTJOIN(CHAR(10), 1, _xlfn._xlws.FILTER('RAW_URL,PageName'!F$2:F$999, ('RAW_URL,PageName'!$C$2:$C$999=$G61)*('RAW_URL,PageName'!$B$2:$B$999="LY"), ""))</f>
        <v/>
      </c>
      <c r="T61" s="116"/>
      <c r="U61" s="116">
        <f>IFERROR(VLOOKUP($C61,태깅기획site_code!$N$4:$O$18,2,0),"")</f>
        <v>4</v>
      </c>
      <c r="V61" s="1"/>
      <c r="W61" s="45">
        <v>2</v>
      </c>
      <c r="X61" s="31" t="str">
        <v>MENA</v>
      </c>
      <c r="Y61" s="31" t="str">
        <v>XADPUK</v>
      </c>
      <c r="Z61" s="31" t="str">
        <v>Pakistan</v>
      </c>
      <c r="AA61" s="31" t="str">
        <v>Pakistan</v>
      </c>
      <c r="AB61" s="46" t="str">
        <v>pk</v>
      </c>
      <c r="AC61" s="48">
        <v>46064</v>
      </c>
      <c r="AD61" s="32" t="str">
        <v>TBC</v>
      </c>
      <c r="AE61" s="86">
        <f>IF(AD61="","",IF(IF(AD61&gt;api용!D$2,api용!D$2,AD61)&lt;AC61,"",IF(AD61&gt;api용!D$2,api용!D$2,AD61)))</f>
        <v>46082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2:50">
      <c r="B62" s="45">
        <f>IF($G62="","",IFERROR(VLOOKUP($G62,RAW_tier!$B$2:$C$200,2,0),2))</f>
        <v>2</v>
      </c>
      <c r="C62" s="31" t="str">
        <f>IF(ISBLANK(태깅기획site_code!F61),"",태깅기획site_code!C61)</f>
        <v>CIS</v>
      </c>
      <c r="D62" s="31" t="str">
        <f>IF(ISBLANK(태깅기획site_code!F61),"",IF(고객법인일정파일!P61="한총","SEC",IF(LEN(TRIM(고객법인일정파일!P61))=0,태깅기획site_code!D61,고객법인일정파일!P61)))</f>
        <v>XADCAD</v>
      </c>
      <c r="E62" s="31" t="str">
        <f>IF(ISBLANK(태깅기획site_code!F61),"",태깅기획site_code!E61)</f>
        <v>Mongolia</v>
      </c>
      <c r="F62" s="31" t="str">
        <f>IF(ISBLANK(태깅기획site_code!F61),"",태깅기획site_code!J61)</f>
        <v>Mongolia</v>
      </c>
      <c r="G62" s="35" t="str">
        <f>IF(ISBLANK(태깅기획site_code!B61),"",태깅기획site_code!F61)</f>
        <v>mn</v>
      </c>
      <c r="H62" s="43">
        <f>IF(ISBLANK(태깅기획site_code!F61),"",IF(고객법인일정파일!Q61="X","X",고객법인일정파일!R61))</f>
        <v>46054</v>
      </c>
      <c r="I62" s="32">
        <f>IF(ISBLANK(태깅기획site_code!F61),"",IF(고객법인일정파일!Q61="X","",고객법인일정파일!S61))</f>
        <v>46064</v>
      </c>
      <c r="J62" s="41"/>
      <c r="K62" s="43">
        <v>45778</v>
      </c>
      <c r="L62" s="39">
        <v>45788</v>
      </c>
      <c r="M62" s="40" t="str">
        <f>IF(D62="","",VLOOKUP(D62,고객법인일정파일!$C$5:$J$200,8,0))&amp;""</f>
        <v/>
      </c>
      <c r="N62" s="38" t="str" cm="1">
        <f t="array" ref="N62">_xlfn.TEXTJOIN(CHAR(10), 1, _xlfn._xlws.FILTER('RAW_URL,PageName'!D$2:D$999, ('RAW_URL,PageName'!$C$2:$C$999=$G62)*('RAW_URL,PageName'!$B$2:$B$999="TY"), ""))</f>
        <v/>
      </c>
      <c r="O62" s="33" t="str" cm="1">
        <f t="array" ref="O62">_xlfn.TEXTJOIN(CHAR(10), 1, _xlfn._xlws.FILTER('RAW_URL,PageName'!E$2:E$999, ('RAW_URL,PageName'!$C$2:$C$999=$G62)*('RAW_URL,PageName'!$B$2:$B$999="TY"), ""))</f>
        <v/>
      </c>
      <c r="P62" s="36" t="str" cm="1">
        <f t="array" ref="P62">_xlfn.TEXTJOIN(CHAR(10), 1, _xlfn._xlws.FILTER('RAW_URL,PageName'!F$2:F$999, ('RAW_URL,PageName'!$C$2:$C$999=$G62)*('RAW_URL,PageName'!$B$2:$B$999="TY"), ""))</f>
        <v/>
      </c>
      <c r="Q62" s="38" t="str" cm="1">
        <f t="array" ref="Q62">_xlfn.TEXTJOIN(CHAR(10), 1, _xlfn._xlws.FILTER('RAW_URL,PageName'!D$2:D$999, ('RAW_URL,PageName'!$C$2:$C$999=$G62)*('RAW_URL,PageName'!$B$2:$B$999="LY"), ""))</f>
        <v/>
      </c>
      <c r="R62" s="33" t="str" cm="1">
        <f t="array" ref="R62">_xlfn.TEXTJOIN(CHAR(10), 1, _xlfn._xlws.FILTER('RAW_URL,PageName'!E$2:E$999, ('RAW_URL,PageName'!$C$2:$C$999=$G62)*('RAW_URL,PageName'!$B$2:$B$999="LY"), ""))</f>
        <v/>
      </c>
      <c r="S62" s="56" t="str" cm="1">
        <f t="array" ref="S62">_xlfn.TEXTJOIN(CHAR(10), 1, _xlfn._xlws.FILTER('RAW_URL,PageName'!F$2:F$999, ('RAW_URL,PageName'!$C$2:$C$999=$G62)*('RAW_URL,PageName'!$B$2:$B$999="LY"), ""))</f>
        <v/>
      </c>
      <c r="T62" s="116"/>
      <c r="U62" s="116">
        <f>IFERROR(VLOOKUP($C62,태깅기획site_code!$N$4:$O$18,2,0),"")</f>
        <v>7</v>
      </c>
      <c r="V62" s="1"/>
      <c r="W62" s="45">
        <v>2</v>
      </c>
      <c r="X62" s="31" t="str">
        <v>MENA</v>
      </c>
      <c r="Y62" s="31" t="str">
        <v>XADIL</v>
      </c>
      <c r="Z62" s="31" t="str">
        <v>Palestine</v>
      </c>
      <c r="AA62" s="31" t="str">
        <v>Palestine</v>
      </c>
      <c r="AB62" s="46" t="str">
        <v>ps</v>
      </c>
      <c r="AC62" s="48" t="str">
        <v>X</v>
      </c>
      <c r="AD62" s="32" t="str">
        <v/>
      </c>
      <c r="AE62" s="86" t="str">
        <f>IF(AD62="","",IF(IF(AD62&gt;api용!D$2,api용!D$2,AD62)&lt;AC62,"",IF(AD62&gt;api용!D$2,api용!D$2,AD62)))</f>
        <v/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2:50">
      <c r="B63" s="45">
        <f>IF($G63="","",IFERROR(VLOOKUP($G63,RAW_tier!$B$2:$C$200,2,0),2))</f>
        <v>1</v>
      </c>
      <c r="C63" s="31" t="str">
        <f>IF(ISBLANK(태깅기획site_code!F62),"",태깅기획site_code!C62)</f>
        <v>L.America</v>
      </c>
      <c r="D63" s="31" t="str">
        <f>IF(ISBLANK(태깅기획site_code!F62),"",IF(고객법인일정파일!P62="한총","SEC",IF(LEN(TRIM(고객법인일정파일!P62))=0,태깅기획site_code!D62,고객법인일정파일!P62)))</f>
        <v>XADM</v>
      </c>
      <c r="E63" s="31" t="str">
        <f>IF(ISBLANK(태깅기획site_code!F62),"",태깅기획site_code!E62)</f>
        <v>Mexico</v>
      </c>
      <c r="F63" s="31" t="str">
        <f>IF(ISBLANK(태깅기획site_code!F62),"",태깅기획site_code!J62)</f>
        <v>Mexico</v>
      </c>
      <c r="G63" s="35" t="str">
        <f>IF(ISBLANK(태깅기획site_code!B62),"",태깅기획site_code!F62)</f>
        <v>mx</v>
      </c>
      <c r="H63" s="43">
        <f>IF(ISBLANK(태깅기획site_code!F62),"",IF(고객법인일정파일!Q62="X","X",고객법인일정파일!R62))</f>
        <v>46042</v>
      </c>
      <c r="I63" s="32">
        <f>IF(ISBLANK(태깅기획site_code!F62),"",IF(고객법인일정파일!Q62="X","",고객법인일정파일!S62))</f>
        <v>46063</v>
      </c>
      <c r="J63" s="41"/>
      <c r="K63" s="43">
        <v>45767</v>
      </c>
      <c r="L63" s="39">
        <v>45790</v>
      </c>
      <c r="M63" s="40" t="str">
        <f>IF(D63="","",VLOOKUP(D63,고객법인일정파일!$C$5:$J$200,8,0))&amp;""</f>
        <v/>
      </c>
      <c r="N63" s="38" t="str" cm="1">
        <f t="array" ref="N63">_xlfn.TEXTJOIN(CHAR(10), 1, _xlfn._xlws.FILTER('RAW_URL,PageName'!D$2:D$999, ('RAW_URL,PageName'!$C$2:$C$999=$G63)*('RAW_URL,PageName'!$B$2:$B$999="TY"), ""))</f>
        <v/>
      </c>
      <c r="O63" s="33" t="str" cm="1">
        <f t="array" ref="O63">_xlfn.TEXTJOIN(CHAR(10), 1, _xlfn._xlws.FILTER('RAW_URL,PageName'!E$2:E$999, ('RAW_URL,PageName'!$C$2:$C$999=$G63)*('RAW_URL,PageName'!$B$2:$B$999="TY"), ""))</f>
        <v/>
      </c>
      <c r="P63" s="36" t="str" cm="1">
        <f t="array" ref="P63">_xlfn.TEXTJOIN(CHAR(10), 1, _xlfn._xlws.FILTER('RAW_URL,PageName'!F$2:F$999, ('RAW_URL,PageName'!$C$2:$C$999=$G63)*('RAW_URL,PageName'!$B$2:$B$999="TY"), ""))</f>
        <v/>
      </c>
      <c r="Q63" s="38" t="str" cm="1">
        <f t="array" ref="Q63">_xlfn.TEXTJOIN(CHAR(10), 1, _xlfn._xlws.FILTER('RAW_URL,PageName'!D$2:D$999, ('RAW_URL,PageName'!$C$2:$C$999=$G63)*('RAW_URL,PageName'!$B$2:$B$999="LY"), ""))</f>
        <v/>
      </c>
      <c r="R63" s="33" t="str" cm="1">
        <f t="array" ref="R63">_xlfn.TEXTJOIN(CHAR(10), 1, _xlfn._xlws.FILTER('RAW_URL,PageName'!E$2:E$999, ('RAW_URL,PageName'!$C$2:$C$999=$G63)*('RAW_URL,PageName'!$B$2:$B$999="LY"), ""))</f>
        <v/>
      </c>
      <c r="S63" s="56" t="str" cm="1">
        <f t="array" ref="S63">_xlfn.TEXTJOIN(CHAR(10), 1, _xlfn._xlws.FILTER('RAW_URL,PageName'!F$2:F$999, ('RAW_URL,PageName'!$C$2:$C$999=$G63)*('RAW_URL,PageName'!$B$2:$B$999="LY"), ""))</f>
        <v/>
      </c>
      <c r="T63" s="116"/>
      <c r="U63" s="116">
        <f>IFERROR(VLOOKUP($C63,태깅기획site_code!$N$4:$O$18,2,0),"")</f>
        <v>3</v>
      </c>
      <c r="V63" s="1"/>
      <c r="W63" s="45">
        <v>2</v>
      </c>
      <c r="X63" s="31" t="str">
        <v>EU</v>
      </c>
      <c r="Y63" s="31" t="str">
        <v>XADIB-PT</v>
      </c>
      <c r="Z63" s="31" t="str">
        <v>Portugal</v>
      </c>
      <c r="AA63" s="31" t="str">
        <v>Portugal</v>
      </c>
      <c r="AB63" s="46" t="str">
        <v>pt</v>
      </c>
      <c r="AC63" s="48">
        <v>46042</v>
      </c>
      <c r="AD63" s="32">
        <v>46063</v>
      </c>
      <c r="AE63" s="86">
        <f>IF(AD63="","",IF(IF(AD63&gt;api용!D$2,api용!D$2,AD63)&lt;AC63,"",IF(AD63&gt;api용!D$2,api용!D$2,AD63)))</f>
        <v>46063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2:50" ht="36" customHeight="1">
      <c r="B64" s="45">
        <f>IF($G64="","",IFERROR(VLOOKUP($G64,RAW_tier!$B$2:$C$200,2,0),2))</f>
        <v>2</v>
      </c>
      <c r="C64" s="31" t="str">
        <f>IF(ISBLANK(태깅기획site_code!F63),"",태깅기획site_code!C63)</f>
        <v>S.E.Asia</v>
      </c>
      <c r="D64" s="31" t="str">
        <f>IF(ISBLANK(태깅기획site_code!F63),"",IF(고객법인일정파일!P63="한총","SEC",IF(LEN(TRIM(고객법인일정파일!P63))=0,태깅기획site_code!D63,고객법인일정파일!P63)))</f>
        <v>XMAD</v>
      </c>
      <c r="E64" s="31" t="str">
        <f>IF(ISBLANK(태깅기획site_code!F63),"",태깅기획site_code!E63)</f>
        <v>Malaysia</v>
      </c>
      <c r="F64" s="31" t="str">
        <f>IF(ISBLANK(태깅기획site_code!F63),"",태깅기획site_code!J63)</f>
        <v>Malaysia</v>
      </c>
      <c r="G64" s="35" t="str">
        <f>IF(ISBLANK(태깅기획site_code!B63),"",태깅기획site_code!F63)</f>
        <v>my</v>
      </c>
      <c r="H64" s="43" t="str">
        <f>IF(ISBLANK(태깅기획site_code!F63),"",IF(고객법인일정파일!Q63="X","X",고객법인일정파일!R63))</f>
        <v>X</v>
      </c>
      <c r="I64" s="32" t="str">
        <f>IF(ISBLANK(태깅기획site_code!F63),"",IF(고객법인일정파일!Q63="X","",고객법인일정파일!S63))</f>
        <v/>
      </c>
      <c r="J64" s="41"/>
      <c r="K64" s="43"/>
      <c r="L64" s="39"/>
      <c r="M64" s="40" t="str">
        <f>IF(D64="","",VLOOKUP(D64,고객법인일정파일!$C$5:$J$200,8,0))&amp;""</f>
        <v>Note1-test XADI</v>
      </c>
      <c r="N64" s="38" t="str" cm="1">
        <f t="array" ref="N64">_xlfn.TEXTJOIN(CHAR(10), 1, _xlfn._xlws.FILTER('RAW_URL,PageName'!D$2:D$999, ('RAW_URL,PageName'!$C$2:$C$999=$G64)*('RAW_URL,PageName'!$B$2:$B$999="TY"), ""))</f>
        <v/>
      </c>
      <c r="O64" s="33" t="str" cm="1">
        <f t="array" ref="O64">_xlfn.TEXTJOIN(CHAR(10), 1, _xlfn._xlws.FILTER('RAW_URL,PageName'!E$2:E$999, ('RAW_URL,PageName'!$C$2:$C$999=$G64)*('RAW_URL,PageName'!$B$2:$B$999="TY"), ""))</f>
        <v/>
      </c>
      <c r="P64" s="36" t="str" cm="1">
        <f t="array" ref="P64">_xlfn.TEXTJOIN(CHAR(10), 1, _xlfn._xlws.FILTER('RAW_URL,PageName'!F$2:F$999, ('RAW_URL,PageName'!$C$2:$C$999=$G64)*('RAW_URL,PageName'!$B$2:$B$999="TY"), ""))</f>
        <v/>
      </c>
      <c r="Q64" s="38" t="str" cm="1">
        <f t="array" ref="Q64">_xlfn.TEXTJOIN(CHAR(10), 1, _xlfn._xlws.FILTER('RAW_URL,PageName'!D$2:D$999, ('RAW_URL,PageName'!$C$2:$C$999=$G64)*('RAW_URL,PageName'!$B$2:$B$999="LY"), ""))</f>
        <v/>
      </c>
      <c r="R64" s="33" t="str" cm="1">
        <f t="array" ref="R64">_xlfn.TEXTJOIN(CHAR(10), 1, _xlfn._xlws.FILTER('RAW_URL,PageName'!E$2:E$999, ('RAW_URL,PageName'!$C$2:$C$999=$G64)*('RAW_URL,PageName'!$B$2:$B$999="LY"), ""))</f>
        <v/>
      </c>
      <c r="S64" s="56" t="str" cm="1">
        <f t="array" ref="S64">_xlfn.TEXTJOIN(CHAR(10), 1, _xlfn._xlws.FILTER('RAW_URL,PageName'!F$2:F$999, ('RAW_URL,PageName'!$C$2:$C$999=$G64)*('RAW_URL,PageName'!$B$2:$B$999="LY"), ""))</f>
        <v/>
      </c>
      <c r="T64" s="116"/>
      <c r="U64" s="116">
        <f>IFERROR(VLOOKUP($C64,태깅기획site_code!$N$4:$O$18,2,0),"")</f>
        <v>4</v>
      </c>
      <c r="V64" s="1"/>
      <c r="W64" s="45">
        <v>2</v>
      </c>
      <c r="X64" s="31" t="str">
        <v>L.America</v>
      </c>
      <c r="Y64" s="31" t="str">
        <v>XADLU</v>
      </c>
      <c r="Z64" s="31" t="str">
        <v>Paraguay</v>
      </c>
      <c r="AA64" s="31" t="str">
        <v>Paraguay</v>
      </c>
      <c r="AB64" s="46" t="str">
        <v>py</v>
      </c>
      <c r="AC64" s="48">
        <v>46042</v>
      </c>
      <c r="AD64" s="32">
        <v>46063</v>
      </c>
      <c r="AE64" s="86">
        <f>IF(AD64="","",IF(IF(AD64&gt;api용!D$2,api용!D$2,AD64)&lt;AC64,"",IF(AD64&gt;api용!D$2,api용!D$2,AD64)))</f>
        <v>46063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2:50" ht="24" customHeight="1">
      <c r="B65" s="45">
        <f>IF($G65="","",IFERROR(VLOOKUP($G65,RAW_tier!$B$2:$C$200,2,0),2))</f>
        <v>2</v>
      </c>
      <c r="C65" s="31" t="str">
        <f>IF(ISBLANK(태깅기획site_code!F64),"",태깅기획site_code!C64)</f>
        <v>MENA</v>
      </c>
      <c r="D65" s="31" t="str">
        <f>IF(ISBLANK(태깅기획site_code!F64),"",IF(고객법인일정파일!P64="한총","SEC",IF(LEN(TRIM(고객법인일정파일!P64))=0,태깅기획site_code!D64,고객법인일정파일!P64)))</f>
        <v>XADMUG</v>
      </c>
      <c r="E65" s="31" t="str">
        <f>IF(ISBLANK(태깅기획site_code!F64),"",태깅기획site_code!E64)</f>
        <v>Morocco</v>
      </c>
      <c r="F65" s="31" t="str">
        <f>IF(ISBLANK(태깅기획site_code!F64),"",태깅기획site_code!J64)</f>
        <v>North Africa</v>
      </c>
      <c r="G65" s="35" t="str">
        <f>IF(ISBLANK(태깅기획site_code!B64),"",태깅기획site_code!F64)</f>
        <v>n_africa</v>
      </c>
      <c r="H65" s="43" t="str">
        <f>IF(ISBLANK(태깅기획site_code!F64),"",IF(고객법인일정파일!Q64="X","X",고객법인일정파일!R64))</f>
        <v>TBC</v>
      </c>
      <c r="I65" s="32" t="str">
        <f>IF(ISBLANK(태깅기획site_code!F64),"",IF(고객법인일정파일!Q64="X","",고객법인일정파일!S64))</f>
        <v>TBC</v>
      </c>
      <c r="J65" s="41"/>
      <c r="K65" s="43"/>
      <c r="L65" s="39"/>
      <c r="M65" s="40" t="str">
        <f>IF(D65="","",VLOOKUP(D65,고객법인일정파일!$C$5:$J$200,8,0))&amp;""</f>
        <v>Note1-test XADCZ</v>
      </c>
      <c r="N65" s="38" t="str" cm="1">
        <f t="array" ref="N65">_xlfn.TEXTJOIN(CHAR(10), 1, _xlfn._xlws.FILTER('RAW_URL,PageName'!D$2:D$999, ('RAW_URL,PageName'!$C$2:$C$999=$G65)*('RAW_URL,PageName'!$B$2:$B$999="TY"), ""))</f>
        <v/>
      </c>
      <c r="O65" s="33" t="str" cm="1">
        <f t="array" ref="O65">_xlfn.TEXTJOIN(CHAR(10), 1, _xlfn._xlws.FILTER('RAW_URL,PageName'!E$2:E$999, ('RAW_URL,PageName'!$C$2:$C$999=$G65)*('RAW_URL,PageName'!$B$2:$B$999="TY"), ""))</f>
        <v/>
      </c>
      <c r="P65" s="36" t="str" cm="1">
        <f t="array" ref="P65">_xlfn.TEXTJOIN(CHAR(10), 1, _xlfn._xlws.FILTER('RAW_URL,PageName'!F$2:F$999, ('RAW_URL,PageName'!$C$2:$C$999=$G65)*('RAW_URL,PageName'!$B$2:$B$999="TY"), ""))</f>
        <v/>
      </c>
      <c r="Q65" s="38" t="str" cm="1">
        <f t="array" ref="Q65">_xlfn.TEXTJOIN(CHAR(10), 1, _xlfn._xlws.FILTER('RAW_URL,PageName'!D$2:D$999, ('RAW_URL,PageName'!$C$2:$C$999=$G65)*('RAW_URL,PageName'!$B$2:$B$999="LY"), ""))</f>
        <v/>
      </c>
      <c r="R65" s="33" t="str" cm="1">
        <f t="array" ref="R65">_xlfn.TEXTJOIN(CHAR(10), 1, _xlfn._xlws.FILTER('RAW_URL,PageName'!E$2:E$999, ('RAW_URL,PageName'!$C$2:$C$999=$G65)*('RAW_URL,PageName'!$B$2:$B$999="LY"), ""))</f>
        <v/>
      </c>
      <c r="S65" s="56" t="str" cm="1">
        <f t="array" ref="S65">_xlfn.TEXTJOIN(CHAR(10), 1, _xlfn._xlws.FILTER('RAW_URL,PageName'!F$2:F$999, ('RAW_URL,PageName'!$C$2:$C$999=$G65)*('RAW_URL,PageName'!$B$2:$B$999="LY"), ""))</f>
        <v/>
      </c>
      <c r="T65" s="116"/>
      <c r="U65" s="116">
        <f>IFERROR(VLOOKUP($C65,태깅기획site_code!$N$4:$O$18,2,0),"")</f>
        <v>6</v>
      </c>
      <c r="V65" s="1"/>
      <c r="W65" s="45">
        <v>2</v>
      </c>
      <c r="X65" s="31" t="str">
        <v>EU</v>
      </c>
      <c r="Y65" s="31" t="str">
        <v>XADROM</v>
      </c>
      <c r="Z65" s="31" t="str">
        <v>Romania</v>
      </c>
      <c r="AA65" s="31" t="str">
        <v>Romania</v>
      </c>
      <c r="AB65" s="46" t="str">
        <v>ro</v>
      </c>
      <c r="AC65" s="48">
        <v>46113</v>
      </c>
      <c r="AD65" s="32">
        <v>46122</v>
      </c>
      <c r="AE65" s="86" t="str">
        <f>IF(AD65="","",IF(IF(AD65&gt;api용!D$2,api용!D$2,AD65)&lt;AC65,"",IF(AD65&gt;api용!D$2,api용!D$2,AD65)))</f>
        <v/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2:50">
      <c r="B66" s="45">
        <f>IF($G66="","",IFERROR(VLOOKUP($G66,RAW_tier!$B$2:$C$200,2,0),2))</f>
        <v>2</v>
      </c>
      <c r="C66" s="31" t="str">
        <f>IF(ISBLANK(태깅기획site_code!F65),"",태깅기획site_code!C65)</f>
        <v>EU</v>
      </c>
      <c r="D66" s="31" t="str">
        <f>IF(ISBLANK(태깅기획site_code!F65),"",IF(고객법인일정파일!P65="한총","SEC",IF(LEN(TRIM(고객법인일정파일!P65))=0,태깅기획site_code!D65,고객법인일정파일!P65)))</f>
        <v>XADBN-NL</v>
      </c>
      <c r="E66" s="31" t="str">
        <f>IF(ISBLANK(태깅기획site_code!F65),"",태깅기획site_code!E65)</f>
        <v>Netherlands</v>
      </c>
      <c r="F66" s="31" t="str">
        <f>IF(ISBLANK(태깅기획site_code!F65),"",태깅기획site_code!J65)</f>
        <v>Netherlands</v>
      </c>
      <c r="G66" s="35" t="str">
        <f>IF(ISBLANK(태깅기획site_code!B65),"",태깅기획site_code!F65)</f>
        <v>nl</v>
      </c>
      <c r="H66" s="43">
        <f>IF(ISBLANK(태깅기획site_code!F65),"",IF(고객법인일정파일!Q65="X","X",고객법인일정파일!R65))</f>
        <v>46050</v>
      </c>
      <c r="I66" s="32">
        <f>IF(ISBLANK(태깅기획site_code!F65),"",IF(고객법인일정파일!Q65="X","",고객법인일정파일!S65))</f>
        <v>46063</v>
      </c>
      <c r="J66" s="41"/>
      <c r="K66" s="43"/>
      <c r="L66" s="39"/>
      <c r="M66" s="40" t="str">
        <f>IF(D66="","",VLOOKUP(D66,고객법인일정파일!$C$5:$J$200,8,0))&amp;""</f>
        <v/>
      </c>
      <c r="N66" s="38" t="str" cm="1">
        <f t="array" ref="N66">_xlfn.TEXTJOIN(CHAR(10), 1, _xlfn._xlws.FILTER('RAW_URL,PageName'!D$2:D$999, ('RAW_URL,PageName'!$C$2:$C$999=$G66)*('RAW_URL,PageName'!$B$2:$B$999="TY"), ""))</f>
        <v/>
      </c>
      <c r="O66" s="33" t="str" cm="1">
        <f t="array" ref="O66">_xlfn.TEXTJOIN(CHAR(10), 1, _xlfn._xlws.FILTER('RAW_URL,PageName'!E$2:E$999, ('RAW_URL,PageName'!$C$2:$C$999=$G66)*('RAW_URL,PageName'!$B$2:$B$999="TY"), ""))</f>
        <v/>
      </c>
      <c r="P66" s="36" t="str" cm="1">
        <f t="array" ref="P66">_xlfn.TEXTJOIN(CHAR(10), 1, _xlfn._xlws.FILTER('RAW_URL,PageName'!F$2:F$999, ('RAW_URL,PageName'!$C$2:$C$999=$G66)*('RAW_URL,PageName'!$B$2:$B$999="TY"), ""))</f>
        <v/>
      </c>
      <c r="Q66" s="38" t="str" cm="1">
        <f t="array" ref="Q66">_xlfn.TEXTJOIN(CHAR(10), 1, _xlfn._xlws.FILTER('RAW_URL,PageName'!D$2:D$999, ('RAW_URL,PageName'!$C$2:$C$999=$G66)*('RAW_URL,PageName'!$B$2:$B$999="LY"), ""))</f>
        <v/>
      </c>
      <c r="R66" s="33" t="str" cm="1">
        <f t="array" ref="R66">_xlfn.TEXTJOIN(CHAR(10), 1, _xlfn._xlws.FILTER('RAW_URL,PageName'!E$2:E$999, ('RAW_URL,PageName'!$C$2:$C$999=$G66)*('RAW_URL,PageName'!$B$2:$B$999="LY"), ""))</f>
        <v/>
      </c>
      <c r="S66" s="56" t="str" cm="1">
        <f t="array" ref="S66">_xlfn.TEXTJOIN(CHAR(10), 1, _xlfn._xlws.FILTER('RAW_URL,PageName'!F$2:F$999, ('RAW_URL,PageName'!$C$2:$C$999=$G66)*('RAW_URL,PageName'!$B$2:$B$999="LY"), ""))</f>
        <v/>
      </c>
      <c r="T66" s="116"/>
      <c r="U66" s="116">
        <f>IFERROR(VLOOKUP($C66,태깅기획site_code!$N$4:$O$18,2,0),"")</f>
        <v>2</v>
      </c>
      <c r="V66" s="1"/>
      <c r="W66" s="45">
        <v>2</v>
      </c>
      <c r="X66" s="31" t="str">
        <v>EU</v>
      </c>
      <c r="Y66" s="31" t="str">
        <v>XADUD</v>
      </c>
      <c r="Z66" s="31" t="str">
        <v>Serbia</v>
      </c>
      <c r="AA66" s="31" t="str">
        <v>Serbia</v>
      </c>
      <c r="AB66" s="46" t="str">
        <v>rs</v>
      </c>
      <c r="AC66" s="48" t="str">
        <v>X</v>
      </c>
      <c r="AD66" s="32" t="str">
        <v/>
      </c>
      <c r="AE66" s="86" t="str">
        <f>IF(AD66="","",IF(IF(AD66&gt;api용!D$2,api용!D$2,AD66)&lt;AC66,"",IF(AD66&gt;api용!D$2,api용!D$2,AD66)))</f>
        <v/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2:50" ht="60" customHeight="1">
      <c r="B67" s="45">
        <f>IF($G67="","",IFERROR(VLOOKUP($G67,RAW_tier!$B$2:$C$200,2,0),2))</f>
        <v>2</v>
      </c>
      <c r="C67" s="31" t="str">
        <f>IF(ISBLANK(태깅기획site_code!F66),"",태깅기획site_code!C66)</f>
        <v>EU</v>
      </c>
      <c r="D67" s="31" t="str">
        <f>IF(ISBLANK(태깅기획site_code!F66),"",IF(고객법인일정파일!P66="한총","SEC",IF(LEN(TRIM(고객법인일정파일!P66))=0,태깅기획site_code!D66,고객법인일정파일!P66)))</f>
        <v>XADNU</v>
      </c>
      <c r="E67" s="31" t="str">
        <f>IF(ISBLANK(태깅기획site_code!F66),"",태깅기획site_code!E66)</f>
        <v>Norway</v>
      </c>
      <c r="F67" s="31" t="str">
        <f>IF(ISBLANK(태깅기획site_code!F66),"",태깅기획site_code!J66)</f>
        <v>Norway</v>
      </c>
      <c r="G67" s="35" t="str">
        <f>IF(ISBLANK(태깅기획site_code!B66),"",태깅기획site_code!F66)</f>
        <v>no</v>
      </c>
      <c r="H67" s="43" t="str">
        <f>IF(ISBLANK(태깅기획site_code!F66),"",IF(고객법인일정파일!Q66="X","X",고객법인일정파일!R66))</f>
        <v>X</v>
      </c>
      <c r="I67" s="32" t="str">
        <f>IF(ISBLANK(태깅기획site_code!F66),"",IF(고객법인일정파일!Q66="X","",고객법인일정파일!S66))</f>
        <v/>
      </c>
      <c r="J67" s="41"/>
      <c r="K67" s="43"/>
      <c r="L67" s="39"/>
      <c r="M67" s="40" t="str">
        <f>IF(D67="","",VLOOKUP(D67,고객법인일정파일!$C$5:$J$200,8,0))&amp;""</f>
        <v>Note1-test XADBN-NL</v>
      </c>
      <c r="N67" s="38" t="str" cm="1">
        <f t="array" ref="N67">_xlfn.TEXTJOIN(CHAR(10), 1, _xlfn._xlws.FILTER('RAW_URL,PageName'!D$2:D$999, ('RAW_URL,PageName'!$C$2:$C$999=$G67)*('RAW_URL,PageName'!$B$2:$B$999="TY"), ""))</f>
        <v/>
      </c>
      <c r="O67" s="33" t="str" cm="1">
        <f t="array" ref="O67">_xlfn.TEXTJOIN(CHAR(10), 1, _xlfn._xlws.FILTER('RAW_URL,PageName'!E$2:E$999, ('RAW_URL,PageName'!$C$2:$C$999=$G67)*('RAW_URL,PageName'!$B$2:$B$999="TY"), ""))</f>
        <v/>
      </c>
      <c r="P67" s="36" t="str" cm="1">
        <f t="array" ref="P67">_xlfn.TEXTJOIN(CHAR(10), 1, _xlfn._xlws.FILTER('RAW_URL,PageName'!F$2:F$999, ('RAW_URL,PageName'!$C$2:$C$999=$G67)*('RAW_URL,PageName'!$B$2:$B$999="TY"), ""))</f>
        <v/>
      </c>
      <c r="Q67" s="38" t="str" cm="1">
        <f t="array" ref="Q67">_xlfn.TEXTJOIN(CHAR(10), 1, _xlfn._xlws.FILTER('RAW_URL,PageName'!D$2:D$999, ('RAW_URL,PageName'!$C$2:$C$999=$G67)*('RAW_URL,PageName'!$B$2:$B$999="LY"), ""))</f>
        <v/>
      </c>
      <c r="R67" s="33" t="str" cm="1">
        <f t="array" ref="R67">_xlfn.TEXTJOIN(CHAR(10), 1, _xlfn._xlws.FILTER('RAW_URL,PageName'!E$2:E$999, ('RAW_URL,PageName'!$C$2:$C$999=$G67)*('RAW_URL,PageName'!$B$2:$B$999="LY"), ""))</f>
        <v/>
      </c>
      <c r="S67" s="56" t="str" cm="1">
        <f t="array" ref="S67">_xlfn.TEXTJOIN(CHAR(10), 1, _xlfn._xlws.FILTER('RAW_URL,PageName'!F$2:F$999, ('RAW_URL,PageName'!$C$2:$C$999=$G67)*('RAW_URL,PageName'!$B$2:$B$999="LY"), ""))</f>
        <v/>
      </c>
      <c r="T67" s="116"/>
      <c r="U67" s="116">
        <f>IFERROR(VLOOKUP($C67,태깅기획site_code!$N$4:$O$18,2,0),"")</f>
        <v>2</v>
      </c>
      <c r="V67" s="1"/>
      <c r="W67" s="45">
        <v>2</v>
      </c>
      <c r="X67" s="31" t="str">
        <v>MENA</v>
      </c>
      <c r="Y67" s="31" t="str">
        <v>XADXUR</v>
      </c>
      <c r="Z67" s="31" t="str">
        <v>Saudi Arabia</v>
      </c>
      <c r="AA67" s="31" t="str">
        <v>Saudi Arabia</v>
      </c>
      <c r="AB67" s="46" t="str">
        <v>sa</v>
      </c>
      <c r="AC67" s="48" t="str">
        <v>X</v>
      </c>
      <c r="AD67" s="32" t="str">
        <v/>
      </c>
      <c r="AE67" s="86" t="str">
        <f>IF(AD67="","",IF(IF(AD67&gt;api용!D$2,api용!D$2,AD67)&lt;AC67,"",IF(AD67&gt;api용!D$2,api용!D$2,AD67)))</f>
        <v/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2:50">
      <c r="B68" s="45">
        <f>IF($G68="","",IFERROR(VLOOKUP($G68,RAW_tier!$B$2:$C$200,2,0),2))</f>
        <v>2</v>
      </c>
      <c r="C68" s="31" t="str">
        <f>IF(ISBLANK(태깅기획site_code!F67),"",태깅기획site_code!C67)</f>
        <v>S.E.Asia</v>
      </c>
      <c r="D68" s="31" t="str">
        <f>IF(ISBLANK(태깅기획site_code!F67),"",IF(고객법인일정파일!P67="한총","SEC",IF(LEN(TRIM(고객법인일정파일!P67))=0,태깅기획site_code!D67,고객법인일정파일!P67)))</f>
        <v>XADNZ</v>
      </c>
      <c r="E68" s="31" t="str">
        <f>IF(ISBLANK(태깅기획site_code!F67),"",태깅기획site_code!E67)</f>
        <v>New Zealand</v>
      </c>
      <c r="F68" s="31" t="str">
        <f>IF(ISBLANK(태깅기획site_code!F67),"",태깅기획site_code!J67)</f>
        <v>New Zealand</v>
      </c>
      <c r="G68" s="35" t="str">
        <f>IF(ISBLANK(태깅기획site_code!B67),"",태깅기획site_code!F67)</f>
        <v>nz</v>
      </c>
      <c r="H68" s="43">
        <f>IF(ISBLANK(태깅기획site_code!F67),"",IF(고객법인일정파일!Q67="X","X",고객법인일정파일!R67))</f>
        <v>46036</v>
      </c>
      <c r="I68" s="32">
        <f>IF(ISBLANK(태깅기획site_code!F67),"",IF(고객법인일정파일!Q67="X","",고객법인일정파일!S67))</f>
        <v>46064</v>
      </c>
      <c r="J68" s="41"/>
      <c r="K68" s="43"/>
      <c r="L68" s="39"/>
      <c r="M68" s="40" t="str">
        <f>IF(D68="","",VLOOKUP(D68,고객법인일정파일!$C$5:$J$200,8,0))&amp;""</f>
        <v/>
      </c>
      <c r="N68" s="38" t="str" cm="1">
        <f t="array" ref="N68">_xlfn.TEXTJOIN(CHAR(10), 1, _xlfn._xlws.FILTER('RAW_URL,PageName'!D$2:D$999, ('RAW_URL,PageName'!$C$2:$C$999=$G68)*('RAW_URL,PageName'!$B$2:$B$999="TY"), ""))</f>
        <v/>
      </c>
      <c r="O68" s="33" t="str" cm="1">
        <f t="array" ref="O68">_xlfn.TEXTJOIN(CHAR(10), 1, _xlfn._xlws.FILTER('RAW_URL,PageName'!E$2:E$999, ('RAW_URL,PageName'!$C$2:$C$999=$G68)*('RAW_URL,PageName'!$B$2:$B$999="TY"), ""))</f>
        <v/>
      </c>
      <c r="P68" s="36" t="str" cm="1">
        <f t="array" ref="P68">_xlfn.TEXTJOIN(CHAR(10), 1, _xlfn._xlws.FILTER('RAW_URL,PageName'!F$2:F$999, ('RAW_URL,PageName'!$C$2:$C$999=$G68)*('RAW_URL,PageName'!$B$2:$B$999="TY"), ""))</f>
        <v/>
      </c>
      <c r="Q68" s="38" t="str" cm="1">
        <f t="array" ref="Q68">_xlfn.TEXTJOIN(CHAR(10), 1, _xlfn._xlws.FILTER('RAW_URL,PageName'!D$2:D$999, ('RAW_URL,PageName'!$C$2:$C$999=$G68)*('RAW_URL,PageName'!$B$2:$B$999="LY"), ""))</f>
        <v/>
      </c>
      <c r="R68" s="33" t="str" cm="1">
        <f t="array" ref="R68">_xlfn.TEXTJOIN(CHAR(10), 1, _xlfn._xlws.FILTER('RAW_URL,PageName'!E$2:E$999, ('RAW_URL,PageName'!$C$2:$C$999=$G68)*('RAW_URL,PageName'!$B$2:$B$999="LY"), ""))</f>
        <v/>
      </c>
      <c r="S68" s="56" t="str" cm="1">
        <f t="array" ref="S68">_xlfn.TEXTJOIN(CHAR(10), 1, _xlfn._xlws.FILTER('RAW_URL,PageName'!F$2:F$999, ('RAW_URL,PageName'!$C$2:$C$999=$G68)*('RAW_URL,PageName'!$B$2:$B$999="LY"), ""))</f>
        <v/>
      </c>
      <c r="T68" s="116"/>
      <c r="U68" s="116">
        <f>IFERROR(VLOOKUP($C68,태깅기획site_code!$N$4:$O$18,2,0),"")</f>
        <v>4</v>
      </c>
      <c r="V68" s="1"/>
      <c r="W68" s="45">
        <v>2</v>
      </c>
      <c r="X68" s="31" t="str">
        <v>MENA</v>
      </c>
      <c r="Y68" s="31" t="str">
        <v>XADXUR</v>
      </c>
      <c r="Z68" s="31" t="str">
        <v>Saudi Arabia</v>
      </c>
      <c r="AA68" s="31" t="str">
        <v>Saudi Arabia (en)</v>
      </c>
      <c r="AB68" s="46" t="str">
        <v>sa_en</v>
      </c>
      <c r="AC68" s="48" t="str">
        <v>X</v>
      </c>
      <c r="AD68" s="32" t="str">
        <v/>
      </c>
      <c r="AE68" s="86" t="str">
        <f>IF(AD68="","",IF(IF(AD68&gt;api용!D$2,api용!D$2,AD68)&lt;AC68,"",IF(AD68&gt;api용!D$2,api용!D$2,AD68)))</f>
        <v/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2:50">
      <c r="B69" s="45">
        <f>IF($G69="","",IFERROR(VLOOKUP($G69,RAW_tier!$B$2:$C$200,2,0),2))</f>
        <v>2</v>
      </c>
      <c r="C69" s="31" t="str">
        <f>IF(ISBLANK(태깅기획site_code!F68),"",태깅기획site_code!C68)</f>
        <v>L.America</v>
      </c>
      <c r="D69" s="31" t="str">
        <f>IF(ISBLANK(태깅기획site_code!F68),"",IF(고객법인일정파일!P68="한총","SEC",IF(LEN(TRIM(고객법인일정파일!P68))=0,태깅기획site_code!D68,고객법인일정파일!P68)))</f>
        <v>XADPR</v>
      </c>
      <c r="E69" s="31" t="str">
        <f>IF(ISBLANK(태깅기획site_code!F68),"",태깅기획site_code!E68)</f>
        <v>Peru</v>
      </c>
      <c r="F69" s="31" t="str">
        <f>IF(ISBLANK(태깅기획site_code!F68),"",태깅기획site_code!J68)</f>
        <v>Peru</v>
      </c>
      <c r="G69" s="35" t="str">
        <f>IF(ISBLANK(태깅기획site_code!B68),"",태깅기획site_code!F68)</f>
        <v>pe</v>
      </c>
      <c r="H69" s="43">
        <f>IF(ISBLANK(태깅기획site_code!F68),"",IF(고객법인일정파일!Q68="X","X",고객법인일정파일!R68))</f>
        <v>46048</v>
      </c>
      <c r="I69" s="32">
        <f>IF(ISBLANK(태깅기획site_code!F68),"",IF(고객법인일정파일!Q68="X","",고객법인일정파일!S68))</f>
        <v>46063</v>
      </c>
      <c r="J69" s="41"/>
      <c r="K69" s="43"/>
      <c r="L69" s="39"/>
      <c r="M69" s="40" t="str">
        <f>IF(D69="","",VLOOKUP(D69,고객법인일정파일!$C$5:$J$200,8,0))&amp;""</f>
        <v/>
      </c>
      <c r="N69" s="38" t="str" cm="1">
        <f t="array" ref="N69">_xlfn.TEXTJOIN(CHAR(10), 1, _xlfn._xlws.FILTER('RAW_URL,PageName'!D$2:D$999, ('RAW_URL,PageName'!$C$2:$C$999=$G69)*('RAW_URL,PageName'!$B$2:$B$999="TY"), ""))</f>
        <v/>
      </c>
      <c r="O69" s="33" t="str" cm="1">
        <f t="array" ref="O69">_xlfn.TEXTJOIN(CHAR(10), 1, _xlfn._xlws.FILTER('RAW_URL,PageName'!E$2:E$999, ('RAW_URL,PageName'!$C$2:$C$999=$G69)*('RAW_URL,PageName'!$B$2:$B$999="TY"), ""))</f>
        <v/>
      </c>
      <c r="P69" s="36" t="str" cm="1">
        <f t="array" ref="P69">_xlfn.TEXTJOIN(CHAR(10), 1, _xlfn._xlws.FILTER('RAW_URL,PageName'!F$2:F$999, ('RAW_URL,PageName'!$C$2:$C$999=$G69)*('RAW_URL,PageName'!$B$2:$B$999="TY"), ""))</f>
        <v/>
      </c>
      <c r="Q69" s="38" t="str" cm="1">
        <f t="array" ref="Q69">_xlfn.TEXTJOIN(CHAR(10), 1, _xlfn._xlws.FILTER('RAW_URL,PageName'!D$2:D$999, ('RAW_URL,PageName'!$C$2:$C$999=$G69)*('RAW_URL,PageName'!$B$2:$B$999="LY"), ""))</f>
        <v/>
      </c>
      <c r="R69" s="33" t="str" cm="1">
        <f t="array" ref="R69">_xlfn.TEXTJOIN(CHAR(10), 1, _xlfn._xlws.FILTER('RAW_URL,PageName'!E$2:E$999, ('RAW_URL,PageName'!$C$2:$C$999=$G69)*('RAW_URL,PageName'!$B$2:$B$999="LY"), ""))</f>
        <v/>
      </c>
      <c r="S69" s="56" t="str" cm="1">
        <f t="array" ref="S69">_xlfn.TEXTJOIN(CHAR(10), 1, _xlfn._xlws.FILTER('RAW_URL,PageName'!F$2:F$999, ('RAW_URL,PageName'!$C$2:$C$999=$G69)*('RAW_URL,PageName'!$B$2:$B$999="LY"), ""))</f>
        <v/>
      </c>
      <c r="T69" s="116"/>
      <c r="U69" s="116">
        <f>IFERROR(VLOOKUP($C69,태깅기획site_code!$N$4:$O$18,2,0),"")</f>
        <v>3</v>
      </c>
      <c r="V69" s="1"/>
      <c r="W69" s="45">
        <v>2</v>
      </c>
      <c r="X69" s="31" t="str">
        <v>EU</v>
      </c>
      <c r="Y69" s="31" t="str">
        <v>XADNU</v>
      </c>
      <c r="Z69" s="31" t="str">
        <v>Sweden</v>
      </c>
      <c r="AA69" s="31" t="str">
        <v>Sweden</v>
      </c>
      <c r="AB69" s="46" t="str">
        <v>se</v>
      </c>
      <c r="AC69" s="48" t="str">
        <v>X</v>
      </c>
      <c r="AD69" s="32" t="str">
        <v/>
      </c>
      <c r="AE69" s="86" t="str">
        <f>IF(AD69="","",IF(IF(AD69&gt;api용!D$2,api용!D$2,AD69)&lt;AC69,"",IF(AD69&gt;api용!D$2,api용!D$2,AD69)))</f>
        <v/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2:50">
      <c r="B70" s="45">
        <f>IF($G70="","",IFERROR(VLOOKUP($G70,RAW_tier!$B$2:$C$200,2,0),2))</f>
        <v>2</v>
      </c>
      <c r="C70" s="31" t="str">
        <f>IF(ISBLANK(태깅기획site_code!F69),"",태깅기획site_code!C69)</f>
        <v>S.E.Asia</v>
      </c>
      <c r="D70" s="31" t="str">
        <f>IF(ISBLANK(태깅기획site_code!F69),"",IF(고객법인일정파일!P69="한총","SEC",IF(LEN(TRIM(고객법인일정파일!P69))=0,태깅기획site_code!D69,고객법인일정파일!P69)))</f>
        <v>XADPCO</v>
      </c>
      <c r="E70" s="31" t="str">
        <f>IF(ISBLANK(태깅기획site_code!F69),"",태깅기획site_code!E69)</f>
        <v>Philippines</v>
      </c>
      <c r="F70" s="31" t="str">
        <f>IF(ISBLANK(태깅기획site_code!F69),"",태깅기획site_code!J69)</f>
        <v>Philippines</v>
      </c>
      <c r="G70" s="35" t="str">
        <f>IF(ISBLANK(태깅기획site_code!B69),"",태깅기획site_code!F69)</f>
        <v>ph</v>
      </c>
      <c r="H70" s="43">
        <f>IF(ISBLANK(태깅기획site_code!F69),"",IF(고객법인일정파일!Q69="X","X",고객법인일정파일!R69))</f>
        <v>46038</v>
      </c>
      <c r="I70" s="32">
        <f>IF(ISBLANK(태깅기획site_code!F69),"",IF(고객법인일정파일!Q69="X","",고객법인일정파일!S69))</f>
        <v>46064</v>
      </c>
      <c r="J70" s="41"/>
      <c r="K70" s="43"/>
      <c r="L70" s="39"/>
      <c r="M70" s="40" t="str">
        <f>IF(D70="","",VLOOKUP(D70,고객법인일정파일!$C$5:$J$200,8,0))&amp;""</f>
        <v/>
      </c>
      <c r="N70" s="38" t="str" cm="1">
        <f t="array" ref="N70">_xlfn.TEXTJOIN(CHAR(10), 1, _xlfn._xlws.FILTER('RAW_URL,PageName'!D$2:D$999, ('RAW_URL,PageName'!$C$2:$C$999=$G70)*('RAW_URL,PageName'!$B$2:$B$999="TY"), ""))</f>
        <v/>
      </c>
      <c r="O70" s="33" t="str" cm="1">
        <f t="array" ref="O70">_xlfn.TEXTJOIN(CHAR(10), 1, _xlfn._xlws.FILTER('RAW_URL,PageName'!E$2:E$999, ('RAW_URL,PageName'!$C$2:$C$999=$G70)*('RAW_URL,PageName'!$B$2:$B$999="TY"), ""))</f>
        <v/>
      </c>
      <c r="P70" s="36" t="str" cm="1">
        <f t="array" ref="P70">_xlfn.TEXTJOIN(CHAR(10), 1, _xlfn._xlws.FILTER('RAW_URL,PageName'!F$2:F$999, ('RAW_URL,PageName'!$C$2:$C$999=$G70)*('RAW_URL,PageName'!$B$2:$B$999="TY"), ""))</f>
        <v/>
      </c>
      <c r="Q70" s="38" t="str" cm="1">
        <f t="array" ref="Q70">_xlfn.TEXTJOIN(CHAR(10), 1, _xlfn._xlws.FILTER('RAW_URL,PageName'!D$2:D$999, ('RAW_URL,PageName'!$C$2:$C$999=$G70)*('RAW_URL,PageName'!$B$2:$B$999="LY"), ""))</f>
        <v/>
      </c>
      <c r="R70" s="33" t="str" cm="1">
        <f t="array" ref="R70">_xlfn.TEXTJOIN(CHAR(10), 1, _xlfn._xlws.FILTER('RAW_URL,PageName'!E$2:E$999, ('RAW_URL,PageName'!$C$2:$C$999=$G70)*('RAW_URL,PageName'!$B$2:$B$999="LY"), ""))</f>
        <v/>
      </c>
      <c r="S70" s="56" t="str" cm="1">
        <f t="array" ref="S70">_xlfn.TEXTJOIN(CHAR(10), 1, _xlfn._xlws.FILTER('RAW_URL,PageName'!F$2:F$999, ('RAW_URL,PageName'!$C$2:$C$999=$G70)*('RAW_URL,PageName'!$B$2:$B$999="LY"), ""))</f>
        <v/>
      </c>
      <c r="T70" s="116"/>
      <c r="U70" s="116">
        <f>IFERROR(VLOOKUP($C70,태깅기획site_code!$N$4:$O$18,2,0),"")</f>
        <v>4</v>
      </c>
      <c r="V70" s="1"/>
      <c r="W70" s="45">
        <v>2</v>
      </c>
      <c r="X70" s="31" t="str">
        <v>S.E.Asia</v>
      </c>
      <c r="Y70" s="31" t="str">
        <v>XADXP</v>
      </c>
      <c r="Z70" s="31" t="str">
        <v>Singapore</v>
      </c>
      <c r="AA70" s="31" t="str">
        <v>Singapore</v>
      </c>
      <c r="AB70" s="46" t="str">
        <v>sg</v>
      </c>
      <c r="AC70" s="48" t="str">
        <v>X</v>
      </c>
      <c r="AD70" s="32" t="str">
        <v/>
      </c>
      <c r="AE70" s="86" t="str">
        <f>IF(AD70="","",IF(IF(AD70&gt;api용!D$2,api용!D$2,AD70)&lt;AC70,"",IF(AD70&gt;api용!D$2,api용!D$2,AD70)))</f>
        <v/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2:50" ht="24" customHeight="1">
      <c r="B71" s="45">
        <f>IF($G71="","",IFERROR(VLOOKUP($G71,RAW_tier!$B$2:$C$200,2,0),2))</f>
        <v>2</v>
      </c>
      <c r="C71" s="31" t="str">
        <f>IF(ISBLANK(태깅기획site_code!F70),"",태깅기획site_code!C70)</f>
        <v>MENA</v>
      </c>
      <c r="D71" s="31" t="str">
        <f>IF(ISBLANK(태깅기획site_code!F70),"",IF(고객법인일정파일!P70="한총","SEC",IF(LEN(TRIM(고객법인일정파일!P70))=0,태깅기획site_code!D70,고객법인일정파일!P70)))</f>
        <v>XADPUK</v>
      </c>
      <c r="E71" s="31" t="str">
        <f>IF(ISBLANK(태깅기획site_code!F70),"",태깅기획site_code!E70)</f>
        <v>Pakistan</v>
      </c>
      <c r="F71" s="31" t="str">
        <f>IF(ISBLANK(태깅기획site_code!F70),"",태깅기획site_code!J70)</f>
        <v>Pakistan</v>
      </c>
      <c r="G71" s="35" t="str">
        <f>IF(ISBLANK(태깅기획site_code!B70),"",태깅기획site_code!F70)</f>
        <v>pk</v>
      </c>
      <c r="H71" s="43">
        <f>IF(ISBLANK(태깅기획site_code!F70),"",IF(고객법인일정파일!Q70="X","X",고객법인일정파일!R70))</f>
        <v>46064</v>
      </c>
      <c r="I71" s="32" t="str">
        <f>IF(ISBLANK(태깅기획site_code!F70),"",IF(고객법인일정파일!Q70="X","",고객법인일정파일!S70))</f>
        <v>TBC</v>
      </c>
      <c r="J71" s="41"/>
      <c r="K71" s="43">
        <v>45788</v>
      </c>
      <c r="L71" s="39" t="s">
        <v>19</v>
      </c>
      <c r="M71" s="40" t="str">
        <f>IF(D71="","",VLOOKUP(D71,고객법인일정파일!$C$5:$J$200,8,0))&amp;""</f>
        <v>Note1-test XADUX-UT</v>
      </c>
      <c r="N71" s="38" t="str" cm="1">
        <f t="array" ref="N71">_xlfn.TEXTJOIN(CHAR(10), 1, _xlfn._xlws.FILTER('RAW_URL,PageName'!D$2:D$999, ('RAW_URL,PageName'!$C$2:$C$999=$G71)*('RAW_URL,PageName'!$B$2:$B$999="TY"), ""))</f>
        <v/>
      </c>
      <c r="O71" s="33" t="str" cm="1">
        <f t="array" ref="O71">_xlfn.TEXTJOIN(CHAR(10), 1, _xlfn._xlws.FILTER('RAW_URL,PageName'!E$2:E$999, ('RAW_URL,PageName'!$C$2:$C$999=$G71)*('RAW_URL,PageName'!$B$2:$B$999="TY"), ""))</f>
        <v/>
      </c>
      <c r="P71" s="36" t="str" cm="1">
        <f t="array" ref="P71">_xlfn.TEXTJOIN(CHAR(10), 1, _xlfn._xlws.FILTER('RAW_URL,PageName'!F$2:F$999, ('RAW_URL,PageName'!$C$2:$C$999=$G71)*('RAW_URL,PageName'!$B$2:$B$999="TY"), ""))</f>
        <v/>
      </c>
      <c r="Q71" s="38" t="str" cm="1">
        <f t="array" ref="Q71">_xlfn.TEXTJOIN(CHAR(10), 1, _xlfn._xlws.FILTER('RAW_URL,PageName'!D$2:D$999, ('RAW_URL,PageName'!$C$2:$C$999=$G71)*('RAW_URL,PageName'!$B$2:$B$999="LY"), ""))</f>
        <v/>
      </c>
      <c r="R71" s="33" t="str" cm="1">
        <f t="array" ref="R71">_xlfn.TEXTJOIN(CHAR(10), 1, _xlfn._xlws.FILTER('RAW_URL,PageName'!E$2:E$999, ('RAW_URL,PageName'!$C$2:$C$999=$G71)*('RAW_URL,PageName'!$B$2:$B$999="LY"), ""))</f>
        <v/>
      </c>
      <c r="S71" s="56" t="str" cm="1">
        <f t="array" ref="S71">_xlfn.TEXTJOIN(CHAR(10), 1, _xlfn._xlws.FILTER('RAW_URL,PageName'!F$2:F$999, ('RAW_URL,PageName'!$C$2:$C$999=$G71)*('RAW_URL,PageName'!$B$2:$B$999="LY"), ""))</f>
        <v/>
      </c>
      <c r="T71" s="116"/>
      <c r="U71" s="116">
        <f>IFERROR(VLOOKUP($C71,태깅기획site_code!$N$4:$O$18,2,0),"")</f>
        <v>6</v>
      </c>
      <c r="V71" s="1"/>
      <c r="W71" s="45">
        <v>2</v>
      </c>
      <c r="X71" s="31" t="str">
        <v>EU</v>
      </c>
      <c r="Y71" s="31" t="str">
        <v>XADUD</v>
      </c>
      <c r="Z71" s="31" t="str">
        <v>Slovenia</v>
      </c>
      <c r="AA71" s="31" t="str">
        <v>Slovenia</v>
      </c>
      <c r="AB71" s="46" t="str">
        <v>si</v>
      </c>
      <c r="AC71" s="48" t="str">
        <v>X</v>
      </c>
      <c r="AD71" s="32" t="str">
        <v/>
      </c>
      <c r="AE71" s="86" t="str">
        <f>IF(AD71="","",IF(IF(AD71&gt;api용!D$2,api용!D$2,AD71)&lt;AC71,"",IF(AD71&gt;api용!D$2,api용!D$2,AD71)))</f>
        <v/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2:50">
      <c r="B72" s="45">
        <f>IF($G72="","",IFERROR(VLOOKUP($G72,RAW_tier!$B$2:$C$200,2,0),2))</f>
        <v>2</v>
      </c>
      <c r="C72" s="31" t="str">
        <f>IF(ISBLANK(태깅기획site_code!F71),"",태깅기획site_code!C71)</f>
        <v>EU</v>
      </c>
      <c r="D72" s="31" t="str">
        <f>IF(ISBLANK(태깅기획site_code!F71),"",IF(고객법인일정파일!P71="한총","SEC",IF(LEN(TRIM(고객법인일정파일!P71))=0,태깅기획site_code!D71,고객법인일정파일!P71)))</f>
        <v>XADPOL</v>
      </c>
      <c r="E72" s="31" t="str">
        <f>IF(ISBLANK(태깅기획site_code!F71),"",태깅기획site_code!E71)</f>
        <v>Poland</v>
      </c>
      <c r="F72" s="31" t="str">
        <f>IF(ISBLANK(태깅기획site_code!F71),"",태깅기획site_code!J71)</f>
        <v>Poland</v>
      </c>
      <c r="G72" s="35" t="str">
        <f>IF(ISBLANK(태깅기획site_code!B71),"",태깅기획site_code!F71)</f>
        <v>pl</v>
      </c>
      <c r="H72" s="43" t="str">
        <f>IF(ISBLANK(태깅기획site_code!F71),"",IF(고객법인일정파일!Q71="X","X",고객법인일정파일!R71))</f>
        <v/>
      </c>
      <c r="I72" s="32" t="str">
        <f>IF(ISBLANK(태깅기획site_code!F71),"",IF(고객법인일정파일!Q71="X","",고객법인일정파일!S71))</f>
        <v/>
      </c>
      <c r="J72" s="41"/>
      <c r="K72" s="43" t="s">
        <v>19</v>
      </c>
      <c r="L72" s="39" t="s">
        <v>19</v>
      </c>
      <c r="M72" s="40" t="str">
        <f>IF(D72="","",VLOOKUP(D72,고객법인일정파일!$C$5:$J$200,8,0))&amp;""</f>
        <v/>
      </c>
      <c r="N72" s="38" t="str" cm="1">
        <f t="array" ref="N72">_xlfn.TEXTJOIN(CHAR(10), 1, _xlfn._xlws.FILTER('RAW_URL,PageName'!D$2:D$999, ('RAW_URL,PageName'!$C$2:$C$999=$G72)*('RAW_URL,PageName'!$B$2:$B$999="TY"), ""))</f>
        <v/>
      </c>
      <c r="O72" s="33" t="str" cm="1">
        <f t="array" ref="O72">_xlfn.TEXTJOIN(CHAR(10), 1, _xlfn._xlws.FILTER('RAW_URL,PageName'!E$2:E$999, ('RAW_URL,PageName'!$C$2:$C$999=$G72)*('RAW_URL,PageName'!$B$2:$B$999="TY"), ""))</f>
        <v/>
      </c>
      <c r="P72" s="36" t="str" cm="1">
        <f t="array" ref="P72">_xlfn.TEXTJOIN(CHAR(10), 1, _xlfn._xlws.FILTER('RAW_URL,PageName'!F$2:F$999, ('RAW_URL,PageName'!$C$2:$C$999=$G72)*('RAW_URL,PageName'!$B$2:$B$999="TY"), ""))</f>
        <v/>
      </c>
      <c r="Q72" s="38" t="str" cm="1">
        <f t="array" ref="Q72">_xlfn.TEXTJOIN(CHAR(10), 1, _xlfn._xlws.FILTER('RAW_URL,PageName'!D$2:D$999, ('RAW_URL,PageName'!$C$2:$C$999=$G72)*('RAW_URL,PageName'!$B$2:$B$999="LY"), ""))</f>
        <v/>
      </c>
      <c r="R72" s="33" t="str" cm="1">
        <f t="array" ref="R72">_xlfn.TEXTJOIN(CHAR(10), 1, _xlfn._xlws.FILTER('RAW_URL,PageName'!E$2:E$999, ('RAW_URL,PageName'!$C$2:$C$999=$G72)*('RAW_URL,PageName'!$B$2:$B$999="LY"), ""))</f>
        <v/>
      </c>
      <c r="S72" s="56" t="str" cm="1">
        <f t="array" ref="S72">_xlfn.TEXTJOIN(CHAR(10), 1, _xlfn._xlws.FILTER('RAW_URL,PageName'!F$2:F$999, ('RAW_URL,PageName'!$C$2:$C$999=$G72)*('RAW_URL,PageName'!$B$2:$B$999="LY"), ""))</f>
        <v/>
      </c>
      <c r="T72" s="116"/>
      <c r="U72" s="116">
        <f>IFERROR(VLOOKUP($C72,태깅기획site_code!$N$4:$O$18,2,0),"")</f>
        <v>2</v>
      </c>
      <c r="V72" s="1"/>
      <c r="W72" s="45">
        <v>2</v>
      </c>
      <c r="X72" s="31" t="str">
        <v>EU</v>
      </c>
      <c r="Y72" s="31" t="str">
        <v>XADCZ</v>
      </c>
      <c r="Z72" s="31" t="str">
        <v>Slovakia</v>
      </c>
      <c r="AA72" s="31" t="str">
        <v>Slovakia</v>
      </c>
      <c r="AB72" s="46" t="str">
        <v>sk</v>
      </c>
      <c r="AC72" s="48">
        <v>46054</v>
      </c>
      <c r="AD72" s="32">
        <v>46063</v>
      </c>
      <c r="AE72" s="86">
        <f>IF(AD72="","",IF(IF(AD72&gt;api용!D$2,api용!D$2,AD72)&lt;AC72,"",IF(AD72&gt;api용!D$2,api용!D$2,AD72)))</f>
        <v>46063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2:50">
      <c r="B73" s="45">
        <f>IF($G73="","",IFERROR(VLOOKUP($G73,RAW_tier!$B$2:$C$200,2,0),2))</f>
        <v>2</v>
      </c>
      <c r="C73" s="31" t="str">
        <f>IF(ISBLANK(태깅기획site_code!F72),"",태깅기획site_code!C72)</f>
        <v>MENA</v>
      </c>
      <c r="D73" s="31" t="str">
        <f>IF(ISBLANK(태깅기획site_code!F72),"",IF(고객법인일정파일!P72="한총","SEC",IF(LEN(TRIM(고객법인일정파일!P72))=0,태깅기획site_code!D72,고객법인일정파일!P72)))</f>
        <v>XADIL</v>
      </c>
      <c r="E73" s="31" t="str">
        <f>IF(ISBLANK(태깅기획site_code!F72),"",태깅기획site_code!E72)</f>
        <v>Palestine</v>
      </c>
      <c r="F73" s="31" t="str">
        <f>IF(ISBLANK(태깅기획site_code!F72),"",태깅기획site_code!J72)</f>
        <v>Palestine</v>
      </c>
      <c r="G73" s="35" t="str">
        <f>IF(ISBLANK(태깅기획site_code!B72),"",태깅기획site_code!F72)</f>
        <v>ps</v>
      </c>
      <c r="H73" s="43" t="str">
        <f>IF(ISBLANK(태깅기획site_code!F72),"",IF(고객법인일정파일!Q72="X","X",고객법인일정파일!R72))</f>
        <v>X</v>
      </c>
      <c r="I73" s="32" t="str">
        <f>IF(ISBLANK(태깅기획site_code!F72),"",IF(고객법인일정파일!Q72="X","",고객법인일정파일!S72))</f>
        <v/>
      </c>
      <c r="J73" s="41"/>
      <c r="K73" s="43" t="s">
        <v>19</v>
      </c>
      <c r="L73" s="39" t="s">
        <v>19</v>
      </c>
      <c r="M73" s="40" t="str">
        <f>IF(D73="","",VLOOKUP(D73,고객법인일정파일!$C$5:$J$200,8,0))&amp;""</f>
        <v/>
      </c>
      <c r="N73" s="38" t="str" cm="1">
        <f t="array" ref="N73">_xlfn.TEXTJOIN(CHAR(10), 1, _xlfn._xlws.FILTER('RAW_URL,PageName'!D$2:D$999, ('RAW_URL,PageName'!$C$2:$C$999=$G73)*('RAW_URL,PageName'!$B$2:$B$999="TY"), ""))</f>
        <v/>
      </c>
      <c r="O73" s="33" t="str" cm="1">
        <f t="array" ref="O73">_xlfn.TEXTJOIN(CHAR(10), 1, _xlfn._xlws.FILTER('RAW_URL,PageName'!E$2:E$999, ('RAW_URL,PageName'!$C$2:$C$999=$G73)*('RAW_URL,PageName'!$B$2:$B$999="TY"), ""))</f>
        <v/>
      </c>
      <c r="P73" s="36" t="str" cm="1">
        <f t="array" ref="P73">_xlfn.TEXTJOIN(CHAR(10), 1, _xlfn._xlws.FILTER('RAW_URL,PageName'!F$2:F$999, ('RAW_URL,PageName'!$C$2:$C$999=$G73)*('RAW_URL,PageName'!$B$2:$B$999="TY"), ""))</f>
        <v/>
      </c>
      <c r="Q73" s="38" t="str" cm="1">
        <f t="array" ref="Q73">_xlfn.TEXTJOIN(CHAR(10), 1, _xlfn._xlws.FILTER('RAW_URL,PageName'!D$2:D$999, ('RAW_URL,PageName'!$C$2:$C$999=$G73)*('RAW_URL,PageName'!$B$2:$B$999="LY"), ""))</f>
        <v/>
      </c>
      <c r="R73" s="33" t="str" cm="1">
        <f t="array" ref="R73">_xlfn.TEXTJOIN(CHAR(10), 1, _xlfn._xlws.FILTER('RAW_URL,PageName'!E$2:E$999, ('RAW_URL,PageName'!$C$2:$C$999=$G73)*('RAW_URL,PageName'!$B$2:$B$999="LY"), ""))</f>
        <v/>
      </c>
      <c r="S73" s="56" t="str" cm="1">
        <f t="array" ref="S73">_xlfn.TEXTJOIN(CHAR(10), 1, _xlfn._xlws.FILTER('RAW_URL,PageName'!F$2:F$999, ('RAW_URL,PageName'!$C$2:$C$999=$G73)*('RAW_URL,PageName'!$B$2:$B$999="LY"), ""))</f>
        <v/>
      </c>
      <c r="T73" s="116"/>
      <c r="U73" s="116">
        <f>IFERROR(VLOOKUP($C73,태깅기획site_code!$N$4:$O$18,2,0),"")</f>
        <v>6</v>
      </c>
      <c r="V73" s="1"/>
      <c r="W73" s="45">
        <v>2</v>
      </c>
      <c r="X73" s="31" t="str">
        <v>S.E.Asia</v>
      </c>
      <c r="Y73" s="31" t="str">
        <v>TXAD-TH</v>
      </c>
      <c r="Z73" s="31" t="str">
        <v>Thailand</v>
      </c>
      <c r="AA73" s="31" t="str">
        <v>Thailand</v>
      </c>
      <c r="AB73" s="46" t="str">
        <v>th</v>
      </c>
      <c r="AC73" s="48">
        <v>46243</v>
      </c>
      <c r="AD73" s="32">
        <v>46246</v>
      </c>
      <c r="AE73" s="86" t="str">
        <f>IF(AD73="","",IF(IF(AD73&gt;api용!D$2,api용!D$2,AD73)&lt;AC73,"",IF(AD73&gt;api용!D$2,api용!D$2,AD73)))</f>
        <v/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2:50">
      <c r="B74" s="45">
        <f>IF($G74="","",IFERROR(VLOOKUP($G74,RAW_tier!$B$2:$C$200,2,0),2))</f>
        <v>2</v>
      </c>
      <c r="C74" s="31" t="str">
        <f>IF(ISBLANK(태깅기획site_code!F73),"",태깅기획site_code!C73)</f>
        <v>EU</v>
      </c>
      <c r="D74" s="31" t="str">
        <f>IF(ISBLANK(태깅기획site_code!F73),"",IF(고객법인일정파일!P73="한총","SEC",IF(LEN(TRIM(고객법인일정파일!P73))=0,태깅기획site_code!D73,고객법인일정파일!P73)))</f>
        <v>XADIB-PT</v>
      </c>
      <c r="E74" s="31" t="str">
        <f>IF(ISBLANK(태깅기획site_code!F73),"",태깅기획site_code!E73)</f>
        <v>Portugal</v>
      </c>
      <c r="F74" s="31" t="str">
        <f>IF(ISBLANK(태깅기획site_code!F73),"",태깅기획site_code!J73)</f>
        <v>Portugal</v>
      </c>
      <c r="G74" s="35" t="str">
        <f>IF(ISBLANK(태깅기획site_code!B73),"",태깅기획site_code!F73)</f>
        <v>pt</v>
      </c>
      <c r="H74" s="43">
        <f>IF(ISBLANK(태깅기획site_code!F73),"",IF(고객법인일정파일!Q73="X","X",고객법인일정파일!R73))</f>
        <v>46042</v>
      </c>
      <c r="I74" s="32">
        <f>IF(ISBLANK(태깅기획site_code!F73),"",IF(고객법인일정파일!Q73="X","",고객법인일정파일!S73))</f>
        <v>46063</v>
      </c>
      <c r="J74" s="41"/>
      <c r="K74" s="43">
        <v>45767</v>
      </c>
      <c r="L74" s="39">
        <v>45787</v>
      </c>
      <c r="M74" s="40" t="str">
        <f>IF(D74="","",VLOOKUP(D74,고객법인일정파일!$C$5:$J$200,8,0))&amp;""</f>
        <v/>
      </c>
      <c r="N74" s="38" t="str" cm="1">
        <f t="array" ref="N74">_xlfn.TEXTJOIN(CHAR(10), 1, _xlfn._xlws.FILTER('RAW_URL,PageName'!D$2:D$999, ('RAW_URL,PageName'!$C$2:$C$999=$G74)*('RAW_URL,PageName'!$B$2:$B$999="TY"), ""))</f>
        <v/>
      </c>
      <c r="O74" s="33" t="str" cm="1">
        <f t="array" ref="O74">_xlfn.TEXTJOIN(CHAR(10), 1, _xlfn._xlws.FILTER('RAW_URL,PageName'!E$2:E$999, ('RAW_URL,PageName'!$C$2:$C$999=$G74)*('RAW_URL,PageName'!$B$2:$B$999="TY"), ""))</f>
        <v/>
      </c>
      <c r="P74" s="36" t="str" cm="1">
        <f t="array" ref="P74">_xlfn.TEXTJOIN(CHAR(10), 1, _xlfn._xlws.FILTER('RAW_URL,PageName'!F$2:F$999, ('RAW_URL,PageName'!$C$2:$C$999=$G74)*('RAW_URL,PageName'!$B$2:$B$999="TY"), ""))</f>
        <v/>
      </c>
      <c r="Q74" s="38" t="str" cm="1">
        <f t="array" ref="Q74">_xlfn.TEXTJOIN(CHAR(10), 1, _xlfn._xlws.FILTER('RAW_URL,PageName'!D$2:D$999, ('RAW_URL,PageName'!$C$2:$C$999=$G74)*('RAW_URL,PageName'!$B$2:$B$999="LY"), ""))</f>
        <v/>
      </c>
      <c r="R74" s="33" t="str" cm="1">
        <f t="array" ref="R74">_xlfn.TEXTJOIN(CHAR(10), 1, _xlfn._xlws.FILTER('RAW_URL,PageName'!E$2:E$999, ('RAW_URL,PageName'!$C$2:$C$999=$G74)*('RAW_URL,PageName'!$B$2:$B$999="LY"), ""))</f>
        <v/>
      </c>
      <c r="S74" s="56" t="str" cm="1">
        <f t="array" ref="S74">_xlfn.TEXTJOIN(CHAR(10), 1, _xlfn._xlws.FILTER('RAW_URL,PageName'!F$2:F$999, ('RAW_URL,PageName'!$C$2:$C$999=$G74)*('RAW_URL,PageName'!$B$2:$B$999="LY"), ""))</f>
        <v/>
      </c>
      <c r="T74" s="116"/>
      <c r="U74" s="116">
        <f>IFERROR(VLOOKUP($C74,태깅기획site_code!$N$4:$O$18,2,0),"")</f>
        <v>2</v>
      </c>
      <c r="V74" s="1"/>
      <c r="W74" s="45">
        <v>2</v>
      </c>
      <c r="X74" s="31" t="str">
        <v>China</v>
      </c>
      <c r="Y74" s="31" t="str">
        <v>XADT</v>
      </c>
      <c r="Z74" s="31" t="str">
        <v>Taiwan</v>
      </c>
      <c r="AA74" s="31" t="str">
        <v>Taiwan</v>
      </c>
      <c r="AB74" s="46" t="str">
        <v>tw</v>
      </c>
      <c r="AC74" s="48">
        <v>46054</v>
      </c>
      <c r="AD74" s="32">
        <v>46063</v>
      </c>
      <c r="AE74" s="86">
        <f>IF(AD74="","",IF(IF(AD74&gt;api용!D$2,api용!D$2,AD74)&lt;AC74,"",IF(AD74&gt;api용!D$2,api용!D$2,AD74)))</f>
        <v>46063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2:50">
      <c r="B75" s="45">
        <f>IF($G75="","",IFERROR(VLOOKUP($G75,RAW_tier!$B$2:$C$200,2,0),2))</f>
        <v>2</v>
      </c>
      <c r="C75" s="31" t="str">
        <f>IF(ISBLANK(태깅기획site_code!F74),"",태깅기획site_code!C74)</f>
        <v>L.America</v>
      </c>
      <c r="D75" s="31" t="str">
        <f>IF(ISBLANK(태깅기획site_code!F74),"",IF(고객법인일정파일!P74="한총","SEC",IF(LEN(TRIM(고객법인일정파일!P74))=0,태깅기획site_code!D74,고객법인일정파일!P74)))</f>
        <v>XADLU</v>
      </c>
      <c r="E75" s="31" t="str">
        <f>IF(ISBLANK(태깅기획site_code!F74),"",태깅기획site_code!E74)</f>
        <v>Paraguay</v>
      </c>
      <c r="F75" s="31" t="str">
        <f>IF(ISBLANK(태깅기획site_code!F74),"",태깅기획site_code!J74)</f>
        <v>Paraguay</v>
      </c>
      <c r="G75" s="35" t="str">
        <f>IF(ISBLANK(태깅기획site_code!B74),"",태깅기획site_code!F74)</f>
        <v>py</v>
      </c>
      <c r="H75" s="43">
        <f>IF(ISBLANK(태깅기획site_code!F74),"",IF(고객법인일정파일!Q74="X","X",고객법인일정파일!R74))</f>
        <v>46042</v>
      </c>
      <c r="I75" s="32">
        <f>IF(ISBLANK(태깅기획site_code!F74),"",IF(고객법인일정파일!Q74="X","",고객법인일정파일!S74))</f>
        <v>46063</v>
      </c>
      <c r="J75" s="41"/>
      <c r="K75" s="43">
        <v>45767</v>
      </c>
      <c r="L75" s="39">
        <v>45787</v>
      </c>
      <c r="M75" s="40" t="str">
        <f>IF(D75="","",VLOOKUP(D75,고객법인일정파일!$C$5:$J$200,8,0))&amp;""</f>
        <v/>
      </c>
      <c r="N75" s="38" t="str" cm="1">
        <f t="array" ref="N75">_xlfn.TEXTJOIN(CHAR(10), 1, _xlfn._xlws.FILTER('RAW_URL,PageName'!D$2:D$999, ('RAW_URL,PageName'!$C$2:$C$999=$G75)*('RAW_URL,PageName'!$B$2:$B$999="TY"), ""))</f>
        <v/>
      </c>
      <c r="O75" s="33" t="str" cm="1">
        <f t="array" ref="O75">_xlfn.TEXTJOIN(CHAR(10), 1, _xlfn._xlws.FILTER('RAW_URL,PageName'!E$2:E$999, ('RAW_URL,PageName'!$C$2:$C$999=$G75)*('RAW_URL,PageName'!$B$2:$B$999="TY"), ""))</f>
        <v/>
      </c>
      <c r="P75" s="36" t="str" cm="1">
        <f t="array" ref="P75">_xlfn.TEXTJOIN(CHAR(10), 1, _xlfn._xlws.FILTER('RAW_URL,PageName'!F$2:F$999, ('RAW_URL,PageName'!$C$2:$C$999=$G75)*('RAW_URL,PageName'!$B$2:$B$999="TY"), ""))</f>
        <v/>
      </c>
      <c r="Q75" s="38" t="str" cm="1">
        <f t="array" ref="Q75">_xlfn.TEXTJOIN(CHAR(10), 1, _xlfn._xlws.FILTER('RAW_URL,PageName'!D$2:D$999, ('RAW_URL,PageName'!$C$2:$C$999=$G75)*('RAW_URL,PageName'!$B$2:$B$999="LY"), ""))</f>
        <v/>
      </c>
      <c r="R75" s="33" t="str" cm="1">
        <f t="array" ref="R75">_xlfn.TEXTJOIN(CHAR(10), 1, _xlfn._xlws.FILTER('RAW_URL,PageName'!E$2:E$999, ('RAW_URL,PageName'!$C$2:$C$999=$G75)*('RAW_URL,PageName'!$B$2:$B$999="LY"), ""))</f>
        <v/>
      </c>
      <c r="S75" s="56" t="str" cm="1">
        <f t="array" ref="S75">_xlfn.TEXTJOIN(CHAR(10), 1, _xlfn._xlws.FILTER('RAW_URL,PageName'!F$2:F$999, ('RAW_URL,PageName'!$C$2:$C$999=$G75)*('RAW_URL,PageName'!$B$2:$B$999="LY"), ""))</f>
        <v/>
      </c>
      <c r="T75" s="116"/>
      <c r="U75" s="116">
        <f>IFERROR(VLOOKUP($C75,태깅기획site_code!$N$4:$O$18,2,0),"")</f>
        <v>3</v>
      </c>
      <c r="V75" s="1"/>
      <c r="W75" s="45">
        <v>2</v>
      </c>
      <c r="X75" s="31" t="str">
        <v>L.America</v>
      </c>
      <c r="Y75" s="31" t="str">
        <v>XADLU</v>
      </c>
      <c r="Z75" s="31" t="str">
        <v>Uruguay</v>
      </c>
      <c r="AA75" s="31" t="str">
        <v>Uruguay</v>
      </c>
      <c r="AB75" s="46" t="str">
        <v>uy</v>
      </c>
      <c r="AC75" s="48">
        <v>46042</v>
      </c>
      <c r="AD75" s="32">
        <v>46063</v>
      </c>
      <c r="AE75" s="86">
        <f>IF(AD75="","",IF(IF(AD75&gt;api용!D$2,api용!D$2,AD75)&lt;AC75,"",IF(AD75&gt;api용!D$2,api용!D$2,AD75)))</f>
        <v>46063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2:50" ht="24" customHeight="1">
      <c r="B76" s="45">
        <f>IF($G76="","",IFERROR(VLOOKUP($G76,RAW_tier!$B$2:$C$200,2,0),2))</f>
        <v>2</v>
      </c>
      <c r="C76" s="31" t="str">
        <f>IF(ISBLANK(태깅기획site_code!F75),"",태깅기획site_code!C75)</f>
        <v>EU</v>
      </c>
      <c r="D76" s="31" t="str">
        <f>IF(ISBLANK(태깅기획site_code!F75),"",IF(고객법인일정파일!P75="한총","SEC",IF(LEN(TRIM(고객법인일정파일!P75))=0,태깅기획site_code!D75,고객법인일정파일!P75)))</f>
        <v>XADROM</v>
      </c>
      <c r="E76" s="31" t="str">
        <f>IF(ISBLANK(태깅기획site_code!F75),"",태깅기획site_code!E75)</f>
        <v>Romania</v>
      </c>
      <c r="F76" s="31" t="str">
        <f>IF(ISBLANK(태깅기획site_code!F75),"",태깅기획site_code!J75)</f>
        <v>Romania</v>
      </c>
      <c r="G76" s="35" t="str">
        <f>IF(ISBLANK(태깅기획site_code!B75),"",태깅기획site_code!F75)</f>
        <v>ro</v>
      </c>
      <c r="H76" s="43">
        <f>IF(ISBLANK(태깅기획site_code!F75),"",IF(고객법인일정파일!Q75="X","X",고객법인일정파일!R75))</f>
        <v>46113</v>
      </c>
      <c r="I76" s="32">
        <f>IF(ISBLANK(태깅기획site_code!F75),"",IF(고객법인일정파일!Q75="X","",고객법인일정파일!S75))</f>
        <v>46122</v>
      </c>
      <c r="J76" s="41"/>
      <c r="K76" s="43">
        <v>45720</v>
      </c>
      <c r="L76" s="39">
        <v>45726</v>
      </c>
      <c r="M76" s="40" t="str">
        <f>IF(D76="","",VLOOKUP(D76,고객법인일정파일!$C$5:$J$200,8,0))&amp;""</f>
        <v>Note1-test XADROM</v>
      </c>
      <c r="N76" s="38" t="str" cm="1">
        <f t="array" ref="N76">_xlfn.TEXTJOIN(CHAR(10), 1, _xlfn._xlws.FILTER('RAW_URL,PageName'!D$2:D$999, ('RAW_URL,PageName'!$C$2:$C$999=$G76)*('RAW_URL,PageName'!$B$2:$B$999="TY"), ""))</f>
        <v/>
      </c>
      <c r="O76" s="33" t="str" cm="1">
        <f t="array" ref="O76">_xlfn.TEXTJOIN(CHAR(10), 1, _xlfn._xlws.FILTER('RAW_URL,PageName'!E$2:E$999, ('RAW_URL,PageName'!$C$2:$C$999=$G76)*('RAW_URL,PageName'!$B$2:$B$999="TY"), ""))</f>
        <v/>
      </c>
      <c r="P76" s="36" t="str" cm="1">
        <f t="array" ref="P76">_xlfn.TEXTJOIN(CHAR(10), 1, _xlfn._xlws.FILTER('RAW_URL,PageName'!F$2:F$999, ('RAW_URL,PageName'!$C$2:$C$999=$G76)*('RAW_URL,PageName'!$B$2:$B$999="TY"), ""))</f>
        <v/>
      </c>
      <c r="Q76" s="38" t="str" cm="1">
        <f t="array" ref="Q76">_xlfn.TEXTJOIN(CHAR(10), 1, _xlfn._xlws.FILTER('RAW_URL,PageName'!D$2:D$999, ('RAW_URL,PageName'!$C$2:$C$999=$G76)*('RAW_URL,PageName'!$B$2:$B$999="LY"), ""))</f>
        <v/>
      </c>
      <c r="R76" s="33" t="str" cm="1">
        <f t="array" ref="R76">_xlfn.TEXTJOIN(CHAR(10), 1, _xlfn._xlws.FILTER('RAW_URL,PageName'!E$2:E$999, ('RAW_URL,PageName'!$C$2:$C$999=$G76)*('RAW_URL,PageName'!$B$2:$B$999="LY"), ""))</f>
        <v/>
      </c>
      <c r="S76" s="56" t="str" cm="1">
        <f t="array" ref="S76">_xlfn.TEXTJOIN(CHAR(10), 1, _xlfn._xlws.FILTER('RAW_URL,PageName'!F$2:F$999, ('RAW_URL,PageName'!$C$2:$C$999=$G76)*('RAW_URL,PageName'!$B$2:$B$999="LY"), ""))</f>
        <v/>
      </c>
      <c r="T76" s="116"/>
      <c r="U76" s="116">
        <f>IFERROR(VLOOKUP($C76,태깅기획site_code!$N$4:$O$18,2,0),"")</f>
        <v>2</v>
      </c>
      <c r="V76" s="1"/>
      <c r="W76" s="45">
        <v>2</v>
      </c>
      <c r="X76" s="31" t="str">
        <v>S.E.Asia</v>
      </c>
      <c r="Y76" s="31" t="str">
        <v>XUVINU</v>
      </c>
      <c r="Z76" s="31" t="str">
        <v>Vietnam</v>
      </c>
      <c r="AA76" s="31" t="str">
        <v>Vietnam</v>
      </c>
      <c r="AB76" s="46" t="str">
        <v>vn</v>
      </c>
      <c r="AC76" s="48">
        <v>46054</v>
      </c>
      <c r="AD76" s="32">
        <v>46067</v>
      </c>
      <c r="AE76" s="86">
        <f>IF(AD76="","",IF(IF(AD76&gt;api용!D$2,api용!D$2,AD76)&lt;AC76,"",IF(AD76&gt;api용!D$2,api용!D$2,AD76)))</f>
        <v>46067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2:50" ht="24" customHeight="1">
      <c r="B77" s="45">
        <f>IF($G77="","",IFERROR(VLOOKUP($G77,RAW_tier!$B$2:$C$200,2,0),2))</f>
        <v>2</v>
      </c>
      <c r="C77" s="31" t="str">
        <f>IF(ISBLANK(태깅기획site_code!F76),"",태깅기획site_code!C76)</f>
        <v>EU</v>
      </c>
      <c r="D77" s="31" t="str">
        <f>IF(ISBLANK(태깅기획site_code!F76),"",IF(고객법인일정파일!P76="한총","SEC",IF(LEN(TRIM(고객법인일정파일!P76))=0,태깅기획site_code!D76,고객법인일정파일!P76)))</f>
        <v>XADUD</v>
      </c>
      <c r="E77" s="31" t="str">
        <f>IF(ISBLANK(태깅기획site_code!F76),"",태깅기획site_code!E76)</f>
        <v>Serbia</v>
      </c>
      <c r="F77" s="31" t="str">
        <f>IF(ISBLANK(태깅기획site_code!F76),"",태깅기획site_code!J76)</f>
        <v>Serbia</v>
      </c>
      <c r="G77" s="35" t="str">
        <f>IF(ISBLANK(태깅기획site_code!B76),"",태깅기획site_code!F76)</f>
        <v>rs</v>
      </c>
      <c r="H77" s="43" t="str">
        <f>IF(ISBLANK(태깅기획site_code!F76),"",IF(고객법인일정파일!Q76="X","X",고객법인일정파일!R76))</f>
        <v>X</v>
      </c>
      <c r="I77" s="32" t="str">
        <f>IF(ISBLANK(태깅기획site_code!F76),"",IF(고객법인일정파일!Q76="X","",고객법인일정파일!S76))</f>
        <v/>
      </c>
      <c r="J77" s="41"/>
      <c r="K77" s="43" t="s">
        <v>19</v>
      </c>
      <c r="L77" s="39" t="s">
        <v>19</v>
      </c>
      <c r="M77" s="40" t="str">
        <f>IF(D77="","",VLOOKUP(D77,고객법인일정파일!$C$5:$J$200,8,0))&amp;""</f>
        <v>Note1-test XADUX-UT</v>
      </c>
      <c r="N77" s="38" t="str" cm="1">
        <f t="array" ref="N77">_xlfn.TEXTJOIN(CHAR(10), 1, _xlfn._xlws.FILTER('RAW_URL,PageName'!D$2:D$999, ('RAW_URL,PageName'!$C$2:$C$999=$G77)*('RAW_URL,PageName'!$B$2:$B$999="TY"), ""))</f>
        <v/>
      </c>
      <c r="O77" s="33" t="str" cm="1">
        <f t="array" ref="O77">_xlfn.TEXTJOIN(CHAR(10), 1, _xlfn._xlws.FILTER('RAW_URL,PageName'!E$2:E$999, ('RAW_URL,PageName'!$C$2:$C$999=$G77)*('RAW_URL,PageName'!$B$2:$B$999="TY"), ""))</f>
        <v/>
      </c>
      <c r="P77" s="36" t="str" cm="1">
        <f t="array" ref="P77">_xlfn.TEXTJOIN(CHAR(10), 1, _xlfn._xlws.FILTER('RAW_URL,PageName'!F$2:F$999, ('RAW_URL,PageName'!$C$2:$C$999=$G77)*('RAW_URL,PageName'!$B$2:$B$999="TY"), ""))</f>
        <v/>
      </c>
      <c r="Q77" s="38" t="str" cm="1">
        <f t="array" ref="Q77">_xlfn.TEXTJOIN(CHAR(10), 1, _xlfn._xlws.FILTER('RAW_URL,PageName'!D$2:D$999, ('RAW_URL,PageName'!$C$2:$C$999=$G77)*('RAW_URL,PageName'!$B$2:$B$999="LY"), ""))</f>
        <v/>
      </c>
      <c r="R77" s="33" t="str" cm="1">
        <f t="array" ref="R77">_xlfn.TEXTJOIN(CHAR(10), 1, _xlfn._xlws.FILTER('RAW_URL,PageName'!E$2:E$999, ('RAW_URL,PageName'!$C$2:$C$999=$G77)*('RAW_URL,PageName'!$B$2:$B$999="LY"), ""))</f>
        <v/>
      </c>
      <c r="S77" s="56" t="str" cm="1">
        <f t="array" ref="S77">_xlfn.TEXTJOIN(CHAR(10), 1, _xlfn._xlws.FILTER('RAW_URL,PageName'!F$2:F$999, ('RAW_URL,PageName'!$C$2:$C$999=$G77)*('RAW_URL,PageName'!$B$2:$B$999="LY"), ""))</f>
        <v/>
      </c>
      <c r="T77" s="116"/>
      <c r="U77" s="116">
        <f>IFERROR(VLOOKUP($C77,태깅기획site_code!$N$4:$O$18,2,0),"")</f>
        <v>2</v>
      </c>
      <c r="V77" s="1"/>
      <c r="W77" s="45">
        <v>2</v>
      </c>
      <c r="X77" s="31" t="str">
        <v>Africa</v>
      </c>
      <c r="Y77" s="31" t="str">
        <v>XXU (ZU)</v>
      </c>
      <c r="Z77" s="31" t="str">
        <v>South Africa</v>
      </c>
      <c r="AA77" s="31" t="str">
        <v>South Africa</v>
      </c>
      <c r="AB77" s="46" t="str">
        <v>za</v>
      </c>
      <c r="AC77" s="48">
        <v>46042</v>
      </c>
      <c r="AD77" s="32">
        <v>46063</v>
      </c>
      <c r="AE77" s="86">
        <f>IF(AD77="","",IF(IF(AD77&gt;api용!D$2,api용!D$2,AD77)&lt;AC77,"",IF(AD77&gt;api용!D$2,api용!D$2,AD77)))</f>
        <v>46063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2:50">
      <c r="B78" s="45">
        <f>IF($G78="","",IFERROR(VLOOKUP($G78,RAW_tier!$B$2:$C$200,2,0),2))</f>
        <v>2</v>
      </c>
      <c r="C78" s="31" t="str">
        <f>IF(ISBLANK(태깅기획site_code!F77),"",태깅기획site_code!C77)</f>
        <v>CIS</v>
      </c>
      <c r="D78" s="31" t="str">
        <f>IF(ISBLANK(태깅기획site_code!F77),"",IF(고객법인일정파일!P77="한총","SEC",IF(LEN(TRIM(고객법인일정파일!P77))=0,태깅기획site_code!D77,고객법인일정파일!P77)))</f>
        <v>XADRC</v>
      </c>
      <c r="E78" s="31" t="str">
        <f>IF(ISBLANK(태깅기획site_code!F77),"",태깅기획site_code!E77)</f>
        <v>Russia</v>
      </c>
      <c r="F78" s="31" t="str">
        <f>IF(ISBLANK(태깅기획site_code!F77),"",태깅기획site_code!J77)</f>
        <v>Russia</v>
      </c>
      <c r="G78" s="35" t="str">
        <f>IF(ISBLANK(태깅기획site_code!B77),"",태깅기획site_code!F77)</f>
        <v>ru</v>
      </c>
      <c r="H78" s="43" t="str">
        <f>IF(ISBLANK(태깅기획site_code!F77),"",IF(고객법인일정파일!Q77="X","X",고객법인일정파일!R77))</f>
        <v/>
      </c>
      <c r="I78" s="32" t="str">
        <f>IF(ISBLANK(태깅기획site_code!F77),"",IF(고객법인일정파일!Q77="X","",고객법인일정파일!S77))</f>
        <v/>
      </c>
      <c r="J78" s="41"/>
      <c r="K78" s="43" t="s">
        <v>19</v>
      </c>
      <c r="L78" s="39" t="s">
        <v>19</v>
      </c>
      <c r="M78" s="40" t="e">
        <f>IF(D78="","",VLOOKUP(D78,고객법인일정파일!$C$5:$J$200,8,0))&amp;""</f>
        <v>#N/A</v>
      </c>
      <c r="N78" s="38" t="str" cm="1">
        <f t="array" ref="N78">_xlfn.TEXTJOIN(CHAR(10), 1, _xlfn._xlws.FILTER('RAW_URL,PageName'!D$2:D$999, ('RAW_URL,PageName'!$C$2:$C$999=$G78)*('RAW_URL,PageName'!$B$2:$B$999="TY"), ""))</f>
        <v/>
      </c>
      <c r="O78" s="33" t="str" cm="1">
        <f t="array" ref="O78">_xlfn.TEXTJOIN(CHAR(10), 1, _xlfn._xlws.FILTER('RAW_URL,PageName'!E$2:E$999, ('RAW_URL,PageName'!$C$2:$C$999=$G78)*('RAW_URL,PageName'!$B$2:$B$999="TY"), ""))</f>
        <v/>
      </c>
      <c r="P78" s="36" t="str" cm="1">
        <f t="array" ref="P78">_xlfn.TEXTJOIN(CHAR(10), 1, _xlfn._xlws.FILTER('RAW_URL,PageName'!F$2:F$999, ('RAW_URL,PageName'!$C$2:$C$999=$G78)*('RAW_URL,PageName'!$B$2:$B$999="TY"), ""))</f>
        <v/>
      </c>
      <c r="Q78" s="38" t="str" cm="1">
        <f t="array" ref="Q78">_xlfn.TEXTJOIN(CHAR(10), 1, _xlfn._xlws.FILTER('RAW_URL,PageName'!D$2:D$999, ('RAW_URL,PageName'!$C$2:$C$999=$G78)*('RAW_URL,PageName'!$B$2:$B$999="LY"), ""))</f>
        <v/>
      </c>
      <c r="R78" s="33" t="str" cm="1">
        <f t="array" ref="R78">_xlfn.TEXTJOIN(CHAR(10), 1, _xlfn._xlws.FILTER('RAW_URL,PageName'!E$2:E$999, ('RAW_URL,PageName'!$C$2:$C$999=$G78)*('RAW_URL,PageName'!$B$2:$B$999="LY"), ""))</f>
        <v/>
      </c>
      <c r="S78" s="56" t="str" cm="1">
        <f t="array" ref="S78">_xlfn.TEXTJOIN(CHAR(10), 1, _xlfn._xlws.FILTER('RAW_URL,PageName'!F$2:F$999, ('RAW_URL,PageName'!$C$2:$C$999=$G78)*('RAW_URL,PageName'!$B$2:$B$999="LY"), ""))</f>
        <v/>
      </c>
      <c r="T78" s="116"/>
      <c r="U78" s="116">
        <f>IFERROR(VLOOKUP($C78,태깅기획site_code!$N$4:$O$18,2,0),"")</f>
        <v>7</v>
      </c>
      <c r="V78" s="1"/>
      <c r="W78" s="45"/>
      <c r="X78" s="31"/>
      <c r="Y78" s="31"/>
      <c r="Z78" s="31"/>
      <c r="AA78" s="31"/>
      <c r="AB78" s="46"/>
      <c r="AC78" s="48"/>
      <c r="AD78" s="32"/>
      <c r="AE78" s="86" t="str">
        <f>IF(AD78="","",IF(IF(AD78&gt;api용!D$2,api용!D$2,AD78)&lt;AC78,"",IF(AD78&gt;api용!D$2,api용!D$2,AD78)))</f>
        <v/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2:50">
      <c r="B79" s="45">
        <f>IF($G79="","",IFERROR(VLOOKUP($G79,RAW_tier!$B$2:$C$200,2,0),2))</f>
        <v>2</v>
      </c>
      <c r="C79" s="31" t="str">
        <f>IF(ISBLANK(태깅기획site_code!F78),"",태깅기획site_code!C78)</f>
        <v>MENA</v>
      </c>
      <c r="D79" s="31" t="str">
        <f>IF(ISBLANK(태깅기획site_code!F78),"",IF(고객법인일정파일!P78="한총","SEC",IF(LEN(TRIM(고객법인일정파일!P78))=0,태깅기획site_code!D78,고객법인일정파일!P78)))</f>
        <v>XADXUR</v>
      </c>
      <c r="E79" s="31" t="str">
        <f>IF(ISBLANK(태깅기획site_code!F78),"",태깅기획site_code!E78)</f>
        <v>Saudi Arabia</v>
      </c>
      <c r="F79" s="31" t="str">
        <f>IF(ISBLANK(태깅기획site_code!F78),"",태깅기획site_code!J78)</f>
        <v>Saudi Arabia</v>
      </c>
      <c r="G79" s="35" t="str">
        <f>IF(ISBLANK(태깅기획site_code!B78),"",태깅기획site_code!F78)</f>
        <v>sa</v>
      </c>
      <c r="H79" s="43" t="str">
        <f>IF(ISBLANK(태깅기획site_code!F78),"",IF(고객법인일정파일!Q78="X","X",고객법인일정파일!R78))</f>
        <v>X</v>
      </c>
      <c r="I79" s="32" t="str">
        <f>IF(ISBLANK(태깅기획site_code!F78),"",IF(고객법인일정파일!Q78="X","",고객법인일정파일!S78))</f>
        <v/>
      </c>
      <c r="J79" s="41"/>
      <c r="K79" s="43" t="s">
        <v>19</v>
      </c>
      <c r="L79" s="39" t="s">
        <v>19</v>
      </c>
      <c r="M79" s="40" t="str">
        <f>IF(D79="","",VLOOKUP(D79,고객법인일정파일!$C$5:$J$200,8,0))&amp;""</f>
        <v/>
      </c>
      <c r="N79" s="38" t="str" cm="1">
        <f t="array" ref="N79">_xlfn.TEXTJOIN(CHAR(10), 1, _xlfn._xlws.FILTER('RAW_URL,PageName'!D$2:D$999, ('RAW_URL,PageName'!$C$2:$C$999=$G79)*('RAW_URL,PageName'!$B$2:$B$999="TY"), ""))</f>
        <v/>
      </c>
      <c r="O79" s="33" t="str" cm="1">
        <f t="array" ref="O79">_xlfn.TEXTJOIN(CHAR(10), 1, _xlfn._xlws.FILTER('RAW_URL,PageName'!E$2:E$999, ('RAW_URL,PageName'!$C$2:$C$999=$G79)*('RAW_URL,PageName'!$B$2:$B$999="TY"), ""))</f>
        <v/>
      </c>
      <c r="P79" s="36" t="str" cm="1">
        <f t="array" ref="P79">_xlfn.TEXTJOIN(CHAR(10), 1, _xlfn._xlws.FILTER('RAW_URL,PageName'!F$2:F$999, ('RAW_URL,PageName'!$C$2:$C$999=$G79)*('RAW_URL,PageName'!$B$2:$B$999="TY"), ""))</f>
        <v/>
      </c>
      <c r="Q79" s="38" t="str" cm="1">
        <f t="array" ref="Q79">_xlfn.TEXTJOIN(CHAR(10), 1, _xlfn._xlws.FILTER('RAW_URL,PageName'!D$2:D$999, ('RAW_URL,PageName'!$C$2:$C$999=$G79)*('RAW_URL,PageName'!$B$2:$B$999="LY"), ""))</f>
        <v/>
      </c>
      <c r="R79" s="33" t="str" cm="1">
        <f t="array" ref="R79">_xlfn.TEXTJOIN(CHAR(10), 1, _xlfn._xlws.FILTER('RAW_URL,PageName'!E$2:E$999, ('RAW_URL,PageName'!$C$2:$C$999=$G79)*('RAW_URL,PageName'!$B$2:$B$999="LY"), ""))</f>
        <v/>
      </c>
      <c r="S79" s="56" t="str" cm="1">
        <f t="array" ref="S79">_xlfn.TEXTJOIN(CHAR(10), 1, _xlfn._xlws.FILTER('RAW_URL,PageName'!F$2:F$999, ('RAW_URL,PageName'!$C$2:$C$999=$G79)*('RAW_URL,PageName'!$B$2:$B$999="LY"), ""))</f>
        <v/>
      </c>
      <c r="T79" s="116"/>
      <c r="U79" s="116">
        <f>IFERROR(VLOOKUP($C79,태깅기획site_code!$N$4:$O$18,2,0),"")</f>
        <v>6</v>
      </c>
      <c r="V79" s="1"/>
      <c r="W79" s="45"/>
      <c r="X79" s="31"/>
      <c r="Y79" s="31"/>
      <c r="Z79" s="31"/>
      <c r="AA79" s="31"/>
      <c r="AB79" s="46"/>
      <c r="AC79" s="48"/>
      <c r="AD79" s="32"/>
      <c r="AE79" s="86" t="str">
        <f>IF(AD79="","",IF(IF(AD79&gt;api용!D$2,api용!D$2,AD79)&lt;AC79,"",IF(AD79&gt;api용!D$2,api용!D$2,AD79)))</f>
        <v/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2:50">
      <c r="B80" s="45">
        <f>IF($G80="","",IFERROR(VLOOKUP($G80,RAW_tier!$B$2:$C$200,2,0),2))</f>
        <v>2</v>
      </c>
      <c r="C80" s="31" t="str">
        <f>IF(ISBLANK(태깅기획site_code!F79),"",태깅기획site_code!C79)</f>
        <v>MENA</v>
      </c>
      <c r="D80" s="31" t="str">
        <f>IF(ISBLANK(태깅기획site_code!F79),"",IF(고객법인일정파일!P79="한총","SEC",IF(LEN(TRIM(고객법인일정파일!P79))=0,태깅기획site_code!D79,고객법인일정파일!P79)))</f>
        <v>XADXUR</v>
      </c>
      <c r="E80" s="31" t="str">
        <f>IF(ISBLANK(태깅기획site_code!F79),"",태깅기획site_code!E79)</f>
        <v>Saudi Arabia</v>
      </c>
      <c r="F80" s="31" t="str">
        <f>IF(ISBLANK(태깅기획site_code!F79),"",태깅기획site_code!J79)</f>
        <v>Saudi Arabia (en)</v>
      </c>
      <c r="G80" s="35" t="str">
        <f>IF(ISBLANK(태깅기획site_code!B79),"",태깅기획site_code!F79)</f>
        <v>sa_en</v>
      </c>
      <c r="H80" s="43" t="str">
        <f>IF(ISBLANK(태깅기획site_code!F79),"",IF(고객법인일정파일!Q79="X","X",고객법인일정파일!R79))</f>
        <v>X</v>
      </c>
      <c r="I80" s="32" t="str">
        <f>IF(ISBLANK(태깅기획site_code!F79),"",IF(고객법인일정파일!Q79="X","",고객법인일정파일!S79))</f>
        <v/>
      </c>
      <c r="J80" s="41"/>
      <c r="K80" s="43" t="s">
        <v>19</v>
      </c>
      <c r="L80" s="39" t="s">
        <v>19</v>
      </c>
      <c r="M80" s="40" t="str">
        <f>IF(D80="","",VLOOKUP(D80,고객법인일정파일!$C$5:$J$200,8,0))&amp;""</f>
        <v/>
      </c>
      <c r="N80" s="38" t="str" cm="1">
        <f t="array" ref="N80">_xlfn.TEXTJOIN(CHAR(10), 1, _xlfn._xlws.FILTER('RAW_URL,PageName'!D$2:D$999, ('RAW_URL,PageName'!$C$2:$C$999=$G80)*('RAW_URL,PageName'!$B$2:$B$999="TY"), ""))</f>
        <v/>
      </c>
      <c r="O80" s="33" t="str" cm="1">
        <f t="array" ref="O80">_xlfn.TEXTJOIN(CHAR(10), 1, _xlfn._xlws.FILTER('RAW_URL,PageName'!E$2:E$999, ('RAW_URL,PageName'!$C$2:$C$999=$G80)*('RAW_URL,PageName'!$B$2:$B$999="TY"), ""))</f>
        <v/>
      </c>
      <c r="P80" s="36" t="str" cm="1">
        <f t="array" ref="P80">_xlfn.TEXTJOIN(CHAR(10), 1, _xlfn._xlws.FILTER('RAW_URL,PageName'!F$2:F$999, ('RAW_URL,PageName'!$C$2:$C$999=$G80)*('RAW_URL,PageName'!$B$2:$B$999="TY"), ""))</f>
        <v/>
      </c>
      <c r="Q80" s="38" t="str" cm="1">
        <f t="array" ref="Q80">_xlfn.TEXTJOIN(CHAR(10), 1, _xlfn._xlws.FILTER('RAW_URL,PageName'!D$2:D$999, ('RAW_URL,PageName'!$C$2:$C$999=$G80)*('RAW_URL,PageName'!$B$2:$B$999="LY"), ""))</f>
        <v/>
      </c>
      <c r="R80" s="33" t="str" cm="1">
        <f t="array" ref="R80">_xlfn.TEXTJOIN(CHAR(10), 1, _xlfn._xlws.FILTER('RAW_URL,PageName'!E$2:E$999, ('RAW_URL,PageName'!$C$2:$C$999=$G80)*('RAW_URL,PageName'!$B$2:$B$999="LY"), ""))</f>
        <v/>
      </c>
      <c r="S80" s="56" t="str" cm="1">
        <f t="array" ref="S80">_xlfn.TEXTJOIN(CHAR(10), 1, _xlfn._xlws.FILTER('RAW_URL,PageName'!F$2:F$999, ('RAW_URL,PageName'!$C$2:$C$999=$G80)*('RAW_URL,PageName'!$B$2:$B$999="LY"), ""))</f>
        <v/>
      </c>
      <c r="T80" s="116"/>
      <c r="U80" s="116">
        <f>IFERROR(VLOOKUP($C80,태깅기획site_code!$N$4:$O$18,2,0),"")</f>
        <v>6</v>
      </c>
      <c r="V80" s="1"/>
      <c r="W80" s="45"/>
      <c r="X80" s="31"/>
      <c r="Y80" s="31"/>
      <c r="Z80" s="31"/>
      <c r="AA80" s="31"/>
      <c r="AB80" s="46"/>
      <c r="AC80" s="48"/>
      <c r="AD80" s="32"/>
      <c r="AE80" s="86" t="str">
        <f>IF(AD80="","",IF(IF(AD80&gt;api용!D$2,api용!D$2,AD80)&lt;AC80,"",IF(AD80&gt;api용!D$2,api용!D$2,AD80)))</f>
        <v/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2:50" ht="60" customHeight="1">
      <c r="B81" s="45">
        <f>IF($G81="","",IFERROR(VLOOKUP($G81,RAW_tier!$B$2:$C$200,2,0),2))</f>
        <v>2</v>
      </c>
      <c r="C81" s="31" t="str">
        <f>IF(ISBLANK(태깅기획site_code!F80),"",태깅기획site_code!C80)</f>
        <v>EU</v>
      </c>
      <c r="D81" s="31" t="str">
        <f>IF(ISBLANK(태깅기획site_code!F80),"",IF(고객법인일정파일!P80="한총","SEC",IF(LEN(TRIM(고객법인일정파일!P80))=0,태깅기획site_code!D80,고객법인일정파일!P80)))</f>
        <v>XADNU</v>
      </c>
      <c r="E81" s="31" t="str">
        <f>IF(ISBLANK(태깅기획site_code!F80),"",태깅기획site_code!E80)</f>
        <v>Sweden</v>
      </c>
      <c r="F81" s="31" t="str">
        <f>IF(ISBLANK(태깅기획site_code!F80),"",태깅기획site_code!J80)</f>
        <v>Sweden</v>
      </c>
      <c r="G81" s="35" t="str">
        <f>IF(ISBLANK(태깅기획site_code!B80),"",태깅기획site_code!F80)</f>
        <v>se</v>
      </c>
      <c r="H81" s="43" t="str">
        <f>IF(ISBLANK(태깅기획site_code!F80),"",IF(고객법인일정파일!Q80="X","X",고객법인일정파일!R80))</f>
        <v>X</v>
      </c>
      <c r="I81" s="32" t="str">
        <f>IF(ISBLANK(태깅기획site_code!F80),"",IF(고객법인일정파일!Q80="X","",고객법인일정파일!S80))</f>
        <v/>
      </c>
      <c r="J81" s="41"/>
      <c r="K81" s="43" t="s">
        <v>19</v>
      </c>
      <c r="L81" s="39" t="s">
        <v>19</v>
      </c>
      <c r="M81" s="40" t="str">
        <f>IF(D81="","",VLOOKUP(D81,고객법인일정파일!$C$5:$J$200,8,0))&amp;""</f>
        <v>Note1-test XADBN-NL</v>
      </c>
      <c r="N81" s="38" t="str" cm="1">
        <f t="array" ref="N81">_xlfn.TEXTJOIN(CHAR(10), 1, _xlfn._xlws.FILTER('RAW_URL,PageName'!D$2:D$999, ('RAW_URL,PageName'!$C$2:$C$999=$G81)*('RAW_URL,PageName'!$B$2:$B$999="TY"), ""))</f>
        <v/>
      </c>
      <c r="O81" s="33" t="str" cm="1">
        <f t="array" ref="O81">_xlfn.TEXTJOIN(CHAR(10), 1, _xlfn._xlws.FILTER('RAW_URL,PageName'!E$2:E$999, ('RAW_URL,PageName'!$C$2:$C$999=$G81)*('RAW_URL,PageName'!$B$2:$B$999="TY"), ""))</f>
        <v/>
      </c>
      <c r="P81" s="36" t="str" cm="1">
        <f t="array" ref="P81">_xlfn.TEXTJOIN(CHAR(10), 1, _xlfn._xlws.FILTER('RAW_URL,PageName'!F$2:F$999, ('RAW_URL,PageName'!$C$2:$C$999=$G81)*('RAW_URL,PageName'!$B$2:$B$999="TY"), ""))</f>
        <v/>
      </c>
      <c r="Q81" s="38" t="str" cm="1">
        <f t="array" ref="Q81">_xlfn.TEXTJOIN(CHAR(10), 1, _xlfn._xlws.FILTER('RAW_URL,PageName'!D$2:D$999, ('RAW_URL,PageName'!$C$2:$C$999=$G81)*('RAW_URL,PageName'!$B$2:$B$999="LY"), ""))</f>
        <v/>
      </c>
      <c r="R81" s="33" t="str" cm="1">
        <f t="array" ref="R81">_xlfn.TEXTJOIN(CHAR(10), 1, _xlfn._xlws.FILTER('RAW_URL,PageName'!E$2:E$999, ('RAW_URL,PageName'!$C$2:$C$999=$G81)*('RAW_URL,PageName'!$B$2:$B$999="LY"), ""))</f>
        <v/>
      </c>
      <c r="S81" s="56" t="str" cm="1">
        <f t="array" ref="S81">_xlfn.TEXTJOIN(CHAR(10), 1, _xlfn._xlws.FILTER('RAW_URL,PageName'!F$2:F$999, ('RAW_URL,PageName'!$C$2:$C$999=$G81)*('RAW_URL,PageName'!$B$2:$B$999="LY"), ""))</f>
        <v/>
      </c>
      <c r="T81" s="116"/>
      <c r="U81" s="116">
        <f>IFERROR(VLOOKUP($C81,태깅기획site_code!$N$4:$O$18,2,0),"")</f>
        <v>2</v>
      </c>
      <c r="V81" s="1"/>
      <c r="W81" s="45"/>
      <c r="X81" s="31"/>
      <c r="Y81" s="31"/>
      <c r="Z81" s="31"/>
      <c r="AA81" s="31"/>
      <c r="AB81" s="46"/>
      <c r="AC81" s="48"/>
      <c r="AD81" s="32"/>
      <c r="AE81" s="86" t="str">
        <f>IF(AD81="","",IF(IF(AD81&gt;api용!D$2,api용!D$2,AD81)&lt;AC81,"",IF(AD81&gt;api용!D$2,api용!D$2,AD81)))</f>
        <v/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2:50" ht="27" customHeight="1">
      <c r="B82" s="45">
        <f>IF($G82="","",IFERROR(VLOOKUP($G82,RAW_tier!$B$2:$C$200,2,0),2))</f>
        <v>1</v>
      </c>
      <c r="C82" s="31" t="str">
        <f>IF(ISBLANK(태깅기획site_code!F81),"",태깅기획site_code!C81)</f>
        <v>Korea</v>
      </c>
      <c r="D82" s="31" t="str">
        <f>IF(ISBLANK(태깅기획site_code!F81),"",IF(고객법인일정파일!P81="한총","SEC",IF(LEN(TRIM(고객법인일정파일!P81))=0,태깅기획site_code!D81,고객법인일정파일!P81)))</f>
        <v>XADC</v>
      </c>
      <c r="E82" s="31" t="str">
        <f>IF(ISBLANK(태깅기획site_code!F81),"",태깅기획site_code!E81)</f>
        <v>Korea</v>
      </c>
      <c r="F82" s="31" t="str">
        <f>IF(ISBLANK(태깅기획site_code!F81),"",태깅기획site_code!J81)</f>
        <v>Korea</v>
      </c>
      <c r="G82" s="35" t="str">
        <f>IF(ISBLANK(태깅기획site_code!B81),"",태깅기획site_code!F81)</f>
        <v>sec</v>
      </c>
      <c r="H82" s="43" t="str">
        <f>IF(ISBLANK(태깅기획site_code!F81),"",IF(고객법인일정파일!Q81="X","X",고객법인일정파일!R81))</f>
        <v/>
      </c>
      <c r="I82" s="32" t="str">
        <f>IF(ISBLANK(태깅기획site_code!F81),"",IF(고객법인일정파일!Q81="X","",고객법인일정파일!S81))</f>
        <v/>
      </c>
      <c r="J82" s="41"/>
      <c r="K82" s="43" t="s">
        <v>19</v>
      </c>
      <c r="L82" s="39" t="s">
        <v>19</v>
      </c>
      <c r="M82" s="40" t="e">
        <f>IF(D82="","",VLOOKUP(D82,고객법인일정파일!$C$5:$J$200,8,0))&amp;""</f>
        <v>#N/A</v>
      </c>
      <c r="N82" s="38" t="str" cm="1">
        <f t="array" ref="N82">_xlfn.TEXTJOIN(CHAR(10), 1, _xlfn._xlws.FILTER('RAW_URL,PageName'!D$2:D$999, ('RAW_URL,PageName'!$C$2:$C$999=$G82)*('RAW_URL,PageName'!$B$2:$B$999="TY"), ""))</f>
        <v>https://company_name.com/sec/offer/test-campaign-2026</v>
      </c>
      <c r="O82" s="33" t="str" cm="1">
        <f t="array" ref="O82">_xlfn.TEXTJOIN(CHAR(10), 1, _xlfn._xlws.FILTER('RAW_URL,PageName'!E$2:E$999, ('RAW_URL,PageName'!$C$2:$C$999=$G82)*('RAW_URL,PageName'!$B$2:$B$999="TY"), ""))</f>
        <v>sec:offer:testcampaign2026</v>
      </c>
      <c r="P82" s="36" t="str" cm="1">
        <f t="array" ref="P82">_xlfn.TEXTJOIN(CHAR(10), 1, _xlfn._xlws.FILTER('RAW_URL,PageName'!F$2:F$999, ('RAW_URL,PageName'!$C$2:$C$999=$G82)*('RAW_URL,PageName'!$B$2:$B$999="TY"), ""))</f>
        <v>노트test1</v>
      </c>
      <c r="Q82" s="38" t="str" cm="1">
        <f t="array" ref="Q82">_xlfn.TEXTJOIN(CHAR(10), 1, _xlfn._xlws.FILTER('RAW_URL,PageName'!D$2:D$999, ('RAW_URL,PageName'!$C$2:$C$999=$G82)*('RAW_URL,PageName'!$B$2:$B$999="LY"), ""))</f>
        <v/>
      </c>
      <c r="R82" s="33" t="str" cm="1">
        <f t="array" ref="R82">_xlfn.TEXTJOIN(CHAR(10), 1, _xlfn._xlws.FILTER('RAW_URL,PageName'!E$2:E$999, ('RAW_URL,PageName'!$C$2:$C$999=$G82)*('RAW_URL,PageName'!$B$2:$B$999="LY"), ""))</f>
        <v/>
      </c>
      <c r="S82" s="56" t="str" cm="1">
        <f t="array" ref="S82">_xlfn.TEXTJOIN(CHAR(10), 1, _xlfn._xlws.FILTER('RAW_URL,PageName'!F$2:F$999, ('RAW_URL,PageName'!$C$2:$C$999=$G82)*('RAW_URL,PageName'!$B$2:$B$999="LY"), ""))</f>
        <v/>
      </c>
      <c r="T82" s="116"/>
      <c r="U82" s="116">
        <f>IFERROR(VLOOKUP($C82,태깅기획site_code!$N$4:$O$18,2,0),"")</f>
        <v>11</v>
      </c>
      <c r="V82" s="1"/>
      <c r="W82" s="45"/>
      <c r="X82" s="31"/>
      <c r="Y82" s="31"/>
      <c r="Z82" s="31"/>
      <c r="AA82" s="31"/>
      <c r="AB82" s="47"/>
      <c r="AC82" s="48"/>
      <c r="AD82" s="32"/>
      <c r="AE82" s="86" t="str">
        <f>IF(AD82="","",IF(IF(AD82&gt;api용!D$2,api용!D$2,AD82)&lt;AC82,"",IF(AD82&gt;api용!D$2,api용!D$2,AD82)))</f>
        <v/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2:50" ht="36" customHeight="1">
      <c r="B83" s="45">
        <f>IF($G83="","",IFERROR(VLOOKUP($G83,RAW_tier!$B$2:$C$200,2,0),2))</f>
        <v>2</v>
      </c>
      <c r="C83" s="31" t="str">
        <f>IF(ISBLANK(태깅기획site_code!F82),"",태깅기획site_code!C82)</f>
        <v>S.E.Asia</v>
      </c>
      <c r="D83" s="31" t="str">
        <f>IF(ISBLANK(태깅기획site_code!F82),"",IF(고객법인일정파일!P82="한총","SEC",IF(LEN(TRIM(고객법인일정파일!P82))=0,태깅기획site_code!D82,고객법인일정파일!P82)))</f>
        <v>XADXP</v>
      </c>
      <c r="E83" s="31" t="str">
        <f>IF(ISBLANK(태깅기획site_code!F82),"",태깅기획site_code!E82)</f>
        <v>Singapore</v>
      </c>
      <c r="F83" s="31" t="str">
        <f>IF(ISBLANK(태깅기획site_code!F82),"",태깅기획site_code!J82)</f>
        <v>Singapore</v>
      </c>
      <c r="G83" s="35" t="str">
        <f>IF(ISBLANK(태깅기획site_code!B82),"",태깅기획site_code!F82)</f>
        <v>sg</v>
      </c>
      <c r="H83" s="43" t="str">
        <f>IF(ISBLANK(태깅기획site_code!F82),"",IF(고객법인일정파일!Q82="X","X",고객법인일정파일!R82))</f>
        <v>X</v>
      </c>
      <c r="I83" s="32" t="str">
        <f>IF(ISBLANK(태깅기획site_code!F82),"",IF(고객법인일정파일!Q82="X","",고객법인일정파일!S82))</f>
        <v/>
      </c>
      <c r="J83" s="41"/>
      <c r="K83" s="43" t="s">
        <v>19</v>
      </c>
      <c r="L83" s="39" t="s">
        <v>19</v>
      </c>
      <c r="M83" s="40" t="str">
        <f>IF(D83="","",VLOOKUP(D83,고객법인일정파일!$C$5:$J$200,8,0))&amp;""</f>
        <v>Note1-test XADIB-PT</v>
      </c>
      <c r="N83" s="38" t="str" cm="1">
        <f t="array" ref="N83">_xlfn.TEXTJOIN(CHAR(10), 1, _xlfn._xlws.FILTER('RAW_URL,PageName'!D$2:D$999, ('RAW_URL,PageName'!$C$2:$C$999=$G83)*('RAW_URL,PageName'!$B$2:$B$999="TY"), ""))</f>
        <v/>
      </c>
      <c r="O83" s="33" t="str" cm="1">
        <f t="array" ref="O83">_xlfn.TEXTJOIN(CHAR(10), 1, _xlfn._xlws.FILTER('RAW_URL,PageName'!E$2:E$999, ('RAW_URL,PageName'!$C$2:$C$999=$G83)*('RAW_URL,PageName'!$B$2:$B$999="TY"), ""))</f>
        <v/>
      </c>
      <c r="P83" s="36" t="str" cm="1">
        <f t="array" ref="P83">_xlfn.TEXTJOIN(CHAR(10), 1, _xlfn._xlws.FILTER('RAW_URL,PageName'!F$2:F$999, ('RAW_URL,PageName'!$C$2:$C$999=$G83)*('RAW_URL,PageName'!$B$2:$B$999="TY"), ""))</f>
        <v/>
      </c>
      <c r="Q83" s="38" t="str" cm="1">
        <f t="array" ref="Q83">_xlfn.TEXTJOIN(CHAR(10), 1, _xlfn._xlws.FILTER('RAW_URL,PageName'!D$2:D$999, ('RAW_URL,PageName'!$C$2:$C$999=$G83)*('RAW_URL,PageName'!$B$2:$B$999="LY"), ""))</f>
        <v/>
      </c>
      <c r="R83" s="33" t="str" cm="1">
        <f t="array" ref="R83">_xlfn.TEXTJOIN(CHAR(10), 1, _xlfn._xlws.FILTER('RAW_URL,PageName'!E$2:E$999, ('RAW_URL,PageName'!$C$2:$C$999=$G83)*('RAW_URL,PageName'!$B$2:$B$999="LY"), ""))</f>
        <v/>
      </c>
      <c r="S83" s="56" t="str" cm="1">
        <f t="array" ref="S83">_xlfn.TEXTJOIN(CHAR(10), 1, _xlfn._xlws.FILTER('RAW_URL,PageName'!F$2:F$999, ('RAW_URL,PageName'!$C$2:$C$999=$G83)*('RAW_URL,PageName'!$B$2:$B$999="LY"), ""))</f>
        <v/>
      </c>
      <c r="T83" s="116"/>
      <c r="U83" s="116">
        <f>IFERROR(VLOOKUP($C83,태깅기획site_code!$N$4:$O$18,2,0),"")</f>
        <v>4</v>
      </c>
      <c r="V83" s="1"/>
      <c r="W83" s="45"/>
      <c r="X83" s="31"/>
      <c r="Y83" s="31"/>
      <c r="Z83" s="31"/>
      <c r="AA83" s="31"/>
      <c r="AB83" s="47"/>
      <c r="AC83" s="48"/>
      <c r="AD83" s="32"/>
      <c r="AE83" s="86" t="str">
        <f>IF(AD83="","",IF(IF(AD83&gt;api용!D$2,api용!D$2,AD83)&lt;AC83,"",IF(AD83&gt;api용!D$2,api용!D$2,AD83)))</f>
        <v/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2:50" ht="24" customHeight="1">
      <c r="B84" s="45">
        <f>IF($G84="","",IFERROR(VLOOKUP($G84,RAW_tier!$B$2:$C$200,2,0),2))</f>
        <v>2</v>
      </c>
      <c r="C84" s="31" t="str">
        <f>IF(ISBLANK(태깅기획site_code!F83),"",태깅기획site_code!C83)</f>
        <v>EU</v>
      </c>
      <c r="D84" s="31" t="str">
        <f>IF(ISBLANK(태깅기획site_code!F83),"",IF(고객법인일정파일!P83="한총","SEC",IF(LEN(TRIM(고객법인일정파일!P83))=0,태깅기획site_code!D83,고객법인일정파일!P83)))</f>
        <v>XADUD</v>
      </c>
      <c r="E84" s="31" t="str">
        <f>IF(ISBLANK(태깅기획site_code!F83),"",태깅기획site_code!E83)</f>
        <v>Slovenia</v>
      </c>
      <c r="F84" s="31" t="str">
        <f>IF(ISBLANK(태깅기획site_code!F83),"",태깅기획site_code!J83)</f>
        <v>Slovenia</v>
      </c>
      <c r="G84" s="35" t="str">
        <f>IF(ISBLANK(태깅기획site_code!B83),"",태깅기획site_code!F83)</f>
        <v>si</v>
      </c>
      <c r="H84" s="43" t="str">
        <f>IF(ISBLANK(태깅기획site_code!F83),"",IF(고객법인일정파일!Q83="X","X",고객법인일정파일!R83))</f>
        <v>X</v>
      </c>
      <c r="I84" s="32" t="str">
        <f>IF(ISBLANK(태깅기획site_code!F83),"",IF(고객법인일정파일!Q83="X","",고객법인일정파일!S83))</f>
        <v/>
      </c>
      <c r="J84" s="41"/>
      <c r="K84" s="43" t="s">
        <v>19</v>
      </c>
      <c r="L84" s="39" t="s">
        <v>19</v>
      </c>
      <c r="M84" s="40" t="str">
        <f>IF(D84="","",VLOOKUP(D84,고객법인일정파일!$C$5:$J$200,8,0))&amp;""</f>
        <v>Note1-test XADUX-UT</v>
      </c>
      <c r="N84" s="38" t="str" cm="1">
        <f t="array" ref="N84">_xlfn.TEXTJOIN(CHAR(10), 1, _xlfn._xlws.FILTER('RAW_URL,PageName'!D$2:D$999, ('RAW_URL,PageName'!$C$2:$C$999=$G84)*('RAW_URL,PageName'!$B$2:$B$999="TY"), ""))</f>
        <v/>
      </c>
      <c r="O84" s="33" t="str" cm="1">
        <f t="array" ref="O84">_xlfn.TEXTJOIN(CHAR(10), 1, _xlfn._xlws.FILTER('RAW_URL,PageName'!E$2:E$999, ('RAW_URL,PageName'!$C$2:$C$999=$G84)*('RAW_URL,PageName'!$B$2:$B$999="TY"), ""))</f>
        <v/>
      </c>
      <c r="P84" s="36" t="str" cm="1">
        <f t="array" ref="P84">_xlfn.TEXTJOIN(CHAR(10), 1, _xlfn._xlws.FILTER('RAW_URL,PageName'!F$2:F$999, ('RAW_URL,PageName'!$C$2:$C$999=$G84)*('RAW_URL,PageName'!$B$2:$B$999="TY"), ""))</f>
        <v/>
      </c>
      <c r="Q84" s="38" t="str" cm="1">
        <f t="array" ref="Q84">_xlfn.TEXTJOIN(CHAR(10), 1, _xlfn._xlws.FILTER('RAW_URL,PageName'!D$2:D$999, ('RAW_URL,PageName'!$C$2:$C$999=$G84)*('RAW_URL,PageName'!$B$2:$B$999="LY"), ""))</f>
        <v/>
      </c>
      <c r="R84" s="33" t="str" cm="1">
        <f t="array" ref="R84">_xlfn.TEXTJOIN(CHAR(10), 1, _xlfn._xlws.FILTER('RAW_URL,PageName'!E$2:E$999, ('RAW_URL,PageName'!$C$2:$C$999=$G84)*('RAW_URL,PageName'!$B$2:$B$999="LY"), ""))</f>
        <v/>
      </c>
      <c r="S84" s="56" t="str" cm="1">
        <f t="array" ref="S84">_xlfn.TEXTJOIN(CHAR(10), 1, _xlfn._xlws.FILTER('RAW_URL,PageName'!F$2:F$999, ('RAW_URL,PageName'!$C$2:$C$999=$G84)*('RAW_URL,PageName'!$B$2:$B$999="LY"), ""))</f>
        <v/>
      </c>
      <c r="T84" s="116"/>
      <c r="U84" s="116">
        <f>IFERROR(VLOOKUP($C84,태깅기획site_code!$N$4:$O$18,2,0),"")</f>
        <v>2</v>
      </c>
      <c r="V84" s="1"/>
      <c r="W84" s="45"/>
      <c r="X84" s="31"/>
      <c r="Y84" s="31"/>
      <c r="Z84" s="31"/>
      <c r="AA84" s="31"/>
      <c r="AB84" s="47"/>
      <c r="AC84" s="48"/>
      <c r="AD84" s="32"/>
      <c r="AE84" s="86" t="str">
        <f>IF(AD84="","",IF(IF(AD84&gt;api용!D$2,api용!D$2,AD84)&lt;AC84,"",IF(AD84&gt;api용!D$2,api용!D$2,AD84)))</f>
        <v/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2:50">
      <c r="B85" s="45">
        <f>IF($G85="","",IFERROR(VLOOKUP($G85,RAW_tier!$B$2:$C$200,2,0),2))</f>
        <v>2</v>
      </c>
      <c r="C85" s="31" t="str">
        <f>IF(ISBLANK(태깅기획site_code!F84),"",태깅기획site_code!C84)</f>
        <v>EU</v>
      </c>
      <c r="D85" s="31" t="str">
        <f>IF(ISBLANK(태깅기획site_code!F84),"",IF(고객법인일정파일!P84="한총","SEC",IF(LEN(TRIM(고객법인일정파일!P84))=0,태깅기획site_code!D84,고객법인일정파일!P84)))</f>
        <v>XADCZ</v>
      </c>
      <c r="E85" s="31" t="str">
        <f>IF(ISBLANK(태깅기획site_code!F84),"",태깅기획site_code!E84)</f>
        <v>Slovakia</v>
      </c>
      <c r="F85" s="31" t="str">
        <f>IF(ISBLANK(태깅기획site_code!F84),"",태깅기획site_code!J84)</f>
        <v>Slovakia</v>
      </c>
      <c r="G85" s="35" t="str">
        <f>IF(ISBLANK(태깅기획site_code!B84),"",태깅기획site_code!F84)</f>
        <v>sk</v>
      </c>
      <c r="H85" s="43">
        <f>IF(ISBLANK(태깅기획site_code!F84),"",IF(고객법인일정파일!Q84="X","X",고객법인일정파일!R84))</f>
        <v>46054</v>
      </c>
      <c r="I85" s="32">
        <f>IF(ISBLANK(태깅기획site_code!F84),"",IF(고객법인일정파일!Q84="X","",고객법인일정파일!S84))</f>
        <v>46063</v>
      </c>
      <c r="J85" s="41"/>
      <c r="K85" s="43">
        <v>45778</v>
      </c>
      <c r="L85" s="39">
        <v>45787</v>
      </c>
      <c r="M85" s="40" t="str">
        <f>IF(D85="","",VLOOKUP(D85,고객법인일정파일!$C$5:$J$200,8,0))&amp;""</f>
        <v/>
      </c>
      <c r="N85" s="38" t="str" cm="1">
        <f t="array" ref="N85">_xlfn.TEXTJOIN(CHAR(10), 1, _xlfn._xlws.FILTER('RAW_URL,PageName'!D$2:D$999, ('RAW_URL,PageName'!$C$2:$C$999=$G85)*('RAW_URL,PageName'!$B$2:$B$999="TY"), ""))</f>
        <v/>
      </c>
      <c r="O85" s="33" t="str" cm="1">
        <f t="array" ref="O85">_xlfn.TEXTJOIN(CHAR(10), 1, _xlfn._xlws.FILTER('RAW_URL,PageName'!E$2:E$999, ('RAW_URL,PageName'!$C$2:$C$999=$G85)*('RAW_URL,PageName'!$B$2:$B$999="TY"), ""))</f>
        <v/>
      </c>
      <c r="P85" s="36" t="str" cm="1">
        <f t="array" ref="P85">_xlfn.TEXTJOIN(CHAR(10), 1, _xlfn._xlws.FILTER('RAW_URL,PageName'!F$2:F$999, ('RAW_URL,PageName'!$C$2:$C$999=$G85)*('RAW_URL,PageName'!$B$2:$B$999="TY"), ""))</f>
        <v/>
      </c>
      <c r="Q85" s="38" t="str" cm="1">
        <f t="array" ref="Q85">_xlfn.TEXTJOIN(CHAR(10), 1, _xlfn._xlws.FILTER('RAW_URL,PageName'!D$2:D$999, ('RAW_URL,PageName'!$C$2:$C$999=$G85)*('RAW_URL,PageName'!$B$2:$B$999="LY"), ""))</f>
        <v/>
      </c>
      <c r="R85" s="33" t="str" cm="1">
        <f t="array" ref="R85">_xlfn.TEXTJOIN(CHAR(10), 1, _xlfn._xlws.FILTER('RAW_URL,PageName'!E$2:E$999, ('RAW_URL,PageName'!$C$2:$C$999=$G85)*('RAW_URL,PageName'!$B$2:$B$999="LY"), ""))</f>
        <v/>
      </c>
      <c r="S85" s="56" t="str" cm="1">
        <f t="array" ref="S85">_xlfn.TEXTJOIN(CHAR(10), 1, _xlfn._xlws.FILTER('RAW_URL,PageName'!F$2:F$999, ('RAW_URL,PageName'!$C$2:$C$999=$G85)*('RAW_URL,PageName'!$B$2:$B$999="LY"), ""))</f>
        <v/>
      </c>
      <c r="T85" s="116"/>
      <c r="U85" s="116">
        <f>IFERROR(VLOOKUP($C85,태깅기획site_code!$N$4:$O$18,2,0),"")</f>
        <v>2</v>
      </c>
      <c r="V85" s="1"/>
      <c r="W85" s="45"/>
      <c r="X85" s="31"/>
      <c r="Y85" s="31"/>
      <c r="Z85" s="31"/>
      <c r="AA85" s="31"/>
      <c r="AB85" s="47"/>
      <c r="AC85" s="48"/>
      <c r="AD85" s="32"/>
      <c r="AE85" s="86" t="str">
        <f>IF(AD85="","",IF(IF(AD85&gt;api용!D$2,api용!D$2,AD85)&lt;AC85,"",IF(AD85&gt;api용!D$2,api용!D$2,AD85)))</f>
        <v/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2:50" ht="36" customHeight="1">
      <c r="B86" s="45">
        <f>IF($G86="","",IFERROR(VLOOKUP($G86,RAW_tier!$B$2:$C$200,2,0),2))</f>
        <v>2</v>
      </c>
      <c r="C86" s="31" t="str">
        <f>IF(ISBLANK(태깅기획site_code!F85),"",태깅기획site_code!C85)</f>
        <v>S.E.Asia</v>
      </c>
      <c r="D86" s="31" t="str">
        <f>IF(ISBLANK(태깅기획site_code!F85),"",IF(고객법인일정파일!P85="한총","SEC",IF(LEN(TRIM(고객법인일정파일!P85))=0,태깅기획site_code!D85,고객법인일정파일!P85)))</f>
        <v>TXAD-TH</v>
      </c>
      <c r="E86" s="31" t="str">
        <f>IF(ISBLANK(태깅기획site_code!F85),"",태깅기획site_code!E85)</f>
        <v>Thailand</v>
      </c>
      <c r="F86" s="31" t="str">
        <f>IF(ISBLANK(태깅기획site_code!F85),"",태깅기획site_code!J85)</f>
        <v>Thailand</v>
      </c>
      <c r="G86" s="35" t="str">
        <f>IF(ISBLANK(태깅기획site_code!B85),"",태깅기획site_code!F85)</f>
        <v>th</v>
      </c>
      <c r="H86" s="43">
        <f>IF(ISBLANK(태깅기획site_code!F85),"",IF(고객법인일정파일!Q85="X","X",고객법인일정파일!R85))</f>
        <v>46243</v>
      </c>
      <c r="I86" s="32">
        <f>IF(ISBLANK(태깅기획site_code!F85),"",IF(고객법인일정파일!Q85="X","",고객법인일정파일!S85))</f>
        <v>46246</v>
      </c>
      <c r="J86" s="41"/>
      <c r="K86" s="43">
        <v>45878</v>
      </c>
      <c r="L86" s="39">
        <v>45884</v>
      </c>
      <c r="M86" s="40" t="str">
        <f>IF(D86="","",VLOOKUP(D86,고객법인일정파일!$C$5:$J$200,8,0))&amp;""</f>
        <v>Note1-test XADF</v>
      </c>
      <c r="N86" s="38" t="str" cm="1">
        <f t="array" ref="N86">_xlfn.TEXTJOIN(CHAR(10), 1, _xlfn._xlws.FILTER('RAW_URL,PageName'!D$2:D$999, ('RAW_URL,PageName'!$C$2:$C$999=$G86)*('RAW_URL,PageName'!$B$2:$B$999="TY"), ""))</f>
        <v/>
      </c>
      <c r="O86" s="33" t="str" cm="1">
        <f t="array" ref="O86">_xlfn.TEXTJOIN(CHAR(10), 1, _xlfn._xlws.FILTER('RAW_URL,PageName'!E$2:E$999, ('RAW_URL,PageName'!$C$2:$C$999=$G86)*('RAW_URL,PageName'!$B$2:$B$999="TY"), ""))</f>
        <v/>
      </c>
      <c r="P86" s="36" t="str" cm="1">
        <f t="array" ref="P86">_xlfn.TEXTJOIN(CHAR(10), 1, _xlfn._xlws.FILTER('RAW_URL,PageName'!F$2:F$999, ('RAW_URL,PageName'!$C$2:$C$999=$G86)*('RAW_URL,PageName'!$B$2:$B$999="TY"), ""))</f>
        <v/>
      </c>
      <c r="Q86" s="38" t="str" cm="1">
        <f t="array" ref="Q86">_xlfn.TEXTJOIN(CHAR(10), 1, _xlfn._xlws.FILTER('RAW_URL,PageName'!D$2:D$999, ('RAW_URL,PageName'!$C$2:$C$999=$G86)*('RAW_URL,PageName'!$B$2:$B$999="LY"), ""))</f>
        <v/>
      </c>
      <c r="R86" s="33" t="str" cm="1">
        <f t="array" ref="R86">_xlfn.TEXTJOIN(CHAR(10), 1, _xlfn._xlws.FILTER('RAW_URL,PageName'!E$2:E$999, ('RAW_URL,PageName'!$C$2:$C$999=$G86)*('RAW_URL,PageName'!$B$2:$B$999="LY"), ""))</f>
        <v/>
      </c>
      <c r="S86" s="56" t="str" cm="1">
        <f t="array" ref="S86">_xlfn.TEXTJOIN(CHAR(10), 1, _xlfn._xlws.FILTER('RAW_URL,PageName'!F$2:F$999, ('RAW_URL,PageName'!$C$2:$C$999=$G86)*('RAW_URL,PageName'!$B$2:$B$999="LY"), ""))</f>
        <v/>
      </c>
      <c r="T86" s="116"/>
      <c r="U86" s="116">
        <f>IFERROR(VLOOKUP($C86,태깅기획site_code!$N$4:$O$18,2,0),"")</f>
        <v>4</v>
      </c>
      <c r="V86" s="1"/>
      <c r="W86" s="45"/>
      <c r="X86" s="31"/>
      <c r="Y86" s="31"/>
      <c r="Z86" s="31"/>
      <c r="AA86" s="31"/>
      <c r="AB86" s="47"/>
      <c r="AC86" s="48"/>
      <c r="AD86" s="32"/>
      <c r="AE86" s="86" t="str">
        <f>IF(AD86="","",IF(IF(AD86&gt;api용!D$2,api용!D$2,AD86)&lt;AC86,"",IF(AD86&gt;api용!D$2,api용!D$2,AD86)))</f>
        <v/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2:50">
      <c r="B87" s="45">
        <f>IF($G87="","",IFERROR(VLOOKUP($G87,RAW_tier!$B$2:$C$200,2,0),2))</f>
        <v>1</v>
      </c>
      <c r="C87" s="31" t="str">
        <f>IF(ISBLANK(태깅기획site_code!F86),"",태깅기획site_code!C86)</f>
        <v>MENA</v>
      </c>
      <c r="D87" s="31" t="str">
        <f>IF(ISBLANK(태깅기획site_code!F86),"",IF(고객법인일정파일!P86="한총","SEC",IF(LEN(TRIM(고객법인일정파일!P86))=0,태깅기획site_code!D86,고객법인일정파일!P86)))</f>
        <v>XADTK</v>
      </c>
      <c r="E87" s="31" t="str">
        <f>IF(ISBLANK(태깅기획site_code!F86),"",태깅기획site_code!E86)</f>
        <v>Turkey</v>
      </c>
      <c r="F87" s="31" t="str">
        <f>IF(ISBLANK(태깅기획site_code!F86),"",태깅기획site_code!J86)</f>
        <v>Turkey</v>
      </c>
      <c r="G87" s="35" t="str">
        <f>IF(ISBLANK(태깅기획site_code!B86),"",태깅기획site_code!F86)</f>
        <v>tr</v>
      </c>
      <c r="H87" s="43">
        <f>IF(ISBLANK(태깅기획site_code!F86),"",IF(고객법인일정파일!Q86="X","X",고객법인일정파일!R86))</f>
        <v>46054</v>
      </c>
      <c r="I87" s="32">
        <f>IF(ISBLANK(태깅기획site_code!F86),"",IF(고객법인일정파일!Q86="X","",고객법인일정파일!S86))</f>
        <v>46063</v>
      </c>
      <c r="J87" s="41"/>
      <c r="K87" s="43">
        <v>45778</v>
      </c>
      <c r="L87" s="39">
        <v>45787</v>
      </c>
      <c r="M87" s="40" t="str">
        <f>IF(D87="","",VLOOKUP(D87,고객법인일정파일!$C$5:$J$200,8,0))&amp;""</f>
        <v/>
      </c>
      <c r="N87" s="38" t="str" cm="1">
        <f t="array" ref="N87">_xlfn.TEXTJOIN(CHAR(10), 1, _xlfn._xlws.FILTER('RAW_URL,PageName'!D$2:D$999, ('RAW_URL,PageName'!$C$2:$C$999=$G87)*('RAW_URL,PageName'!$B$2:$B$999="TY"), ""))</f>
        <v/>
      </c>
      <c r="O87" s="33" t="str" cm="1">
        <f t="array" ref="O87">_xlfn.TEXTJOIN(CHAR(10), 1, _xlfn._xlws.FILTER('RAW_URL,PageName'!E$2:E$999, ('RAW_URL,PageName'!$C$2:$C$999=$G87)*('RAW_URL,PageName'!$B$2:$B$999="TY"), ""))</f>
        <v/>
      </c>
      <c r="P87" s="36" t="str" cm="1">
        <f t="array" ref="P87">_xlfn.TEXTJOIN(CHAR(10), 1, _xlfn._xlws.FILTER('RAW_URL,PageName'!F$2:F$999, ('RAW_URL,PageName'!$C$2:$C$999=$G87)*('RAW_URL,PageName'!$B$2:$B$999="TY"), ""))</f>
        <v/>
      </c>
      <c r="Q87" s="38" t="str" cm="1">
        <f t="array" ref="Q87">_xlfn.TEXTJOIN(CHAR(10), 1, _xlfn._xlws.FILTER('RAW_URL,PageName'!D$2:D$999, ('RAW_URL,PageName'!$C$2:$C$999=$G87)*('RAW_URL,PageName'!$B$2:$B$999="LY"), ""))</f>
        <v/>
      </c>
      <c r="R87" s="33" t="str" cm="1">
        <f t="array" ref="R87">_xlfn.TEXTJOIN(CHAR(10), 1, _xlfn._xlws.FILTER('RAW_URL,PageName'!E$2:E$999, ('RAW_URL,PageName'!$C$2:$C$999=$G87)*('RAW_URL,PageName'!$B$2:$B$999="LY"), ""))</f>
        <v/>
      </c>
      <c r="S87" s="56" t="str" cm="1">
        <f t="array" ref="S87">_xlfn.TEXTJOIN(CHAR(10), 1, _xlfn._xlws.FILTER('RAW_URL,PageName'!F$2:F$999, ('RAW_URL,PageName'!$C$2:$C$999=$G87)*('RAW_URL,PageName'!$B$2:$B$999="LY"), ""))</f>
        <v/>
      </c>
      <c r="T87" s="116"/>
      <c r="U87" s="116">
        <f>IFERROR(VLOOKUP($C87,태깅기획site_code!$N$4:$O$18,2,0),"")</f>
        <v>6</v>
      </c>
      <c r="V87" s="1"/>
      <c r="W87" s="45"/>
      <c r="X87" s="31"/>
      <c r="Y87" s="31"/>
      <c r="Z87" s="31"/>
      <c r="AA87" s="31"/>
      <c r="AB87" s="47"/>
      <c r="AC87" s="48"/>
      <c r="AD87" s="32"/>
      <c r="AE87" s="86" t="str">
        <f>IF(AD87="","",IF(IF(AD87&gt;api용!D$2,api용!D$2,AD87)&lt;AC87,"",IF(AD87&gt;api용!D$2,api용!D$2,AD87)))</f>
        <v/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2:50">
      <c r="B88" s="45">
        <f>IF($G88="","",IFERROR(VLOOKUP($G88,RAW_tier!$B$2:$C$200,2,0),2))</f>
        <v>2</v>
      </c>
      <c r="C88" s="31" t="str">
        <f>IF(ISBLANK(태깅기획site_code!F87),"",태깅기획site_code!C87)</f>
        <v>China</v>
      </c>
      <c r="D88" s="31" t="str">
        <f>IF(ISBLANK(태깅기획site_code!F87),"",IF(고객법인일정파일!P87="한총","SEC",IF(LEN(TRIM(고객법인일정파일!P87))=0,태깅기획site_code!D87,고객법인일정파일!P87)))</f>
        <v>XADT</v>
      </c>
      <c r="E88" s="31" t="str">
        <f>IF(ISBLANK(태깅기획site_code!F87),"",태깅기획site_code!E87)</f>
        <v>Taiwan</v>
      </c>
      <c r="F88" s="31" t="str">
        <f>IF(ISBLANK(태깅기획site_code!F87),"",태깅기획site_code!J87)</f>
        <v>Taiwan</v>
      </c>
      <c r="G88" s="35" t="str">
        <f>IF(ISBLANK(태깅기획site_code!B87),"",태깅기획site_code!F87)</f>
        <v>tw</v>
      </c>
      <c r="H88" s="43">
        <f>IF(ISBLANK(태깅기획site_code!F87),"",IF(고객법인일정파일!Q87="X","X",고객법인일정파일!R87))</f>
        <v>46054</v>
      </c>
      <c r="I88" s="32">
        <f>IF(ISBLANK(태깅기획site_code!F87),"",IF(고객법인일정파일!Q87="X","",고객법인일정파일!S87))</f>
        <v>46063</v>
      </c>
      <c r="J88" s="41"/>
      <c r="K88" s="43">
        <v>45778</v>
      </c>
      <c r="L88" s="39">
        <v>45787</v>
      </c>
      <c r="M88" s="40" t="str">
        <f>IF(D88="","",VLOOKUP(D88,고객법인일정파일!$C$5:$J$200,8,0))&amp;""</f>
        <v/>
      </c>
      <c r="N88" s="38" t="str" cm="1">
        <f t="array" ref="N88">_xlfn.TEXTJOIN(CHAR(10), 1, _xlfn._xlws.FILTER('RAW_URL,PageName'!D$2:D$999, ('RAW_URL,PageName'!$C$2:$C$999=$G88)*('RAW_URL,PageName'!$B$2:$B$999="TY"), ""))</f>
        <v/>
      </c>
      <c r="O88" s="33" t="str" cm="1">
        <f t="array" ref="O88">_xlfn.TEXTJOIN(CHAR(10), 1, _xlfn._xlws.FILTER('RAW_URL,PageName'!E$2:E$999, ('RAW_URL,PageName'!$C$2:$C$999=$G88)*('RAW_URL,PageName'!$B$2:$B$999="TY"), ""))</f>
        <v/>
      </c>
      <c r="P88" s="36" t="str" cm="1">
        <f t="array" ref="P88">_xlfn.TEXTJOIN(CHAR(10), 1, _xlfn._xlws.FILTER('RAW_URL,PageName'!F$2:F$999, ('RAW_URL,PageName'!$C$2:$C$999=$G88)*('RAW_URL,PageName'!$B$2:$B$999="TY"), ""))</f>
        <v/>
      </c>
      <c r="Q88" s="38" t="str" cm="1">
        <f t="array" ref="Q88">_xlfn.TEXTJOIN(CHAR(10), 1, _xlfn._xlws.FILTER('RAW_URL,PageName'!D$2:D$999, ('RAW_URL,PageName'!$C$2:$C$999=$G88)*('RAW_URL,PageName'!$B$2:$B$999="LY"), ""))</f>
        <v/>
      </c>
      <c r="R88" s="33" t="str" cm="1">
        <f t="array" ref="R88">_xlfn.TEXTJOIN(CHAR(10), 1, _xlfn._xlws.FILTER('RAW_URL,PageName'!E$2:E$999, ('RAW_URL,PageName'!$C$2:$C$999=$G88)*('RAW_URL,PageName'!$B$2:$B$999="LY"), ""))</f>
        <v/>
      </c>
      <c r="S88" s="56" t="str" cm="1">
        <f t="array" ref="S88">_xlfn.TEXTJOIN(CHAR(10), 1, _xlfn._xlws.FILTER('RAW_URL,PageName'!F$2:F$999, ('RAW_URL,PageName'!$C$2:$C$999=$G88)*('RAW_URL,PageName'!$B$2:$B$999="LY"), ""))</f>
        <v/>
      </c>
      <c r="T88" s="116"/>
      <c r="U88" s="116">
        <f>IFERROR(VLOOKUP($C88,태깅기획site_code!$N$4:$O$18,2,0),"")</f>
        <v>9</v>
      </c>
      <c r="V88" s="1"/>
      <c r="W88" s="45"/>
      <c r="X88" s="31"/>
      <c r="Y88" s="31"/>
      <c r="Z88" s="31"/>
      <c r="AA88" s="31"/>
      <c r="AB88" s="47"/>
      <c r="AC88" s="48"/>
      <c r="AD88" s="32"/>
      <c r="AE88" s="86" t="str">
        <f>IF(AD88="","",IF(IF(AD88&gt;api용!D$2,api용!D$2,AD88)&lt;AC88,"",IF(AD88&gt;api용!D$2,api용!D$2,AD88)))</f>
        <v/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2:50">
      <c r="B89" s="45">
        <f>IF($G89="","",IFERROR(VLOOKUP($G89,RAW_tier!$B$2:$C$200,2,0),2))</f>
        <v>2</v>
      </c>
      <c r="C89" s="31" t="str">
        <f>IF(ISBLANK(태깅기획site_code!F88),"",태깅기획site_code!C88)</f>
        <v>EU</v>
      </c>
      <c r="D89" s="31" t="str">
        <f>IF(ISBLANK(태깅기획site_code!F88),"",IF(고객법인일정파일!P88="한총","SEC",IF(LEN(TRIM(고객법인일정파일!P88))=0,태깅기획site_code!D88,고객법인일정파일!P88)))</f>
        <v>XADUC</v>
      </c>
      <c r="E89" s="31" t="str">
        <f>IF(ISBLANK(태깅기획site_code!F88),"",태깅기획site_code!E88)</f>
        <v>Ukraine</v>
      </c>
      <c r="F89" s="31" t="str">
        <f>IF(ISBLANK(태깅기획site_code!F88),"",태깅기획site_code!J88)</f>
        <v>Ukraine</v>
      </c>
      <c r="G89" s="35" t="str">
        <f>IF(ISBLANK(태깅기획site_code!B88),"",태깅기획site_code!F88)</f>
        <v>ua</v>
      </c>
      <c r="H89" s="43" t="str">
        <f>IF(ISBLANK(태깅기획site_code!F88),"",IF(고객법인일정파일!Q88="X","X",고객법인일정파일!R88))</f>
        <v/>
      </c>
      <c r="I89" s="32" t="str">
        <f>IF(ISBLANK(태깅기획site_code!F88),"",IF(고객법인일정파일!Q88="X","",고객법인일정파일!S88))</f>
        <v/>
      </c>
      <c r="J89" s="41"/>
      <c r="K89" s="43" t="s">
        <v>19</v>
      </c>
      <c r="L89" s="39" t="s">
        <v>19</v>
      </c>
      <c r="M89" s="40" t="str">
        <f>IF(D89="","",VLOOKUP(D89,고객법인일정파일!$C$5:$J$200,8,0))&amp;""</f>
        <v/>
      </c>
      <c r="N89" s="38" t="str" cm="1">
        <f t="array" ref="N89">_xlfn.TEXTJOIN(CHAR(10), 1, _xlfn._xlws.FILTER('RAW_URL,PageName'!D$2:D$999, ('RAW_URL,PageName'!$C$2:$C$999=$G89)*('RAW_URL,PageName'!$B$2:$B$999="TY"), ""))</f>
        <v/>
      </c>
      <c r="O89" s="33" t="str" cm="1">
        <f t="array" ref="O89">_xlfn.TEXTJOIN(CHAR(10), 1, _xlfn._xlws.FILTER('RAW_URL,PageName'!E$2:E$999, ('RAW_URL,PageName'!$C$2:$C$999=$G89)*('RAW_URL,PageName'!$B$2:$B$999="TY"), ""))</f>
        <v/>
      </c>
      <c r="P89" s="36" t="str" cm="1">
        <f t="array" ref="P89">_xlfn.TEXTJOIN(CHAR(10), 1, _xlfn._xlws.FILTER('RAW_URL,PageName'!F$2:F$999, ('RAW_URL,PageName'!$C$2:$C$999=$G89)*('RAW_URL,PageName'!$B$2:$B$999="TY"), ""))</f>
        <v/>
      </c>
      <c r="Q89" s="38" t="str" cm="1">
        <f t="array" ref="Q89">_xlfn.TEXTJOIN(CHAR(10), 1, _xlfn._xlws.FILTER('RAW_URL,PageName'!D$2:D$999, ('RAW_URL,PageName'!$C$2:$C$999=$G89)*('RAW_URL,PageName'!$B$2:$B$999="LY"), ""))</f>
        <v/>
      </c>
      <c r="R89" s="33" t="str" cm="1">
        <f t="array" ref="R89">_xlfn.TEXTJOIN(CHAR(10), 1, _xlfn._xlws.FILTER('RAW_URL,PageName'!E$2:E$999, ('RAW_URL,PageName'!$C$2:$C$999=$G89)*('RAW_URL,PageName'!$B$2:$B$999="LY"), ""))</f>
        <v/>
      </c>
      <c r="S89" s="56" t="str" cm="1">
        <f t="array" ref="S89">_xlfn.TEXTJOIN(CHAR(10), 1, _xlfn._xlws.FILTER('RAW_URL,PageName'!F$2:F$999, ('RAW_URL,PageName'!$C$2:$C$999=$G89)*('RAW_URL,PageName'!$B$2:$B$999="LY"), ""))</f>
        <v/>
      </c>
      <c r="T89" s="116"/>
      <c r="U89" s="116">
        <f>IFERROR(VLOOKUP($C89,태깅기획site_code!$N$4:$O$18,2,0),"")</f>
        <v>2</v>
      </c>
      <c r="V89" s="1"/>
      <c r="W89" s="45"/>
      <c r="X89" s="31"/>
      <c r="Y89" s="31"/>
      <c r="Z89" s="31"/>
      <c r="AA89" s="31"/>
      <c r="AB89" s="47"/>
      <c r="AC89" s="48"/>
      <c r="AD89" s="32"/>
      <c r="AE89" s="86" t="str">
        <f>IF(AD89="","",IF(IF(AD89&gt;api용!D$2,api용!D$2,AD89)&lt;AC89,"",IF(AD89&gt;api용!D$2,api용!D$2,AD89)))</f>
        <v/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2:50" ht="24" customHeight="1">
      <c r="B90" s="45">
        <f>IF($G90="","",IFERROR(VLOOKUP($G90,RAW_tier!$B$2:$C$200,2,0),2))</f>
        <v>1</v>
      </c>
      <c r="C90" s="31" t="str">
        <f>IF(ISBLANK(태깅기획site_code!F89),"",태깅기획site_code!C89)</f>
        <v>EU</v>
      </c>
      <c r="D90" s="31" t="str">
        <f>IF(ISBLANK(태깅기획site_code!F89),"",IF(고객법인일정파일!P89="한총","SEC",IF(LEN(TRIM(고객법인일정파일!P89))=0,태깅기획site_code!D89,고객법인일정파일!P89)))</f>
        <v>XADUK</v>
      </c>
      <c r="E90" s="31" t="str">
        <f>IF(ISBLANK(태깅기획site_code!F89),"",태깅기획site_code!E89)</f>
        <v>UK</v>
      </c>
      <c r="F90" s="31" t="str">
        <f>IF(ISBLANK(태깅기획site_code!F89),"",태깅기획site_code!J89)</f>
        <v>UK</v>
      </c>
      <c r="G90" s="35" t="str">
        <f>IF(ISBLANK(태깅기획site_code!B89),"",태깅기획site_code!F89)</f>
        <v>uk</v>
      </c>
      <c r="H90" s="43" t="str">
        <f>IF(ISBLANK(태깅기획site_code!F89),"",IF(고객법인일정파일!Q89="X","X",고객법인일정파일!R89))</f>
        <v>X</v>
      </c>
      <c r="I90" s="32" t="str">
        <f>IF(ISBLANK(태깅기획site_code!F89),"",IF(고객법인일정파일!Q89="X","",고객법인일정파일!S89))</f>
        <v/>
      </c>
      <c r="J90" s="41"/>
      <c r="K90" s="43" t="s">
        <v>19</v>
      </c>
      <c r="L90" s="39" t="s">
        <v>19</v>
      </c>
      <c r="M90" s="40" t="str">
        <f>IF(D90="","",VLOOKUP(D90,고객법인일정파일!$C$5:$J$200,8,0))&amp;""</f>
        <v>Note1-test XADUK</v>
      </c>
      <c r="N90" s="38" t="str" cm="1">
        <f t="array" ref="N90">_xlfn.TEXTJOIN(CHAR(10), 1, _xlfn._xlws.FILTER('RAW_URL,PageName'!D$2:D$999, ('RAW_URL,PageName'!$C$2:$C$999=$G90)*('RAW_URL,PageName'!$B$2:$B$999="TY"), ""))</f>
        <v/>
      </c>
      <c r="O90" s="33" t="str" cm="1">
        <f t="array" ref="O90">_xlfn.TEXTJOIN(CHAR(10), 1, _xlfn._xlws.FILTER('RAW_URL,PageName'!E$2:E$999, ('RAW_URL,PageName'!$C$2:$C$999=$G90)*('RAW_URL,PageName'!$B$2:$B$999="TY"), ""))</f>
        <v/>
      </c>
      <c r="P90" s="36" t="str" cm="1">
        <f t="array" ref="P90">_xlfn.TEXTJOIN(CHAR(10), 1, _xlfn._xlws.FILTER('RAW_URL,PageName'!F$2:F$999, ('RAW_URL,PageName'!$C$2:$C$999=$G90)*('RAW_URL,PageName'!$B$2:$B$999="TY"), ""))</f>
        <v/>
      </c>
      <c r="Q90" s="38" t="str" cm="1">
        <f t="array" ref="Q90">_xlfn.TEXTJOIN(CHAR(10), 1, _xlfn._xlws.FILTER('RAW_URL,PageName'!D$2:D$999, ('RAW_URL,PageName'!$C$2:$C$999=$G90)*('RAW_URL,PageName'!$B$2:$B$999="LY"), ""))</f>
        <v/>
      </c>
      <c r="R90" s="33" t="str" cm="1">
        <f t="array" ref="R90">_xlfn.TEXTJOIN(CHAR(10), 1, _xlfn._xlws.FILTER('RAW_URL,PageName'!E$2:E$999, ('RAW_URL,PageName'!$C$2:$C$999=$G90)*('RAW_URL,PageName'!$B$2:$B$999="LY"), ""))</f>
        <v/>
      </c>
      <c r="S90" s="56" t="str" cm="1">
        <f t="array" ref="S90">_xlfn.TEXTJOIN(CHAR(10), 1, _xlfn._xlws.FILTER('RAW_URL,PageName'!F$2:F$999, ('RAW_URL,PageName'!$C$2:$C$999=$G90)*('RAW_URL,PageName'!$B$2:$B$999="LY"), ""))</f>
        <v/>
      </c>
      <c r="T90" s="116"/>
      <c r="U90" s="116">
        <f>IFERROR(VLOOKUP($C90,태깅기획site_code!$N$4:$O$18,2,0),"")</f>
        <v>2</v>
      </c>
      <c r="V90" s="1"/>
      <c r="W90" s="45"/>
      <c r="X90" s="31"/>
      <c r="Y90" s="31"/>
      <c r="Z90" s="31"/>
      <c r="AA90" s="31"/>
      <c r="AB90" s="47"/>
      <c r="AC90" s="48"/>
      <c r="AD90" s="32"/>
      <c r="AE90" s="86" t="str">
        <f>IF(AD90="","",IF(IF(AD90&gt;api용!D$2,api용!D$2,AD90)&lt;AC90,"",IF(AD90&gt;api용!D$2,api용!D$2,AD90)))</f>
        <v/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2:50" ht="81" customHeight="1">
      <c r="B91" s="45">
        <f>IF($G91="","",IFERROR(VLOOKUP($G91,RAW_tier!$B$2:$C$200,2,0),2))</f>
        <v>1</v>
      </c>
      <c r="C91" s="31" t="str">
        <f>IF(ISBLANK(태깅기획site_code!F90),"",태깅기획site_code!C90)</f>
        <v>N.America</v>
      </c>
      <c r="D91" s="31" t="str">
        <f>IF(ISBLANK(태깅기획site_code!F90),"",IF(고객법인일정파일!P90="한총","SEC",IF(LEN(TRIM(고객법인일정파일!P90))=0,태깅기획site_code!D90,고객법인일정파일!P90)))</f>
        <v>XADU</v>
      </c>
      <c r="E91" s="31" t="str">
        <f>IF(ISBLANK(태깅기획site_code!F90),"",태깅기획site_code!E90)</f>
        <v>USA</v>
      </c>
      <c r="F91" s="31" t="str">
        <f>IF(ISBLANK(태깅기획site_code!F90),"",태깅기획site_code!J90)</f>
        <v>US NEW</v>
      </c>
      <c r="G91" s="35" t="str">
        <f>IF(ISBLANK(태깅기획site_code!B90),"",태깅기획site_code!F90)</f>
        <v>us</v>
      </c>
      <c r="H91" s="43">
        <f>IF(ISBLANK(태깅기획site_code!F90),"",IF(고객법인일정파일!Q90="X","X",고객법인일정파일!R90))</f>
        <v>46042</v>
      </c>
      <c r="I91" s="32">
        <f>IF(ISBLANK(태깅기획site_code!F90),"",IF(고객법인일정파일!Q90="X","",고객법인일정파일!S90))</f>
        <v>46063</v>
      </c>
      <c r="J91" s="41"/>
      <c r="K91" s="43">
        <v>45767</v>
      </c>
      <c r="L91" s="39">
        <v>45787</v>
      </c>
      <c r="M91" s="40" t="str">
        <f>IF(D91="","",VLOOKUP(D91,고객법인일정파일!$C$5:$J$200,8,0))&amp;""</f>
        <v/>
      </c>
      <c r="N91" s="38" t="str" cm="1">
        <f t="array" ref="N91">_xlfn.TEXTJOIN(CHAR(10), 1, _xlfn._xlws.FILTER('RAW_URL,PageName'!D$2:D$999, ('RAW_URL,PageName'!$C$2:$C$999=$G91)*('RAW_URL,PageName'!$B$2:$B$999="TY"), ""))</f>
        <v>https://company_name.com/us/offer/test-campaign-2026
https://company_name.com/us/offer/test-campaign-2026-other
https://company_name.com/us/offer/test-campaign-2026-another</v>
      </c>
      <c r="O91" s="33" t="str" cm="1">
        <f t="array" ref="O91">_xlfn.TEXTJOIN(CHAR(10), 1, _xlfn._xlws.FILTER('RAW_URL,PageName'!E$2:E$999, ('RAW_URL,PageName'!$C$2:$C$999=$G91)*('RAW_URL,PageName'!$B$2:$B$999="TY"), ""))</f>
        <v>us:offer:testcampaign2026
us:offer:testcampaign2026other
us:offer:testcampaign2026another</v>
      </c>
      <c r="P91" s="36" t="str" cm="1">
        <f t="array" ref="P91">_xlfn.TEXTJOIN(CHAR(10), 1, _xlfn._xlws.FILTER('RAW_URL,PageName'!F$2:F$999, ('RAW_URL,PageName'!$C$2:$C$999=$G91)*('RAW_URL,PageName'!$B$2:$B$999="TY"), ""))</f>
        <v>노트test1
노트test2
노트test3</v>
      </c>
      <c r="Q91" s="38" t="str" cm="1">
        <f t="array" ref="Q91">_xlfn.TEXTJOIN(CHAR(10), 1, _xlfn._xlws.FILTER('RAW_URL,PageName'!D$2:D$999, ('RAW_URL,PageName'!$C$2:$C$999=$G91)*('RAW_URL,PageName'!$B$2:$B$999="LY"), ""))</f>
        <v>https://company_name.com/us/offer/test-campaign-2025
https://company_name.com/us/offer/test-campaign-2025-other</v>
      </c>
      <c r="R91" s="33" t="str" cm="1">
        <f t="array" ref="R91">_xlfn.TEXTJOIN(CHAR(10), 1, _xlfn._xlws.FILTER('RAW_URL,PageName'!E$2:E$999, ('RAW_URL,PageName'!$C$2:$C$999=$G91)*('RAW_URL,PageName'!$B$2:$B$999="LY"), ""))</f>
        <v>us:offer:testcampaign2025
us:offer:testcampaign2025other</v>
      </c>
      <c r="S91" s="56" t="str" cm="1">
        <f t="array" ref="S91">_xlfn.TEXTJOIN(CHAR(10), 1, _xlfn._xlws.FILTER('RAW_URL,PageName'!F$2:F$999, ('RAW_URL,PageName'!$C$2:$C$999=$G91)*('RAW_URL,PageName'!$B$2:$B$999="LY"), ""))</f>
        <v>노트test1
노트test2</v>
      </c>
      <c r="T91" s="116"/>
      <c r="U91" s="116">
        <f>IFERROR(VLOOKUP($C91,태깅기획site_code!$N$4:$O$18,2,0),"")</f>
        <v>1</v>
      </c>
      <c r="V91" s="1"/>
      <c r="W91" s="45"/>
      <c r="X91" s="31"/>
      <c r="Y91" s="31"/>
      <c r="Z91" s="31"/>
      <c r="AA91" s="31"/>
      <c r="AB91" s="47"/>
      <c r="AC91" s="48"/>
      <c r="AD91" s="32"/>
      <c r="AE91" s="86" t="str">
        <f>IF(AD91="","",IF(IF(AD91&gt;api용!D$2,api용!D$2,AD91)&lt;AC91,"",IF(AD91&gt;api용!D$2,api용!D$2,AD91)))</f>
        <v/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2:50">
      <c r="B92" s="45">
        <f>IF($G92="","",IFERROR(VLOOKUP($G92,RAW_tier!$B$2:$C$200,2,0),2))</f>
        <v>2</v>
      </c>
      <c r="C92" s="31" t="str">
        <f>IF(ISBLANK(태깅기획site_code!F91),"",태깅기획site_code!C91)</f>
        <v>L.America</v>
      </c>
      <c r="D92" s="31" t="str">
        <f>IF(ISBLANK(태깅기획site_code!F91),"",IF(고객법인일정파일!P91="한총","SEC",IF(LEN(TRIM(고객법인일정파일!P91))=0,태깅기획site_code!D91,고객법인일정파일!P91)))</f>
        <v>XADLU</v>
      </c>
      <c r="E92" s="31" t="str">
        <f>IF(ISBLANK(태깅기획site_code!F91),"",태깅기획site_code!E91)</f>
        <v>Uruguay</v>
      </c>
      <c r="F92" s="31" t="str">
        <f>IF(ISBLANK(태깅기획site_code!F91),"",태깅기획site_code!J91)</f>
        <v>Uruguay</v>
      </c>
      <c r="G92" s="35" t="str">
        <f>IF(ISBLANK(태깅기획site_code!B91),"",태깅기획site_code!F91)</f>
        <v>uy</v>
      </c>
      <c r="H92" s="43">
        <f>IF(ISBLANK(태깅기획site_code!F91),"",IF(고객법인일정파일!Q91="X","X",고객법인일정파일!R91))</f>
        <v>46042</v>
      </c>
      <c r="I92" s="32">
        <f>IF(ISBLANK(태깅기획site_code!F91),"",IF(고객법인일정파일!Q91="X","",고객법인일정파일!S91))</f>
        <v>46063</v>
      </c>
      <c r="J92" s="41"/>
      <c r="K92" s="43">
        <v>45767</v>
      </c>
      <c r="L92" s="39">
        <v>45787</v>
      </c>
      <c r="M92" s="40" t="str">
        <f>IF(D92="","",VLOOKUP(D92,고객법인일정파일!$C$5:$J$200,8,0))&amp;""</f>
        <v/>
      </c>
      <c r="N92" s="38" t="str" cm="1">
        <f t="array" ref="N92">_xlfn.TEXTJOIN(CHAR(10), 1, _xlfn._xlws.FILTER('RAW_URL,PageName'!D$2:D$999, ('RAW_URL,PageName'!$C$2:$C$999=$G92)*('RAW_URL,PageName'!$B$2:$B$999="TY"), ""))</f>
        <v/>
      </c>
      <c r="O92" s="33" t="str" cm="1">
        <f t="array" ref="O92">_xlfn.TEXTJOIN(CHAR(10), 1, _xlfn._xlws.FILTER('RAW_URL,PageName'!E$2:E$999, ('RAW_URL,PageName'!$C$2:$C$999=$G92)*('RAW_URL,PageName'!$B$2:$B$999="TY"), ""))</f>
        <v/>
      </c>
      <c r="P92" s="36" t="str" cm="1">
        <f t="array" ref="P92">_xlfn.TEXTJOIN(CHAR(10), 1, _xlfn._xlws.FILTER('RAW_URL,PageName'!F$2:F$999, ('RAW_URL,PageName'!$C$2:$C$999=$G92)*('RAW_URL,PageName'!$B$2:$B$999="TY"), ""))</f>
        <v/>
      </c>
      <c r="Q92" s="38" t="str" cm="1">
        <f t="array" ref="Q92">_xlfn.TEXTJOIN(CHAR(10), 1, _xlfn._xlws.FILTER('RAW_URL,PageName'!D$2:D$999, ('RAW_URL,PageName'!$C$2:$C$999=$G92)*('RAW_URL,PageName'!$B$2:$B$999="LY"), ""))</f>
        <v/>
      </c>
      <c r="R92" s="33" t="str" cm="1">
        <f t="array" ref="R92">_xlfn.TEXTJOIN(CHAR(10), 1, _xlfn._xlws.FILTER('RAW_URL,PageName'!E$2:E$999, ('RAW_URL,PageName'!$C$2:$C$999=$G92)*('RAW_URL,PageName'!$B$2:$B$999="LY"), ""))</f>
        <v/>
      </c>
      <c r="S92" s="56" t="str" cm="1">
        <f t="array" ref="S92">_xlfn.TEXTJOIN(CHAR(10), 1, _xlfn._xlws.FILTER('RAW_URL,PageName'!F$2:F$999, ('RAW_URL,PageName'!$C$2:$C$999=$G92)*('RAW_URL,PageName'!$B$2:$B$999="LY"), ""))</f>
        <v/>
      </c>
      <c r="T92" s="116"/>
      <c r="U92" s="116">
        <f>IFERROR(VLOOKUP($C92,태깅기획site_code!$N$4:$O$18,2,0),"")</f>
        <v>3</v>
      </c>
      <c r="V92" s="1"/>
      <c r="W92" s="45"/>
      <c r="X92" s="31"/>
      <c r="Y92" s="31"/>
      <c r="Z92" s="31"/>
      <c r="AA92" s="31"/>
      <c r="AB92" s="47"/>
      <c r="AC92" s="48"/>
      <c r="AD92" s="32"/>
      <c r="AE92" s="86" t="str">
        <f>IF(AD92="","",IF(IF(AD92&gt;api용!D$2,api용!D$2,AD92)&lt;AC92,"",IF(AD92&gt;api용!D$2,api용!D$2,AD92)))</f>
        <v/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2:50">
      <c r="B93" s="45">
        <f>IF($G93="","",IFERROR(VLOOKUP($G93,RAW_tier!$B$2:$C$200,2,0),2))</f>
        <v>2</v>
      </c>
      <c r="C93" s="31" t="str">
        <f>IF(ISBLANK(태깅기획site_code!F92),"",태깅기획site_code!C92)</f>
        <v>CIS</v>
      </c>
      <c r="D93" s="31" t="str">
        <f>IF(ISBLANK(태깅기획site_code!F92),"",IF(고객법인일정파일!P92="한총","SEC",IF(LEN(TRIM(고객법인일정파일!P92))=0,태깅기획site_code!D92,고객법인일정파일!P92)))</f>
        <v>XADUZ</v>
      </c>
      <c r="E93" s="31" t="str">
        <f>IF(ISBLANK(태깅기획site_code!F92),"",태깅기획site_code!E92)</f>
        <v>Uzbekistan</v>
      </c>
      <c r="F93" s="31" t="str">
        <f>IF(ISBLANK(태깅기획site_code!F92),"",태깅기획site_code!J92)</f>
        <v>Uzbekistan (Russian)</v>
      </c>
      <c r="G93" s="35" t="str">
        <f>IF(ISBLANK(태깅기획site_code!B92),"",태깅기획site_code!F92)</f>
        <v>uz_ru</v>
      </c>
      <c r="H93" s="43" t="str">
        <f>IF(ISBLANK(태깅기획site_code!F92),"",IF(고객법인일정파일!Q92="X","X",고객법인일정파일!R92))</f>
        <v/>
      </c>
      <c r="I93" s="32" t="str">
        <f>IF(ISBLANK(태깅기획site_code!F92),"",IF(고객법인일정파일!Q92="X","",고객법인일정파일!S92))</f>
        <v/>
      </c>
      <c r="J93" s="41"/>
      <c r="K93" s="43" t="s">
        <v>19</v>
      </c>
      <c r="L93" s="39" t="s">
        <v>19</v>
      </c>
      <c r="M93" s="40" t="e">
        <f>IF(D93="","",VLOOKUP(D93,고객법인일정파일!$C$5:$J$200,8,0))&amp;""</f>
        <v>#N/A</v>
      </c>
      <c r="N93" s="38" t="str" cm="1">
        <f t="array" ref="N93">_xlfn.TEXTJOIN(CHAR(10), 1, _xlfn._xlws.FILTER('RAW_URL,PageName'!D$2:D$999, ('RAW_URL,PageName'!$C$2:$C$999=$G93)*('RAW_URL,PageName'!$B$2:$B$999="TY"), ""))</f>
        <v/>
      </c>
      <c r="O93" s="33" t="str" cm="1">
        <f t="array" ref="O93">_xlfn.TEXTJOIN(CHAR(10), 1, _xlfn._xlws.FILTER('RAW_URL,PageName'!E$2:E$999, ('RAW_URL,PageName'!$C$2:$C$999=$G93)*('RAW_URL,PageName'!$B$2:$B$999="TY"), ""))</f>
        <v/>
      </c>
      <c r="P93" s="36" t="str" cm="1">
        <f t="array" ref="P93">_xlfn.TEXTJOIN(CHAR(10), 1, _xlfn._xlws.FILTER('RAW_URL,PageName'!F$2:F$999, ('RAW_URL,PageName'!$C$2:$C$999=$G93)*('RAW_URL,PageName'!$B$2:$B$999="TY"), ""))</f>
        <v/>
      </c>
      <c r="Q93" s="38" t="str" cm="1">
        <f t="array" ref="Q93">_xlfn.TEXTJOIN(CHAR(10), 1, _xlfn._xlws.FILTER('RAW_URL,PageName'!D$2:D$999, ('RAW_URL,PageName'!$C$2:$C$999=$G93)*('RAW_URL,PageName'!$B$2:$B$999="LY"), ""))</f>
        <v/>
      </c>
      <c r="R93" s="33" t="str" cm="1">
        <f t="array" ref="R93">_xlfn.TEXTJOIN(CHAR(10), 1, _xlfn._xlws.FILTER('RAW_URL,PageName'!E$2:E$999, ('RAW_URL,PageName'!$C$2:$C$999=$G93)*('RAW_URL,PageName'!$B$2:$B$999="LY"), ""))</f>
        <v/>
      </c>
      <c r="S93" s="56" t="str" cm="1">
        <f t="array" ref="S93">_xlfn.TEXTJOIN(CHAR(10), 1, _xlfn._xlws.FILTER('RAW_URL,PageName'!F$2:F$999, ('RAW_URL,PageName'!$C$2:$C$999=$G93)*('RAW_URL,PageName'!$B$2:$B$999="LY"), ""))</f>
        <v/>
      </c>
      <c r="T93" s="116"/>
      <c r="U93" s="116">
        <f>IFERROR(VLOOKUP($C93,태깅기획site_code!$N$4:$O$18,2,0),"")</f>
        <v>7</v>
      </c>
      <c r="V93" s="1"/>
      <c r="W93" s="45"/>
      <c r="X93" s="31"/>
      <c r="Y93" s="31"/>
      <c r="Z93" s="31"/>
      <c r="AA93" s="31"/>
      <c r="AB93" s="47"/>
      <c r="AC93" s="48"/>
      <c r="AD93" s="32"/>
      <c r="AE93" s="86" t="str">
        <f>IF(AD93="","",IF(IF(AD93&gt;api용!D$2,api용!D$2,AD93)&lt;AC93,"",IF(AD93&gt;api용!D$2,api용!D$2,AD93)))</f>
        <v/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2:50">
      <c r="B94" s="45">
        <f>IF($G94="","",IFERROR(VLOOKUP($G94,RAW_tier!$B$2:$C$200,2,0),2))</f>
        <v>2</v>
      </c>
      <c r="C94" s="31" t="str">
        <f>IF(ISBLANK(태깅기획site_code!F93),"",태깅기획site_code!C93)</f>
        <v>CIS</v>
      </c>
      <c r="D94" s="31" t="str">
        <f>IF(ISBLANK(태깅기획site_code!F93),"",IF(고객법인일정파일!P93="한총","SEC",IF(LEN(TRIM(고객법인일정파일!P93))=0,태깅기획site_code!D93,고객법인일정파일!P93)))</f>
        <v>XADUZ</v>
      </c>
      <c r="E94" s="31" t="str">
        <f>IF(ISBLANK(태깅기획site_code!F93),"",태깅기획site_code!E93)</f>
        <v>Uzbekistan</v>
      </c>
      <c r="F94" s="31" t="str">
        <f>IF(ISBLANK(태깅기획site_code!F93),"",태깅기획site_code!J93)</f>
        <v>Uzbekistan</v>
      </c>
      <c r="G94" s="35" t="str">
        <f>IF(ISBLANK(태깅기획site_code!B93),"",태깅기획site_code!F93)</f>
        <v>uz_uz</v>
      </c>
      <c r="H94" s="43" t="str">
        <f>IF(ISBLANK(태깅기획site_code!F93),"",IF(고객법인일정파일!Q93="X","X",고객법인일정파일!R93))</f>
        <v/>
      </c>
      <c r="I94" s="32" t="str">
        <f>IF(ISBLANK(태깅기획site_code!F93),"",IF(고객법인일정파일!Q93="X","",고객법인일정파일!S93))</f>
        <v/>
      </c>
      <c r="J94" s="41"/>
      <c r="K94" s="43" t="s">
        <v>19</v>
      </c>
      <c r="L94" s="39" t="s">
        <v>19</v>
      </c>
      <c r="M94" s="40" t="e">
        <f>IF(D94="","",VLOOKUP(D94,고객법인일정파일!$C$5:$J$200,8,0))&amp;""</f>
        <v>#N/A</v>
      </c>
      <c r="N94" s="38" t="str" cm="1">
        <f t="array" ref="N94">_xlfn.TEXTJOIN(CHAR(10), 1, _xlfn._xlws.FILTER('RAW_URL,PageName'!D$2:D$999, ('RAW_URL,PageName'!$C$2:$C$999=$G94)*('RAW_URL,PageName'!$B$2:$B$999="TY"), ""))</f>
        <v/>
      </c>
      <c r="O94" s="33" t="str" cm="1">
        <f t="array" ref="O94">_xlfn.TEXTJOIN(CHAR(10), 1, _xlfn._xlws.FILTER('RAW_URL,PageName'!E$2:E$999, ('RAW_URL,PageName'!$C$2:$C$999=$G94)*('RAW_URL,PageName'!$B$2:$B$999="TY"), ""))</f>
        <v/>
      </c>
      <c r="P94" s="36" t="str" cm="1">
        <f t="array" ref="P94">_xlfn.TEXTJOIN(CHAR(10), 1, _xlfn._xlws.FILTER('RAW_URL,PageName'!F$2:F$999, ('RAW_URL,PageName'!$C$2:$C$999=$G94)*('RAW_URL,PageName'!$B$2:$B$999="TY"), ""))</f>
        <v/>
      </c>
      <c r="Q94" s="38" t="str" cm="1">
        <f t="array" ref="Q94">_xlfn.TEXTJOIN(CHAR(10), 1, _xlfn._xlws.FILTER('RAW_URL,PageName'!D$2:D$999, ('RAW_URL,PageName'!$C$2:$C$999=$G94)*('RAW_URL,PageName'!$B$2:$B$999="LY"), ""))</f>
        <v/>
      </c>
      <c r="R94" s="33" t="str" cm="1">
        <f t="array" ref="R94">_xlfn.TEXTJOIN(CHAR(10), 1, _xlfn._xlws.FILTER('RAW_URL,PageName'!E$2:E$999, ('RAW_URL,PageName'!$C$2:$C$999=$G94)*('RAW_URL,PageName'!$B$2:$B$999="LY"), ""))</f>
        <v/>
      </c>
      <c r="S94" s="56" t="str" cm="1">
        <f t="array" ref="S94">_xlfn.TEXTJOIN(CHAR(10), 1, _xlfn._xlws.FILTER('RAW_URL,PageName'!F$2:F$999, ('RAW_URL,PageName'!$C$2:$C$999=$G94)*('RAW_URL,PageName'!$B$2:$B$999="LY"), ""))</f>
        <v/>
      </c>
      <c r="T94" s="116"/>
      <c r="U94" s="116">
        <f>IFERROR(VLOOKUP($C94,태깅기획site_code!$N$4:$O$18,2,0),"")</f>
        <v>7</v>
      </c>
      <c r="V94" s="1"/>
      <c r="W94" s="45"/>
      <c r="X94" s="31"/>
      <c r="Y94" s="31"/>
      <c r="Z94" s="31"/>
      <c r="AA94" s="31"/>
      <c r="AB94" s="47"/>
      <c r="AC94" s="48"/>
      <c r="AD94" s="32"/>
      <c r="AE94" s="86" t="str">
        <f>IF(AD94="","",IF(IF(AD94&gt;api용!D$2,api용!D$2,AD94)&lt;AC94,"",IF(AD94&gt;api용!D$2,api용!D$2,AD94)))</f>
        <v/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2:50">
      <c r="B95" s="45">
        <f>IF($G95="","",IFERROR(VLOOKUP($G95,RAW_tier!$B$2:$C$200,2,0),2))</f>
        <v>2</v>
      </c>
      <c r="C95" s="31" t="str">
        <f>IF(ISBLANK(태깅기획site_code!F94),"",태깅기획site_code!C94)</f>
        <v>S.E.Asia</v>
      </c>
      <c r="D95" s="31" t="str">
        <f>IF(ISBLANK(태깅기획site_code!F94),"",IF(고객법인일정파일!P94="한총","SEC",IF(LEN(TRIM(고객법인일정파일!P94))=0,태깅기획site_code!D94,고객법인일정파일!P94)))</f>
        <v>XUVINU</v>
      </c>
      <c r="E95" s="31" t="str">
        <f>IF(ISBLANK(태깅기획site_code!F94),"",태깅기획site_code!E94)</f>
        <v>Vietnam</v>
      </c>
      <c r="F95" s="31" t="str">
        <f>IF(ISBLANK(태깅기획site_code!F94),"",태깅기획site_code!J94)</f>
        <v>Vietnam</v>
      </c>
      <c r="G95" s="35" t="str">
        <f>IF(ISBLANK(태깅기획site_code!B94),"",태깅기획site_code!F94)</f>
        <v>vn</v>
      </c>
      <c r="H95" s="43">
        <f>IF(ISBLANK(태깅기획site_code!F94),"",IF(고객법인일정파일!Q94="X","X",고객법인일정파일!R94))</f>
        <v>46054</v>
      </c>
      <c r="I95" s="32">
        <f>IF(ISBLANK(태깅기획site_code!F94),"",IF(고객법인일정파일!Q94="X","",고객법인일정파일!S94))</f>
        <v>46067</v>
      </c>
      <c r="J95" s="41"/>
      <c r="K95" s="43">
        <v>45781</v>
      </c>
      <c r="L95" s="39">
        <v>45790</v>
      </c>
      <c r="M95" s="40" t="str">
        <f>IF(D95="","",VLOOKUP(D95,고객법인일정파일!$C$5:$J$200,8,0))&amp;""</f>
        <v/>
      </c>
      <c r="N95" s="38" t="str" cm="1">
        <f t="array" ref="N95">_xlfn.TEXTJOIN(CHAR(10), 1, _xlfn._xlws.FILTER('RAW_URL,PageName'!D$2:D$999, ('RAW_URL,PageName'!$C$2:$C$999=$G95)*('RAW_URL,PageName'!$B$2:$B$999="TY"), ""))</f>
        <v/>
      </c>
      <c r="O95" s="33" t="str" cm="1">
        <f t="array" ref="O95">_xlfn.TEXTJOIN(CHAR(10), 1, _xlfn._xlws.FILTER('RAW_URL,PageName'!E$2:E$999, ('RAW_URL,PageName'!$C$2:$C$999=$G95)*('RAW_URL,PageName'!$B$2:$B$999="TY"), ""))</f>
        <v/>
      </c>
      <c r="P95" s="36" t="str" cm="1">
        <f t="array" ref="P95">_xlfn.TEXTJOIN(CHAR(10), 1, _xlfn._xlws.FILTER('RAW_URL,PageName'!F$2:F$999, ('RAW_URL,PageName'!$C$2:$C$999=$G95)*('RAW_URL,PageName'!$B$2:$B$999="TY"), ""))</f>
        <v/>
      </c>
      <c r="Q95" s="38" t="str" cm="1">
        <f t="array" ref="Q95">_xlfn.TEXTJOIN(CHAR(10), 1, _xlfn._xlws.FILTER('RAW_URL,PageName'!D$2:D$999, ('RAW_URL,PageName'!$C$2:$C$999=$G95)*('RAW_URL,PageName'!$B$2:$B$999="LY"), ""))</f>
        <v/>
      </c>
      <c r="R95" s="33" t="str" cm="1">
        <f t="array" ref="R95">_xlfn.TEXTJOIN(CHAR(10), 1, _xlfn._xlws.FILTER('RAW_URL,PageName'!E$2:E$999, ('RAW_URL,PageName'!$C$2:$C$999=$G95)*('RAW_URL,PageName'!$B$2:$B$999="LY"), ""))</f>
        <v/>
      </c>
      <c r="S95" s="56" t="str" cm="1">
        <f t="array" ref="S95">_xlfn.TEXTJOIN(CHAR(10), 1, _xlfn._xlws.FILTER('RAW_URL,PageName'!F$2:F$999, ('RAW_URL,PageName'!$C$2:$C$999=$G95)*('RAW_URL,PageName'!$B$2:$B$999="LY"), ""))</f>
        <v/>
      </c>
      <c r="T95" s="116"/>
      <c r="U95" s="116">
        <f>IFERROR(VLOOKUP($C95,태깅기획site_code!$N$4:$O$18,2,0),"")</f>
        <v>4</v>
      </c>
      <c r="V95" s="1"/>
      <c r="W95" s="45"/>
      <c r="X95" s="31"/>
      <c r="Y95" s="31"/>
      <c r="Z95" s="31"/>
      <c r="AA95" s="31"/>
      <c r="AB95" s="47"/>
      <c r="AC95" s="48"/>
      <c r="AD95" s="32"/>
      <c r="AE95" s="86" t="str">
        <f>IF(AD95="","",IF(IF(AD95&gt;api용!D$2,api용!D$2,AD95)&lt;AC95,"",IF(AD95&gt;api용!D$2,api용!D$2,AD95)))</f>
        <v/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2:50">
      <c r="B96" s="45">
        <f>IF($G96="","",IFERROR(VLOOKUP($G96,RAW_tier!$B$2:$C$200,2,0),2))</f>
        <v>2</v>
      </c>
      <c r="C96" s="31" t="str">
        <f>IF(ISBLANK(태깅기획site_code!F95),"",태깅기획site_code!C95)</f>
        <v>Africa</v>
      </c>
      <c r="D96" s="31" t="str">
        <f>IF(ISBLANK(태깅기획site_code!F95),"",IF(고객법인일정파일!P95="한총","SEC",IF(LEN(TRIM(고객법인일정파일!P95))=0,태깅기획site_code!D95,고객법인일정파일!P95)))</f>
        <v>XXU (ZU)</v>
      </c>
      <c r="E96" s="31" t="str">
        <f>IF(ISBLANK(태깅기획site_code!F95),"",태깅기획site_code!E95)</f>
        <v>South Africa</v>
      </c>
      <c r="F96" s="31" t="str">
        <f>IF(ISBLANK(태깅기획site_code!F95),"",태깅기획site_code!J95)</f>
        <v>South Africa</v>
      </c>
      <c r="G96" s="35" t="str">
        <f>IF(ISBLANK(태깅기획site_code!B95),"",태깅기획site_code!F95)</f>
        <v>za</v>
      </c>
      <c r="H96" s="43">
        <f>IF(ISBLANK(태깅기획site_code!F95),"",IF(고객법인일정파일!Q95="X","X",고객법인일정파일!R95))</f>
        <v>46042</v>
      </c>
      <c r="I96" s="32">
        <f>IF(ISBLANK(태깅기획site_code!F95),"",IF(고객법인일정파일!Q95="X","",고객법인일정파일!S95))</f>
        <v>46063</v>
      </c>
      <c r="J96" s="41"/>
      <c r="K96" s="43">
        <v>45767</v>
      </c>
      <c r="L96" s="39">
        <v>45787</v>
      </c>
      <c r="M96" s="40" t="str">
        <f>IF(D96="","",VLOOKUP(D96,고객법인일정파일!$C$5:$J$200,8,0))&amp;""</f>
        <v/>
      </c>
      <c r="N96" s="38" t="str" cm="1">
        <f t="array" ref="N96">_xlfn.TEXTJOIN(CHAR(10), 1, _xlfn._xlws.FILTER('RAW_URL,PageName'!D$2:D$999, ('RAW_URL,PageName'!$C$2:$C$999=$G96)*('RAW_URL,PageName'!$B$2:$B$999="TY"), ""))</f>
        <v/>
      </c>
      <c r="O96" s="33" t="str" cm="1">
        <f t="array" ref="O96">_xlfn.TEXTJOIN(CHAR(10), 1, _xlfn._xlws.FILTER('RAW_URL,PageName'!E$2:E$999, ('RAW_URL,PageName'!$C$2:$C$999=$G96)*('RAW_URL,PageName'!$B$2:$B$999="TY"), ""))</f>
        <v/>
      </c>
      <c r="P96" s="36" t="str" cm="1">
        <f t="array" ref="P96">_xlfn.TEXTJOIN(CHAR(10), 1, _xlfn._xlws.FILTER('RAW_URL,PageName'!F$2:F$999, ('RAW_URL,PageName'!$C$2:$C$999=$G96)*('RAW_URL,PageName'!$B$2:$B$999="TY"), ""))</f>
        <v/>
      </c>
      <c r="Q96" s="38" t="str" cm="1">
        <f t="array" ref="Q96">_xlfn.TEXTJOIN(CHAR(10), 1, _xlfn._xlws.FILTER('RAW_URL,PageName'!D$2:D$999, ('RAW_URL,PageName'!$C$2:$C$999=$G96)*('RAW_URL,PageName'!$B$2:$B$999="LY"), ""))</f>
        <v/>
      </c>
      <c r="R96" s="33" t="str" cm="1">
        <f t="array" ref="R96">_xlfn.TEXTJOIN(CHAR(10), 1, _xlfn._xlws.FILTER('RAW_URL,PageName'!E$2:E$999, ('RAW_URL,PageName'!$C$2:$C$999=$G96)*('RAW_URL,PageName'!$B$2:$B$999="LY"), ""))</f>
        <v/>
      </c>
      <c r="S96" s="56" t="str" cm="1">
        <f t="array" ref="S96">_xlfn.TEXTJOIN(CHAR(10), 1, _xlfn._xlws.FILTER('RAW_URL,PageName'!F$2:F$999, ('RAW_URL,PageName'!$C$2:$C$999=$G96)*('RAW_URL,PageName'!$B$2:$B$999="LY"), ""))</f>
        <v/>
      </c>
      <c r="T96" s="116"/>
      <c r="U96" s="116">
        <f>IFERROR(VLOOKUP($C96,태깅기획site_code!$N$4:$O$18,2,0),"")</f>
        <v>8</v>
      </c>
      <c r="V96" s="1"/>
      <c r="W96" s="45"/>
      <c r="X96" s="31"/>
      <c r="Y96" s="31"/>
      <c r="Z96" s="31"/>
      <c r="AA96" s="31"/>
      <c r="AB96" s="47"/>
      <c r="AC96" s="48"/>
      <c r="AD96" s="32"/>
      <c r="AE96" s="86" t="str">
        <f>IF(AD96="","",IF(IF(AD96&gt;api용!D$2,api용!D$2,AD96)&lt;AC96,"",IF(AD96&gt;api용!D$2,api용!D$2,AD96)))</f>
        <v/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2:50">
      <c r="B97" s="45" t="str">
        <f>IF($G97="","",IFERROR(VLOOKUP($G97,RAW_tier!$B$2:$C$200,2,0),2))</f>
        <v/>
      </c>
      <c r="C97" s="31" t="str">
        <f>IF(ISBLANK(태깅기획site_code!F96),"",태깅기획site_code!C96)</f>
        <v/>
      </c>
      <c r="D97" s="31" t="str">
        <f>IF(ISBLANK(태깅기획site_code!F96),"",IF(고객법인일정파일!P96="한총","SEC",IF(LEN(TRIM(고객법인일정파일!P96))=0,태깅기획site_code!D96,고객법인일정파일!P96)))</f>
        <v/>
      </c>
      <c r="E97" s="31" t="str">
        <f>IF(ISBLANK(태깅기획site_code!F96),"",태깅기획site_code!E96)</f>
        <v/>
      </c>
      <c r="F97" s="31" t="str">
        <f>IF(ISBLANK(태깅기획site_code!F96),"",태깅기획site_code!J96)</f>
        <v/>
      </c>
      <c r="G97" s="35" t="str">
        <f>IF(ISBLANK(태깅기획site_code!B96),"",태깅기획site_code!F96)</f>
        <v/>
      </c>
      <c r="H97" s="43" t="str">
        <f>IF(ISBLANK(태깅기획site_code!F96),"",IF(고객법인일정파일!Q96="X","X",고객법인일정파일!R96))</f>
        <v/>
      </c>
      <c r="I97" s="32" t="str">
        <f>IF(ISBLANK(태깅기획site_code!F96),"",IF(고객법인일정파일!Q96="X","",고객법인일정파일!S96))</f>
        <v/>
      </c>
      <c r="J97" s="41"/>
      <c r="K97" s="37"/>
      <c r="L97" s="35"/>
      <c r="M97" s="40" t="str">
        <f>IF(D97="","",VLOOKUP(D97,고객법인일정파일!$C$5:$J$200,8,0))&amp;""</f>
        <v/>
      </c>
      <c r="N97" s="38" t="str" cm="1">
        <f t="array" ref="N97">_xlfn.TEXTJOIN(CHAR(10), 1, _xlfn._xlws.FILTER('RAW_URL,PageName'!D$2:D$999, ('RAW_URL,PageName'!$C$2:$C$999=$G97)*('RAW_URL,PageName'!$B$2:$B$999="TY"), ""))</f>
        <v/>
      </c>
      <c r="O97" s="33" t="str" cm="1">
        <f t="array" ref="O97">_xlfn.TEXTJOIN(CHAR(10), 1, _xlfn._xlws.FILTER('RAW_URL,PageName'!E$2:E$999, ('RAW_URL,PageName'!$C$2:$C$999=$G97)*('RAW_URL,PageName'!$B$2:$B$999="TY"), ""))</f>
        <v/>
      </c>
      <c r="P97" s="36" t="str" cm="1">
        <f t="array" ref="P97">_xlfn.TEXTJOIN(CHAR(10), 1, _xlfn._xlws.FILTER('RAW_URL,PageName'!F$2:F$999, ('RAW_URL,PageName'!$C$2:$C$999=$G97)*('RAW_URL,PageName'!$B$2:$B$999="TY"), ""))</f>
        <v/>
      </c>
      <c r="Q97" s="38" t="str" cm="1">
        <f t="array" ref="Q97">_xlfn.TEXTJOIN(CHAR(10), 1, _xlfn._xlws.FILTER('RAW_URL,PageName'!D$2:D$999, ('RAW_URL,PageName'!$C$2:$C$999=$G97)*('RAW_URL,PageName'!$B$2:$B$999="LY"), ""))</f>
        <v/>
      </c>
      <c r="R97" s="33" t="str" cm="1">
        <f t="array" ref="R97">_xlfn.TEXTJOIN(CHAR(10), 1, _xlfn._xlws.FILTER('RAW_URL,PageName'!E$2:E$999, ('RAW_URL,PageName'!$C$2:$C$999=$G97)*('RAW_URL,PageName'!$B$2:$B$999="LY"), ""))</f>
        <v/>
      </c>
      <c r="S97" s="56" t="str" cm="1">
        <f t="array" ref="S97">_xlfn.TEXTJOIN(CHAR(10), 1, _xlfn._xlws.FILTER('RAW_URL,PageName'!F$2:F$999, ('RAW_URL,PageName'!$C$2:$C$999=$G97)*('RAW_URL,PageName'!$B$2:$B$999="LY"), ""))</f>
        <v/>
      </c>
      <c r="T97" s="116"/>
      <c r="U97" s="116" t="str">
        <f>IFERROR(VLOOKUP($C97,태깅기획site_code!$N$4:$O$18,2,0),"")</f>
        <v/>
      </c>
      <c r="V97" s="1"/>
      <c r="W97" s="45"/>
      <c r="X97" s="31"/>
      <c r="Y97" s="31"/>
      <c r="Z97" s="31"/>
      <c r="AA97" s="31"/>
      <c r="AB97" s="47"/>
      <c r="AC97" s="48"/>
      <c r="AD97" s="32"/>
      <c r="AE97" s="86" t="str">
        <f>IF(AD97="","",IF(IF(AD97&gt;api용!D$2,api용!D$2,AD97)&lt;AC97,"",IF(AD97&gt;api용!D$2,api용!D$2,AD97)))</f>
        <v/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2:50">
      <c r="B98" s="45" t="str">
        <f>IF($G98="","",IFERROR(VLOOKUP($G98,RAW_tier!$B$2:$C$200,2,0),2))</f>
        <v/>
      </c>
      <c r="C98" s="31" t="str">
        <f>IF(ISBLANK(태깅기획site_code!F97),"",태깅기획site_code!C97)</f>
        <v/>
      </c>
      <c r="D98" s="31" t="str">
        <f>IF(ISBLANK(태깅기획site_code!F97),"",IF(고객법인일정파일!P97="한총","SEC",IF(LEN(TRIM(고객법인일정파일!P97))=0,태깅기획site_code!D97,고객법인일정파일!P97)))</f>
        <v/>
      </c>
      <c r="E98" s="31" t="str">
        <f>IF(ISBLANK(태깅기획site_code!F97),"",태깅기획site_code!E97)</f>
        <v/>
      </c>
      <c r="F98" s="31" t="str">
        <f>IF(ISBLANK(태깅기획site_code!F97),"",태깅기획site_code!J97)</f>
        <v/>
      </c>
      <c r="G98" s="35" t="str">
        <f>IF(ISBLANK(태깅기획site_code!B97),"",태깅기획site_code!F97)</f>
        <v/>
      </c>
      <c r="H98" s="43" t="str">
        <f>IF(ISBLANK(태깅기획site_code!F97),"",IF(고객법인일정파일!Q97="X","X",고객법인일정파일!R97))</f>
        <v/>
      </c>
      <c r="I98" s="32" t="str">
        <f>IF(ISBLANK(태깅기획site_code!F97),"",IF(고객법인일정파일!Q97="X","",고객법인일정파일!S97))</f>
        <v/>
      </c>
      <c r="J98" s="41"/>
      <c r="K98" s="37"/>
      <c r="L98" s="35"/>
      <c r="M98" s="40" t="str">
        <f>IF(D98="","",VLOOKUP(D98,고객법인일정파일!$C$5:$J$200,8,0))&amp;""</f>
        <v/>
      </c>
      <c r="N98" s="38" t="str" cm="1">
        <f t="array" ref="N98">_xlfn.TEXTJOIN(CHAR(10), 1, _xlfn._xlws.FILTER('RAW_URL,PageName'!D$2:D$999, ('RAW_URL,PageName'!$C$2:$C$999=$G98)*('RAW_URL,PageName'!$B$2:$B$999="TY"), ""))</f>
        <v/>
      </c>
      <c r="O98" s="33" t="str" cm="1">
        <f t="array" ref="O98">_xlfn.TEXTJOIN(CHAR(10), 1, _xlfn._xlws.FILTER('RAW_URL,PageName'!E$2:E$999, ('RAW_URL,PageName'!$C$2:$C$999=$G98)*('RAW_URL,PageName'!$B$2:$B$999="TY"), ""))</f>
        <v/>
      </c>
      <c r="P98" s="36" t="str" cm="1">
        <f t="array" ref="P98">_xlfn.TEXTJOIN(CHAR(10), 1, _xlfn._xlws.FILTER('RAW_URL,PageName'!F$2:F$999, ('RAW_URL,PageName'!$C$2:$C$999=$G98)*('RAW_URL,PageName'!$B$2:$B$999="TY"), ""))</f>
        <v/>
      </c>
      <c r="Q98" s="38" t="str" cm="1">
        <f t="array" ref="Q98">_xlfn.TEXTJOIN(CHAR(10), 1, _xlfn._xlws.FILTER('RAW_URL,PageName'!D$2:D$999, ('RAW_URL,PageName'!$C$2:$C$999=$G98)*('RAW_URL,PageName'!$B$2:$B$999="LY"), ""))</f>
        <v/>
      </c>
      <c r="R98" s="33" t="str" cm="1">
        <f t="array" ref="R98">_xlfn.TEXTJOIN(CHAR(10), 1, _xlfn._xlws.FILTER('RAW_URL,PageName'!E$2:E$999, ('RAW_URL,PageName'!$C$2:$C$999=$G98)*('RAW_URL,PageName'!$B$2:$B$999="LY"), ""))</f>
        <v/>
      </c>
      <c r="S98" s="56" t="str" cm="1">
        <f t="array" ref="S98">_xlfn.TEXTJOIN(CHAR(10), 1, _xlfn._xlws.FILTER('RAW_URL,PageName'!F$2:F$999, ('RAW_URL,PageName'!$C$2:$C$999=$G98)*('RAW_URL,PageName'!$B$2:$B$999="LY"), ""))</f>
        <v/>
      </c>
      <c r="T98" s="116"/>
      <c r="U98" s="116" t="str">
        <f>IFERROR(VLOOKUP($C98,태깅기획site_code!$N$4:$O$18,2,0),"")</f>
        <v/>
      </c>
      <c r="V98" s="1"/>
      <c r="W98" s="45"/>
      <c r="X98" s="31"/>
      <c r="Y98" s="31"/>
      <c r="Z98" s="31"/>
      <c r="AA98" s="31"/>
      <c r="AB98" s="47"/>
      <c r="AC98" s="48"/>
      <c r="AD98" s="32"/>
      <c r="AE98" s="86" t="str">
        <f>IF(AD98="","",IF(IF(AD98&gt;api용!D$2,api용!D$2,AD98)&lt;AC98,"",IF(AD98&gt;api용!D$2,api용!D$2,AD98)))</f>
        <v/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2:50">
      <c r="B99" s="45" t="str">
        <f>IF($G99="","",IFERROR(VLOOKUP($G99,RAW_tier!$B$2:$C$200,2,0),2))</f>
        <v/>
      </c>
      <c r="C99" s="31" t="str">
        <f>IF(ISBLANK(태깅기획site_code!F98),"",태깅기획site_code!C98)</f>
        <v/>
      </c>
      <c r="D99" s="31" t="str">
        <f>IF(ISBLANK(태깅기획site_code!F98),"",IF(고객법인일정파일!P98="한총","SEC",IF(LEN(TRIM(고객법인일정파일!P98))=0,태깅기획site_code!D98,고객법인일정파일!P98)))</f>
        <v/>
      </c>
      <c r="E99" s="31" t="str">
        <f>IF(ISBLANK(태깅기획site_code!F98),"",태깅기획site_code!E98)</f>
        <v/>
      </c>
      <c r="F99" s="31" t="str">
        <f>IF(ISBLANK(태깅기획site_code!F98),"",태깅기획site_code!J98)</f>
        <v/>
      </c>
      <c r="G99" s="35" t="str">
        <f>IF(ISBLANK(태깅기획site_code!B98),"",태깅기획site_code!F98)</f>
        <v/>
      </c>
      <c r="H99" s="43" t="str">
        <f>IF(ISBLANK(태깅기획site_code!F98),"",IF(고객법인일정파일!Q98="X","X",고객법인일정파일!R98))</f>
        <v/>
      </c>
      <c r="I99" s="32" t="str">
        <f>IF(ISBLANK(태깅기획site_code!F98),"",IF(고객법인일정파일!Q98="X","",고객법인일정파일!S98))</f>
        <v/>
      </c>
      <c r="J99" s="41"/>
      <c r="K99" s="37"/>
      <c r="L99" s="35"/>
      <c r="M99" s="40" t="str">
        <f>IF(D99="","",VLOOKUP(D99,고객법인일정파일!$C$5:$J$200,8,0))&amp;""</f>
        <v/>
      </c>
      <c r="N99" s="38" t="str" cm="1">
        <f t="array" ref="N99">_xlfn.TEXTJOIN(CHAR(10), 1, _xlfn._xlws.FILTER('RAW_URL,PageName'!D$2:D$999, ('RAW_URL,PageName'!$C$2:$C$999=$G99)*('RAW_URL,PageName'!$B$2:$B$999="TY"), ""))</f>
        <v/>
      </c>
      <c r="O99" s="33" t="str" cm="1">
        <f t="array" ref="O99">_xlfn.TEXTJOIN(CHAR(10), 1, _xlfn._xlws.FILTER('RAW_URL,PageName'!E$2:E$999, ('RAW_URL,PageName'!$C$2:$C$999=$G99)*('RAW_URL,PageName'!$B$2:$B$999="TY"), ""))</f>
        <v/>
      </c>
      <c r="P99" s="36" t="str" cm="1">
        <f t="array" ref="P99">_xlfn.TEXTJOIN(CHAR(10), 1, _xlfn._xlws.FILTER('RAW_URL,PageName'!F$2:F$999, ('RAW_URL,PageName'!$C$2:$C$999=$G99)*('RAW_URL,PageName'!$B$2:$B$999="TY"), ""))</f>
        <v/>
      </c>
      <c r="Q99" s="38" t="str" cm="1">
        <f t="array" ref="Q99">_xlfn.TEXTJOIN(CHAR(10), 1, _xlfn._xlws.FILTER('RAW_URL,PageName'!D$2:D$999, ('RAW_URL,PageName'!$C$2:$C$999=$G99)*('RAW_URL,PageName'!$B$2:$B$999="LY"), ""))</f>
        <v/>
      </c>
      <c r="R99" s="33" t="str" cm="1">
        <f t="array" ref="R99">_xlfn.TEXTJOIN(CHAR(10), 1, _xlfn._xlws.FILTER('RAW_URL,PageName'!E$2:E$999, ('RAW_URL,PageName'!$C$2:$C$999=$G99)*('RAW_URL,PageName'!$B$2:$B$999="LY"), ""))</f>
        <v/>
      </c>
      <c r="S99" s="56" t="str" cm="1">
        <f t="array" ref="S99">_xlfn.TEXTJOIN(CHAR(10), 1, _xlfn._xlws.FILTER('RAW_URL,PageName'!F$2:F$999, ('RAW_URL,PageName'!$C$2:$C$999=$G99)*('RAW_URL,PageName'!$B$2:$B$999="LY"), ""))</f>
        <v/>
      </c>
      <c r="T99" s="116"/>
      <c r="U99" s="116" t="str">
        <f>IFERROR(VLOOKUP($C99,태깅기획site_code!$N$4:$O$18,2,0),"")</f>
        <v/>
      </c>
      <c r="V99" s="1"/>
      <c r="W99" s="45"/>
      <c r="X99" s="31"/>
      <c r="Y99" s="31"/>
      <c r="Z99" s="31"/>
      <c r="AA99" s="31"/>
      <c r="AB99" s="47"/>
      <c r="AC99" s="48"/>
      <c r="AD99" s="32"/>
      <c r="AE99" s="86" t="str">
        <f>IF(AD99="","",IF(IF(AD99&gt;api용!D$2,api용!D$2,AD99)&lt;AC99,"",IF(AD99&gt;api용!D$2,api용!D$2,AD99)))</f>
        <v/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2:50">
      <c r="B100" s="45" t="str">
        <f>IF($G100="","",IFERROR(VLOOKUP($G100,RAW_tier!$B$2:$C$200,2,0),2))</f>
        <v/>
      </c>
      <c r="C100" s="31" t="str">
        <f>IF(ISBLANK(태깅기획site_code!F99),"",태깅기획site_code!C99)</f>
        <v/>
      </c>
      <c r="D100" s="31" t="str">
        <f>IF(ISBLANK(태깅기획site_code!F99),"",IF(고객법인일정파일!P99="한총","SEC",IF(LEN(TRIM(고객법인일정파일!P99))=0,태깅기획site_code!D99,고객법인일정파일!P99)))</f>
        <v/>
      </c>
      <c r="E100" s="31" t="str">
        <f>IF(ISBLANK(태깅기획site_code!F99),"",태깅기획site_code!E99)</f>
        <v/>
      </c>
      <c r="F100" s="31" t="str">
        <f>IF(ISBLANK(태깅기획site_code!F99),"",태깅기획site_code!J99)</f>
        <v/>
      </c>
      <c r="G100" s="35" t="str">
        <f>IF(ISBLANK(태깅기획site_code!B99),"",태깅기획site_code!F99)</f>
        <v/>
      </c>
      <c r="H100" s="43" t="str">
        <f>IF(ISBLANK(태깅기획site_code!F99),"",IF(고객법인일정파일!Q99="X","X",고객법인일정파일!R99))</f>
        <v/>
      </c>
      <c r="I100" s="32" t="str">
        <f>IF(ISBLANK(태깅기획site_code!F99),"",IF(고객법인일정파일!Q99="X","",고객법인일정파일!S99))</f>
        <v/>
      </c>
      <c r="J100" s="41"/>
      <c r="K100" s="37"/>
      <c r="L100" s="35"/>
      <c r="M100" s="40" t="str">
        <f>IF(D100="","",VLOOKUP(D100,고객법인일정파일!$C$5:$J$200,8,0))&amp;""</f>
        <v/>
      </c>
      <c r="N100" s="38" t="str" cm="1">
        <f t="array" ref="N100">_xlfn.TEXTJOIN(CHAR(10), 1, _xlfn._xlws.FILTER('RAW_URL,PageName'!D$2:D$999, ('RAW_URL,PageName'!$C$2:$C$999=$G100)*('RAW_URL,PageName'!$B$2:$B$999="TY"), ""))</f>
        <v/>
      </c>
      <c r="O100" s="33" t="str" cm="1">
        <f t="array" ref="O100">_xlfn.TEXTJOIN(CHAR(10), 1, _xlfn._xlws.FILTER('RAW_URL,PageName'!E$2:E$999, ('RAW_URL,PageName'!$C$2:$C$999=$G100)*('RAW_URL,PageName'!$B$2:$B$999="TY"), ""))</f>
        <v/>
      </c>
      <c r="P100" s="36" t="str" cm="1">
        <f t="array" ref="P100">_xlfn.TEXTJOIN(CHAR(10), 1, _xlfn._xlws.FILTER('RAW_URL,PageName'!F$2:F$999, ('RAW_URL,PageName'!$C$2:$C$999=$G100)*('RAW_URL,PageName'!$B$2:$B$999="TY"), ""))</f>
        <v/>
      </c>
      <c r="Q100" s="38" t="str" cm="1">
        <f t="array" ref="Q100">_xlfn.TEXTJOIN(CHAR(10), 1, _xlfn._xlws.FILTER('RAW_URL,PageName'!D$2:D$999, ('RAW_URL,PageName'!$C$2:$C$999=$G100)*('RAW_URL,PageName'!$B$2:$B$999="LY"), ""))</f>
        <v/>
      </c>
      <c r="R100" s="33" t="str" cm="1">
        <f t="array" ref="R100">_xlfn.TEXTJOIN(CHAR(10), 1, _xlfn._xlws.FILTER('RAW_URL,PageName'!E$2:E$999, ('RAW_URL,PageName'!$C$2:$C$999=$G100)*('RAW_URL,PageName'!$B$2:$B$999="LY"), ""))</f>
        <v/>
      </c>
      <c r="S100" s="56" t="str" cm="1">
        <f t="array" ref="S100">_xlfn.TEXTJOIN(CHAR(10), 1, _xlfn._xlws.FILTER('RAW_URL,PageName'!F$2:F$999, ('RAW_URL,PageName'!$C$2:$C$999=$G100)*('RAW_URL,PageName'!$B$2:$B$999="LY"), ""))</f>
        <v/>
      </c>
      <c r="T100" s="116"/>
      <c r="U100" s="116" t="str">
        <f>IFERROR(VLOOKUP($C100,태깅기획site_code!$N$4:$O$18,2,0),"")</f>
        <v/>
      </c>
      <c r="V100" s="1"/>
      <c r="W100" s="45"/>
      <c r="X100" s="31"/>
      <c r="Y100" s="31"/>
      <c r="Z100" s="31"/>
      <c r="AA100" s="31"/>
      <c r="AB100" s="47"/>
      <c r="AC100" s="48"/>
      <c r="AD100" s="32"/>
      <c r="AE100" s="86" t="str">
        <f>IF(AD100="","",IF(IF(AD100&gt;api용!D$2,api용!D$2,AD100)&lt;AC100,"",IF(AD100&gt;api용!D$2,api용!D$2,AD100)))</f>
        <v/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2:50">
      <c r="B101" s="45" t="str">
        <f>IF($G101="","",IFERROR(VLOOKUP($G101,RAW_tier!$B$2:$C$200,2,0),2))</f>
        <v/>
      </c>
      <c r="C101" s="31" t="str">
        <f>IF(ISBLANK(태깅기획site_code!F100),"",태깅기획site_code!C100)</f>
        <v/>
      </c>
      <c r="D101" s="31" t="str">
        <f>IF(ISBLANK(태깅기획site_code!F100),"",IF(고객법인일정파일!P100="한총","SEC",IF(LEN(TRIM(고객법인일정파일!P100))=0,태깅기획site_code!D100,고객법인일정파일!P100)))</f>
        <v/>
      </c>
      <c r="E101" s="31" t="str">
        <f>IF(ISBLANK(태깅기획site_code!F100),"",태깅기획site_code!E100)</f>
        <v/>
      </c>
      <c r="F101" s="31" t="str">
        <f>IF(ISBLANK(태깅기획site_code!F100),"",태깅기획site_code!J100)</f>
        <v/>
      </c>
      <c r="G101" s="35" t="str">
        <f>IF(ISBLANK(태깅기획site_code!B100),"",태깅기획site_code!F100)</f>
        <v/>
      </c>
      <c r="H101" s="43" t="str">
        <f>IF(ISBLANK(태깅기획site_code!F100),"",IF(고객법인일정파일!Q100="X","X",고객법인일정파일!R100))</f>
        <v/>
      </c>
      <c r="I101" s="32" t="str">
        <f>IF(ISBLANK(태깅기획site_code!F100),"",IF(고객법인일정파일!Q100="X","",고객법인일정파일!S100))</f>
        <v/>
      </c>
      <c r="J101" s="41"/>
      <c r="K101" s="37"/>
      <c r="L101" s="35"/>
      <c r="M101" s="40" t="str">
        <f>IF(D101="","",VLOOKUP(D101,고객법인일정파일!$C$5:$J$200,8,0))&amp;""</f>
        <v/>
      </c>
      <c r="N101" s="38" t="str" cm="1">
        <f t="array" ref="N101">_xlfn.TEXTJOIN(CHAR(10), 1, _xlfn._xlws.FILTER('RAW_URL,PageName'!D$2:D$999, ('RAW_URL,PageName'!$C$2:$C$999=$G101)*('RAW_URL,PageName'!$B$2:$B$999="TY"), ""))</f>
        <v/>
      </c>
      <c r="O101" s="33" t="str" cm="1">
        <f t="array" ref="O101">_xlfn.TEXTJOIN(CHAR(10), 1, _xlfn._xlws.FILTER('RAW_URL,PageName'!E$2:E$999, ('RAW_URL,PageName'!$C$2:$C$999=$G101)*('RAW_URL,PageName'!$B$2:$B$999="TY"), ""))</f>
        <v/>
      </c>
      <c r="P101" s="36" t="str" cm="1">
        <f t="array" ref="P101">_xlfn.TEXTJOIN(CHAR(10), 1, _xlfn._xlws.FILTER('RAW_URL,PageName'!F$2:F$999, ('RAW_URL,PageName'!$C$2:$C$999=$G101)*('RAW_URL,PageName'!$B$2:$B$999="TY"), ""))</f>
        <v/>
      </c>
      <c r="Q101" s="38" t="str" cm="1">
        <f t="array" ref="Q101">_xlfn.TEXTJOIN(CHAR(10), 1, _xlfn._xlws.FILTER('RAW_URL,PageName'!D$2:D$999, ('RAW_URL,PageName'!$C$2:$C$999=$G101)*('RAW_URL,PageName'!$B$2:$B$999="LY"), ""))</f>
        <v/>
      </c>
      <c r="R101" s="33" t="str" cm="1">
        <f t="array" ref="R101">_xlfn.TEXTJOIN(CHAR(10), 1, _xlfn._xlws.FILTER('RAW_URL,PageName'!E$2:E$999, ('RAW_URL,PageName'!$C$2:$C$999=$G101)*('RAW_URL,PageName'!$B$2:$B$999="LY"), ""))</f>
        <v/>
      </c>
      <c r="S101" s="56" t="str" cm="1">
        <f t="array" ref="S101">_xlfn.TEXTJOIN(CHAR(10), 1, _xlfn._xlws.FILTER('RAW_URL,PageName'!F$2:F$999, ('RAW_URL,PageName'!$C$2:$C$999=$G101)*('RAW_URL,PageName'!$B$2:$B$999="LY"), ""))</f>
        <v/>
      </c>
      <c r="T101" s="116"/>
      <c r="U101" s="116" t="str">
        <f>IFERROR(VLOOKUP($C101,태깅기획site_code!$N$4:$O$18,2,0),"")</f>
        <v/>
      </c>
      <c r="V101" s="1"/>
      <c r="W101" s="45"/>
      <c r="X101" s="31"/>
      <c r="Y101" s="31"/>
      <c r="Z101" s="31"/>
      <c r="AA101" s="31"/>
      <c r="AB101" s="47"/>
      <c r="AC101" s="48"/>
      <c r="AD101" s="32"/>
      <c r="AE101" s="86" t="str">
        <f>IF(AD101="","",IF(IF(AD101&gt;api용!D$2,api용!D$2,AD101)&lt;AC101,"",IF(AD101&gt;api용!D$2,api용!D$2,AD101)))</f>
        <v/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2:50">
      <c r="B102" s="45" t="str">
        <f>IF($G102="","",IFERROR(VLOOKUP($G102,RAW_tier!$B$2:$C$200,2,0),2))</f>
        <v/>
      </c>
      <c r="C102" s="31" t="str">
        <f>IF(ISBLANK(태깅기획site_code!F101),"",태깅기획site_code!C101)</f>
        <v/>
      </c>
      <c r="D102" s="31" t="str">
        <f>IF(ISBLANK(태깅기획site_code!F101),"",IF(고객법인일정파일!P101="한총","SEC",IF(LEN(TRIM(고객법인일정파일!P101))=0,태깅기획site_code!D101,고객법인일정파일!P101)))</f>
        <v/>
      </c>
      <c r="E102" s="31" t="str">
        <f>IF(ISBLANK(태깅기획site_code!F101),"",태깅기획site_code!E101)</f>
        <v/>
      </c>
      <c r="F102" s="31" t="str">
        <f>IF(ISBLANK(태깅기획site_code!F101),"",태깅기획site_code!J101)</f>
        <v/>
      </c>
      <c r="G102" s="35" t="str">
        <f>IF(ISBLANK(태깅기획site_code!B101),"",태깅기획site_code!F101)</f>
        <v/>
      </c>
      <c r="H102" s="43" t="str">
        <f>IF(ISBLANK(태깅기획site_code!F101),"",IF(고객법인일정파일!Q101="X","X",고객법인일정파일!R101))</f>
        <v/>
      </c>
      <c r="I102" s="32" t="str">
        <f>IF(ISBLANK(태깅기획site_code!F101),"",IF(고객법인일정파일!Q101="X","",고객법인일정파일!S101))</f>
        <v/>
      </c>
      <c r="J102" s="41"/>
      <c r="K102" s="37"/>
      <c r="L102" s="35"/>
      <c r="M102" s="40" t="str">
        <f>IF(D102="","",VLOOKUP(D102,고객법인일정파일!$C$5:$J$200,8,0))&amp;""</f>
        <v/>
      </c>
      <c r="N102" s="38" t="str" cm="1">
        <f t="array" ref="N102">_xlfn.TEXTJOIN(CHAR(10), 1, _xlfn._xlws.FILTER('RAW_URL,PageName'!D$2:D$999, ('RAW_URL,PageName'!$C$2:$C$999=$G102)*('RAW_URL,PageName'!$B$2:$B$999="TY"), ""))</f>
        <v/>
      </c>
      <c r="O102" s="33" t="str" cm="1">
        <f t="array" ref="O102">_xlfn.TEXTJOIN(CHAR(10), 1, _xlfn._xlws.FILTER('RAW_URL,PageName'!E$2:E$999, ('RAW_URL,PageName'!$C$2:$C$999=$G102)*('RAW_URL,PageName'!$B$2:$B$999="TY"), ""))</f>
        <v/>
      </c>
      <c r="P102" s="36" t="str" cm="1">
        <f t="array" ref="P102">_xlfn.TEXTJOIN(CHAR(10), 1, _xlfn._xlws.FILTER('RAW_URL,PageName'!F$2:F$999, ('RAW_URL,PageName'!$C$2:$C$999=$G102)*('RAW_URL,PageName'!$B$2:$B$999="TY"), ""))</f>
        <v/>
      </c>
      <c r="Q102" s="38" t="str" cm="1">
        <f t="array" ref="Q102">_xlfn.TEXTJOIN(CHAR(10), 1, _xlfn._xlws.FILTER('RAW_URL,PageName'!D$2:D$999, ('RAW_URL,PageName'!$C$2:$C$999=$G102)*('RAW_URL,PageName'!$B$2:$B$999="LY"), ""))</f>
        <v/>
      </c>
      <c r="R102" s="33" t="str" cm="1">
        <f t="array" ref="R102">_xlfn.TEXTJOIN(CHAR(10), 1, _xlfn._xlws.FILTER('RAW_URL,PageName'!E$2:E$999, ('RAW_URL,PageName'!$C$2:$C$999=$G102)*('RAW_URL,PageName'!$B$2:$B$999="LY"), ""))</f>
        <v/>
      </c>
      <c r="S102" s="56" t="str" cm="1">
        <f t="array" ref="S102">_xlfn.TEXTJOIN(CHAR(10), 1, _xlfn._xlws.FILTER('RAW_URL,PageName'!F$2:F$999, ('RAW_URL,PageName'!$C$2:$C$999=$G102)*('RAW_URL,PageName'!$B$2:$B$999="LY"), ""))</f>
        <v/>
      </c>
      <c r="T102" s="116"/>
      <c r="U102" s="116" t="str">
        <f>IFERROR(VLOOKUP($C102,태깅기획site_code!$N$4:$O$18,2,0),"")</f>
        <v/>
      </c>
      <c r="V102" s="1"/>
      <c r="W102" s="45"/>
      <c r="X102" s="31"/>
      <c r="Y102" s="31"/>
      <c r="Z102" s="31"/>
      <c r="AA102" s="31"/>
      <c r="AB102" s="47"/>
      <c r="AC102" s="48"/>
      <c r="AD102" s="32"/>
      <c r="AE102" s="86" t="str">
        <f>IF(AD102="","",IF(IF(AD102&gt;api용!D$2,api용!D$2,AD102)&lt;AC102,"",IF(AD102&gt;api용!D$2,api용!D$2,AD102)))</f>
        <v/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2:50">
      <c r="B103" s="45" t="str">
        <f>IF($G103="","",IFERROR(VLOOKUP($G103,RAW_tier!$B$2:$C$200,2,0),2))</f>
        <v/>
      </c>
      <c r="C103" s="31" t="str">
        <f>IF(ISBLANK(태깅기획site_code!F102),"",태깅기획site_code!C102)</f>
        <v/>
      </c>
      <c r="D103" s="31" t="str">
        <f>IF(ISBLANK(태깅기획site_code!F102),"",IF(고객법인일정파일!P102="한총","SEC",IF(LEN(TRIM(고객법인일정파일!P102))=0,태깅기획site_code!D102,고객법인일정파일!P102)))</f>
        <v/>
      </c>
      <c r="E103" s="31" t="str">
        <f>IF(ISBLANK(태깅기획site_code!F102),"",태깅기획site_code!E102)</f>
        <v/>
      </c>
      <c r="F103" s="31" t="str">
        <f>IF(ISBLANK(태깅기획site_code!F102),"",태깅기획site_code!J102)</f>
        <v/>
      </c>
      <c r="G103" s="35" t="str">
        <f>IF(ISBLANK(태깅기획site_code!B102),"",태깅기획site_code!F102)</f>
        <v/>
      </c>
      <c r="H103" s="43" t="str">
        <f>IF(ISBLANK(태깅기획site_code!F102),"",IF(고객법인일정파일!Q102="X","X",고객법인일정파일!R102))</f>
        <v/>
      </c>
      <c r="I103" s="32" t="str">
        <f>IF(ISBLANK(태깅기획site_code!F102),"",IF(고객법인일정파일!Q102="X","",고객법인일정파일!S102))</f>
        <v/>
      </c>
      <c r="J103" s="41"/>
      <c r="K103" s="37"/>
      <c r="L103" s="35"/>
      <c r="M103" s="40" t="str">
        <f>IF(D103="","",VLOOKUP(D103,고객법인일정파일!$C$5:$J$200,8,0))&amp;""</f>
        <v/>
      </c>
      <c r="N103" s="38" t="str" cm="1">
        <f t="array" ref="N103">_xlfn.TEXTJOIN(CHAR(10), 1, _xlfn._xlws.FILTER('RAW_URL,PageName'!D$2:D$999, ('RAW_URL,PageName'!$C$2:$C$999=$G103)*('RAW_URL,PageName'!$B$2:$B$999="TY"), ""))</f>
        <v/>
      </c>
      <c r="O103" s="33" t="str" cm="1">
        <f t="array" ref="O103">_xlfn.TEXTJOIN(CHAR(10), 1, _xlfn._xlws.FILTER('RAW_URL,PageName'!E$2:E$999, ('RAW_URL,PageName'!$C$2:$C$999=$G103)*('RAW_URL,PageName'!$B$2:$B$999="TY"), ""))</f>
        <v/>
      </c>
      <c r="P103" s="36" t="str" cm="1">
        <f t="array" ref="P103">_xlfn.TEXTJOIN(CHAR(10), 1, _xlfn._xlws.FILTER('RAW_URL,PageName'!F$2:F$999, ('RAW_URL,PageName'!$C$2:$C$999=$G103)*('RAW_URL,PageName'!$B$2:$B$999="TY"), ""))</f>
        <v/>
      </c>
      <c r="Q103" s="38" t="str" cm="1">
        <f t="array" ref="Q103">_xlfn.TEXTJOIN(CHAR(10), 1, _xlfn._xlws.FILTER('RAW_URL,PageName'!D$2:D$999, ('RAW_URL,PageName'!$C$2:$C$999=$G103)*('RAW_URL,PageName'!$B$2:$B$999="LY"), ""))</f>
        <v/>
      </c>
      <c r="R103" s="33" t="str" cm="1">
        <f t="array" ref="R103">_xlfn.TEXTJOIN(CHAR(10), 1, _xlfn._xlws.FILTER('RAW_URL,PageName'!E$2:E$999, ('RAW_URL,PageName'!$C$2:$C$999=$G103)*('RAW_URL,PageName'!$B$2:$B$999="LY"), ""))</f>
        <v/>
      </c>
      <c r="S103" s="56" t="str" cm="1">
        <f t="array" ref="S103">_xlfn.TEXTJOIN(CHAR(10), 1, _xlfn._xlws.FILTER('RAW_URL,PageName'!F$2:F$999, ('RAW_URL,PageName'!$C$2:$C$999=$G103)*('RAW_URL,PageName'!$B$2:$B$999="LY"), ""))</f>
        <v/>
      </c>
      <c r="T103" s="116"/>
      <c r="U103" s="116" t="str">
        <f>IFERROR(VLOOKUP($C103,태깅기획site_code!$N$4:$O$18,2,0),"")</f>
        <v/>
      </c>
      <c r="V103" s="1"/>
      <c r="W103" s="45"/>
      <c r="X103" s="31"/>
      <c r="Y103" s="31"/>
      <c r="Z103" s="31"/>
      <c r="AA103" s="31"/>
      <c r="AB103" s="47"/>
      <c r="AC103" s="48"/>
      <c r="AD103" s="32"/>
      <c r="AE103" s="86" t="str">
        <f>IF(AD103="","",IF(IF(AD103&gt;api용!D$2,api용!D$2,AD103)&lt;AC103,"",IF(AD103&gt;api용!D$2,api용!D$2,AD103)))</f>
        <v/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2:50">
      <c r="B104" s="45" t="str">
        <f>IF($G104="","",IFERROR(VLOOKUP($G104,RAW_tier!$B$2:$C$200,2,0),2))</f>
        <v/>
      </c>
      <c r="C104" s="31" t="str">
        <f>IF(ISBLANK(태깅기획site_code!F103),"",태깅기획site_code!C103)</f>
        <v/>
      </c>
      <c r="D104" s="31" t="str">
        <f>IF(ISBLANK(태깅기획site_code!F103),"",IF(고객법인일정파일!P103="한총","SEC",IF(LEN(TRIM(고객법인일정파일!P103))=0,태깅기획site_code!D103,고객법인일정파일!P103)))</f>
        <v/>
      </c>
      <c r="E104" s="31" t="str">
        <f>IF(ISBLANK(태깅기획site_code!F103),"",태깅기획site_code!E103)</f>
        <v/>
      </c>
      <c r="F104" s="31" t="str">
        <f>IF(ISBLANK(태깅기획site_code!F103),"",태깅기획site_code!J103)</f>
        <v/>
      </c>
      <c r="G104" s="35" t="str">
        <f>IF(ISBLANK(태깅기획site_code!B103),"",태깅기획site_code!F103)</f>
        <v/>
      </c>
      <c r="H104" s="43" t="str">
        <f>IF(ISBLANK(태깅기획site_code!F103),"",IF(고객법인일정파일!Q103="X","X",고객법인일정파일!R103))</f>
        <v/>
      </c>
      <c r="I104" s="32" t="str">
        <f>IF(ISBLANK(태깅기획site_code!F103),"",IF(고객법인일정파일!Q103="X","",고객법인일정파일!S103))</f>
        <v/>
      </c>
      <c r="J104" s="41"/>
      <c r="K104" s="37"/>
      <c r="L104" s="35"/>
      <c r="M104" s="40" t="str">
        <f>IF(D104="","",VLOOKUP(D104,고객법인일정파일!$C$5:$J$200,8,0))&amp;""</f>
        <v/>
      </c>
      <c r="N104" s="38" t="str" cm="1">
        <f t="array" ref="N104">_xlfn.TEXTJOIN(CHAR(10), 1, _xlfn._xlws.FILTER('RAW_URL,PageName'!D$2:D$999, ('RAW_URL,PageName'!$C$2:$C$999=$G104)*('RAW_URL,PageName'!$B$2:$B$999="TY"), ""))</f>
        <v/>
      </c>
      <c r="O104" s="33" t="str" cm="1">
        <f t="array" ref="O104">_xlfn.TEXTJOIN(CHAR(10), 1, _xlfn._xlws.FILTER('RAW_URL,PageName'!E$2:E$999, ('RAW_URL,PageName'!$C$2:$C$999=$G104)*('RAW_URL,PageName'!$B$2:$B$999="TY"), ""))</f>
        <v/>
      </c>
      <c r="P104" s="36" t="str" cm="1">
        <f t="array" ref="P104">_xlfn.TEXTJOIN(CHAR(10), 1, _xlfn._xlws.FILTER('RAW_URL,PageName'!F$2:F$999, ('RAW_URL,PageName'!$C$2:$C$999=$G104)*('RAW_URL,PageName'!$B$2:$B$999="TY"), ""))</f>
        <v/>
      </c>
      <c r="Q104" s="38" t="str" cm="1">
        <f t="array" ref="Q104">_xlfn.TEXTJOIN(CHAR(10), 1, _xlfn._xlws.FILTER('RAW_URL,PageName'!D$2:D$999, ('RAW_URL,PageName'!$C$2:$C$999=$G104)*('RAW_URL,PageName'!$B$2:$B$999="LY"), ""))</f>
        <v/>
      </c>
      <c r="R104" s="33" t="str" cm="1">
        <f t="array" ref="R104">_xlfn.TEXTJOIN(CHAR(10), 1, _xlfn._xlws.FILTER('RAW_URL,PageName'!E$2:E$999, ('RAW_URL,PageName'!$C$2:$C$999=$G104)*('RAW_URL,PageName'!$B$2:$B$999="LY"), ""))</f>
        <v/>
      </c>
      <c r="S104" s="56" t="str" cm="1">
        <f t="array" ref="S104">_xlfn.TEXTJOIN(CHAR(10), 1, _xlfn._xlws.FILTER('RAW_URL,PageName'!F$2:F$999, ('RAW_URL,PageName'!$C$2:$C$999=$G104)*('RAW_URL,PageName'!$B$2:$B$999="LY"), ""))</f>
        <v/>
      </c>
      <c r="T104" s="116"/>
      <c r="U104" s="116" t="str">
        <f>IFERROR(VLOOKUP($C104,태깅기획site_code!$N$4:$O$18,2,0),"")</f>
        <v/>
      </c>
      <c r="V104" s="1"/>
      <c r="W104" s="45"/>
      <c r="X104" s="31"/>
      <c r="Y104" s="31"/>
      <c r="Z104" s="31"/>
      <c r="AA104" s="31"/>
      <c r="AB104" s="47"/>
      <c r="AC104" s="48"/>
      <c r="AD104" s="32"/>
      <c r="AE104" s="86" t="str">
        <f>IF(AD104="","",IF(IF(AD104&gt;api용!D$2,api용!D$2,AD104)&lt;AC104,"",IF(AD104&gt;api용!D$2,api용!D$2,AD104)))</f>
        <v/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2:50">
      <c r="B105" s="16" t="str">
        <f>IF($G105="","",IFERROR(VLOOKUP($G105,RAW_tier!$B$2:$C$200,2,0),2))</f>
        <v/>
      </c>
      <c r="C105" s="1" t="str">
        <f>IF(ISBLANK(태깅기획site_code!F104),"",태깅기획site_code!C104)</f>
        <v/>
      </c>
      <c r="D105" s="1" t="str">
        <f>IF(ISBLANK(태깅기획site_code!F104),"",IF(고객법인일정파일!P104="한총","SEC",IF(LEN(TRIM(고객법인일정파일!P104))=0,태깅기획site_code!D104,고객법인일정파일!P104)))</f>
        <v/>
      </c>
      <c r="E105" s="1" t="str">
        <f>IF(ISBLANK(태깅기획site_code!F104),"",태깅기획site_code!E104)</f>
        <v/>
      </c>
      <c r="F105" s="1" t="str">
        <f>IF(ISBLANK(태깅기획site_code!F104),"",태깅기획site_code!J104)</f>
        <v/>
      </c>
      <c r="G105" s="1" t="str">
        <f>IF(ISBLANK(태깅기획site_code!B104),"",태깅기획site_code!F104)</f>
        <v/>
      </c>
      <c r="H105" s="2" t="str">
        <f>IF(ISBLANK(태깅기획site_code!F104),"",IF(고객법인일정파일!Q104="X","X",고객법인일정파일!R104))</f>
        <v/>
      </c>
      <c r="I105" s="2" t="str">
        <f>IF(ISBLANK(태깅기획site_code!F104),"",IF(고객법인일정파일!Q104="X","",고객법인일정파일!S104))</f>
        <v/>
      </c>
      <c r="J105" s="16"/>
      <c r="K105" s="1"/>
      <c r="L105" s="1"/>
      <c r="M105" s="25" t="str">
        <f>IF(D105="","",VLOOKUP(D105,고객법인일정파일!$C$5:$J$200,8,0))&amp;""</f>
        <v/>
      </c>
      <c r="N105" s="28" t="str" cm="1">
        <f t="array" ref="N105">_xlfn.TEXTJOIN(CHAR(10), 1, _xlfn._xlws.FILTER('RAW_URL,PageName'!D$2:D$999, ('RAW_URL,PageName'!$C$2:$C$999=$G105)*('RAW_URL,PageName'!$B$2:$B$999="TY"), ""))</f>
        <v/>
      </c>
      <c r="O105" s="28" t="str" cm="1">
        <f t="array" ref="O105">_xlfn.TEXTJOIN(CHAR(10), 1, _xlfn._xlws.FILTER('RAW_URL,PageName'!E$2:E$999, ('RAW_URL,PageName'!$C$2:$C$999=$G105)*('RAW_URL,PageName'!$B$2:$B$999="TY"), ""))</f>
        <v/>
      </c>
      <c r="P105" s="28" t="str" cm="1">
        <f t="array" ref="P105">_xlfn.TEXTJOIN(CHAR(10), 1, _xlfn._xlws.FILTER('RAW_URL,PageName'!F$2:F$999, ('RAW_URL,PageName'!$C$2:$C$999=$G105)*('RAW_URL,PageName'!$B$2:$B$999="TY"), ""))</f>
        <v/>
      </c>
      <c r="Q105" s="28" t="str" cm="1">
        <f t="array" ref="Q105">_xlfn.TEXTJOIN(CHAR(10), 1, _xlfn._xlws.FILTER('RAW_URL,PageName'!D$2:D$999, ('RAW_URL,PageName'!$C$2:$C$999=$G105)*('RAW_URL,PageName'!$B$2:$B$999="LY"), ""))</f>
        <v/>
      </c>
      <c r="R105" s="28" t="str" cm="1">
        <f t="array" ref="R105">_xlfn.TEXTJOIN(CHAR(10), 1, _xlfn._xlws.FILTER('RAW_URL,PageName'!E$2:E$999, ('RAW_URL,PageName'!$C$2:$C$999=$G105)*('RAW_URL,PageName'!$B$2:$B$999="LY"), ""))</f>
        <v/>
      </c>
      <c r="S105" s="28" t="str" cm="1">
        <f t="array" ref="S105">_xlfn.TEXTJOIN(CHAR(10), 1, _xlfn._xlws.FILTER('RAW_URL,PageName'!F$2:F$999, ('RAW_URL,PageName'!$C$2:$C$999=$G105)*('RAW_URL,PageName'!$B$2:$B$999="LY"), ""))</f>
        <v/>
      </c>
      <c r="T105" s="117"/>
      <c r="U105" s="117" t="str">
        <f>IFERROR(VLOOKUP($C105,태깅기획site_code!$N$4:$O$18,2,0),"")</f>
        <v/>
      </c>
      <c r="V105" s="1"/>
      <c r="AB105" s="10"/>
      <c r="AC105" s="9"/>
      <c r="AE105" s="3" t="str">
        <f>IF(AD105="","",IF(IF(AD105&gt;api용!D$2,api용!D$2,AD105)&lt;AC105,"",IF(AD105&gt;api용!D$2,api용!D$2,AD105)))</f>
        <v/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2:50">
      <c r="B106" s="16" t="str">
        <f>IF($G106="","",IFERROR(VLOOKUP($G106,RAW_tier!$B$2:$C$200,2,0),2))</f>
        <v/>
      </c>
      <c r="C106" s="1" t="str">
        <f>IF(ISBLANK(태깅기획site_code!F105),"",태깅기획site_code!C105)</f>
        <v/>
      </c>
      <c r="D106" s="1" t="str">
        <f>IF(ISBLANK(태깅기획site_code!F105),"",IF(고객법인일정파일!P105="한총","SEC",IF(LEN(TRIM(고객법인일정파일!P105))=0,태깅기획site_code!D105,고객법인일정파일!P105)))</f>
        <v/>
      </c>
      <c r="E106" s="1" t="str">
        <f>IF(ISBLANK(태깅기획site_code!F105),"",태깅기획site_code!E105)</f>
        <v/>
      </c>
      <c r="F106" s="1" t="str">
        <f>IF(ISBLANK(태깅기획site_code!F105),"",태깅기획site_code!J105)</f>
        <v/>
      </c>
      <c r="G106" s="1" t="str">
        <f>IF(ISBLANK(태깅기획site_code!B105),"",태깅기획site_code!F105)</f>
        <v/>
      </c>
      <c r="H106" s="2" t="str">
        <f>IF(ISBLANK(태깅기획site_code!F105),"",IF(고객법인일정파일!Q105="X","X",고객법인일정파일!R105))</f>
        <v/>
      </c>
      <c r="I106" s="2" t="str">
        <f>IF(ISBLANK(태깅기획site_code!F105),"",IF(고객법인일정파일!Q105="X","",고객법인일정파일!S105))</f>
        <v/>
      </c>
      <c r="J106" s="16"/>
      <c r="K106" s="1"/>
      <c r="L106" s="1"/>
      <c r="M106" s="25" t="str">
        <f>IF(D106="","",VLOOKUP(D106,고객법인일정파일!$C$5:$J$200,8,0))&amp;""</f>
        <v/>
      </c>
      <c r="N106" s="28" t="str" cm="1">
        <f t="array" ref="N106">_xlfn.TEXTJOIN(CHAR(10), 1, _xlfn._xlws.FILTER('RAW_URL,PageName'!D$2:D$999, ('RAW_URL,PageName'!$C$2:$C$999=$G106)*('RAW_URL,PageName'!$B$2:$B$999="TY"), ""))</f>
        <v/>
      </c>
      <c r="O106" s="28" t="str" cm="1">
        <f t="array" ref="O106">_xlfn.TEXTJOIN(CHAR(10), 1, _xlfn._xlws.FILTER('RAW_URL,PageName'!E$2:E$999, ('RAW_URL,PageName'!$C$2:$C$999=$G106)*('RAW_URL,PageName'!$B$2:$B$999="TY"), ""))</f>
        <v/>
      </c>
      <c r="P106" s="28" t="str" cm="1">
        <f t="array" ref="P106">_xlfn.TEXTJOIN(CHAR(10), 1, _xlfn._xlws.FILTER('RAW_URL,PageName'!F$2:F$999, ('RAW_URL,PageName'!$C$2:$C$999=$G106)*('RAW_URL,PageName'!$B$2:$B$999="TY"), ""))</f>
        <v/>
      </c>
      <c r="Q106" s="28" t="str" cm="1">
        <f t="array" ref="Q106">_xlfn.TEXTJOIN(CHAR(10), 1, _xlfn._xlws.FILTER('RAW_URL,PageName'!D$2:D$999, ('RAW_URL,PageName'!$C$2:$C$999=$G106)*('RAW_URL,PageName'!$B$2:$B$999="LY"), ""))</f>
        <v/>
      </c>
      <c r="R106" s="28" t="str" cm="1">
        <f t="array" ref="R106">_xlfn.TEXTJOIN(CHAR(10), 1, _xlfn._xlws.FILTER('RAW_URL,PageName'!E$2:E$999, ('RAW_URL,PageName'!$C$2:$C$999=$G106)*('RAW_URL,PageName'!$B$2:$B$999="LY"), ""))</f>
        <v/>
      </c>
      <c r="S106" s="28" t="str" cm="1">
        <f t="array" ref="S106">_xlfn.TEXTJOIN(CHAR(10), 1, _xlfn._xlws.FILTER('RAW_URL,PageName'!F$2:F$999, ('RAW_URL,PageName'!$C$2:$C$999=$G106)*('RAW_URL,PageName'!$B$2:$B$999="LY"), ""))</f>
        <v/>
      </c>
      <c r="T106" s="117"/>
      <c r="U106" s="117" t="str">
        <f>IFERROR(VLOOKUP($C106,태깅기획site_code!$N$4:$O$18,2,0),"")</f>
        <v/>
      </c>
      <c r="V106" s="1"/>
      <c r="AB106" s="10"/>
      <c r="AC106" s="9"/>
      <c r="AE106" s="3" t="str">
        <f>IF(AD106="","",IF(IF(AD106&gt;api용!D$2,api용!D$2,AD106)&lt;AC106,"",IF(AD106&gt;api용!D$2,api용!D$2,AD106)))</f>
        <v/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2:50">
      <c r="B107" s="16" t="str">
        <f>IF($G107="","",IFERROR(VLOOKUP($G107,RAW_tier!$B$2:$C$200,2,0),2))</f>
        <v/>
      </c>
      <c r="C107" s="1" t="str">
        <f>IF(ISBLANK(태깅기획site_code!F106),"",태깅기획site_code!C106)</f>
        <v/>
      </c>
      <c r="D107" s="1" t="str">
        <f>IF(ISBLANK(태깅기획site_code!F106),"",IF(고객법인일정파일!P106="한총","SEC",IF(LEN(TRIM(고객법인일정파일!P106))=0,태깅기획site_code!D106,고객법인일정파일!P106)))</f>
        <v/>
      </c>
      <c r="E107" s="1" t="str">
        <f>IF(ISBLANK(태깅기획site_code!F106),"",태깅기획site_code!E106)</f>
        <v/>
      </c>
      <c r="F107" s="1" t="str">
        <f>IF(ISBLANK(태깅기획site_code!F106),"",태깅기획site_code!J106)</f>
        <v/>
      </c>
      <c r="G107" s="1" t="str">
        <f>IF(ISBLANK(태깅기획site_code!B106),"",태깅기획site_code!F106)</f>
        <v/>
      </c>
      <c r="H107" s="2" t="str">
        <f>IF(ISBLANK(태깅기획site_code!F106),"",IF(고객법인일정파일!Q106="X","X",고객법인일정파일!R106))</f>
        <v/>
      </c>
      <c r="I107" s="2" t="str">
        <f>IF(ISBLANK(태깅기획site_code!F106),"",IF(고객법인일정파일!Q106="X","",고객법인일정파일!S106))</f>
        <v/>
      </c>
      <c r="J107" s="16"/>
      <c r="K107" s="1"/>
      <c r="L107" s="1"/>
      <c r="M107" s="25" t="str">
        <f>IF(D107="","",VLOOKUP(D107,고객법인일정파일!$C$5:$J$200,8,0))&amp;""</f>
        <v/>
      </c>
      <c r="N107" s="28" t="str" cm="1">
        <f t="array" ref="N107">_xlfn.TEXTJOIN(CHAR(10), 1, _xlfn._xlws.FILTER('RAW_URL,PageName'!D$2:D$999, ('RAW_URL,PageName'!$C$2:$C$999=$G107)*('RAW_URL,PageName'!$B$2:$B$999="TY"), ""))</f>
        <v/>
      </c>
      <c r="O107" s="28" t="str" cm="1">
        <f t="array" ref="O107">_xlfn.TEXTJOIN(CHAR(10), 1, _xlfn._xlws.FILTER('RAW_URL,PageName'!E$2:E$999, ('RAW_URL,PageName'!$C$2:$C$999=$G107)*('RAW_URL,PageName'!$B$2:$B$999="TY"), ""))</f>
        <v/>
      </c>
      <c r="P107" s="28" t="str" cm="1">
        <f t="array" ref="P107">_xlfn.TEXTJOIN(CHAR(10), 1, _xlfn._xlws.FILTER('RAW_URL,PageName'!F$2:F$999, ('RAW_URL,PageName'!$C$2:$C$999=$G107)*('RAW_URL,PageName'!$B$2:$B$999="TY"), ""))</f>
        <v/>
      </c>
      <c r="Q107" s="28" t="str" cm="1">
        <f t="array" ref="Q107">_xlfn.TEXTJOIN(CHAR(10), 1, _xlfn._xlws.FILTER('RAW_URL,PageName'!D$2:D$999, ('RAW_URL,PageName'!$C$2:$C$999=$G107)*('RAW_URL,PageName'!$B$2:$B$999="LY"), ""))</f>
        <v/>
      </c>
      <c r="R107" s="28" t="str" cm="1">
        <f t="array" ref="R107">_xlfn.TEXTJOIN(CHAR(10), 1, _xlfn._xlws.FILTER('RAW_URL,PageName'!E$2:E$999, ('RAW_URL,PageName'!$C$2:$C$999=$G107)*('RAW_URL,PageName'!$B$2:$B$999="LY"), ""))</f>
        <v/>
      </c>
      <c r="S107" s="28" t="str" cm="1">
        <f t="array" ref="S107">_xlfn.TEXTJOIN(CHAR(10), 1, _xlfn._xlws.FILTER('RAW_URL,PageName'!F$2:F$999, ('RAW_URL,PageName'!$C$2:$C$999=$G107)*('RAW_URL,PageName'!$B$2:$B$999="LY"), ""))</f>
        <v/>
      </c>
      <c r="T107" s="117"/>
      <c r="U107" s="117" t="str">
        <f>IFERROR(VLOOKUP($C107,태깅기획site_code!$N$4:$O$18,2,0),"")</f>
        <v/>
      </c>
      <c r="V107" s="1"/>
      <c r="AB107" s="10"/>
      <c r="AC107" s="9"/>
      <c r="AE107" s="3" t="str">
        <f>IF(AD107="","",IF(IF(AD107&gt;api용!D$2,api용!D$2,AD107)&lt;AC107,"",IF(AD107&gt;api용!D$2,api용!D$2,AD107)))</f>
        <v/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2:50">
      <c r="B108" s="16" t="str">
        <f>IF($G108="","",IFERROR(VLOOKUP($G108,RAW_tier!$B$2:$C$200,2,0),2))</f>
        <v/>
      </c>
      <c r="C108" s="1" t="str">
        <f>IF(ISBLANK(태깅기획site_code!F107),"",태깅기획site_code!C107)</f>
        <v/>
      </c>
      <c r="D108" s="1" t="str">
        <f>IF(ISBLANK(태깅기획site_code!F107),"",IF(고객법인일정파일!P107="한총","SEC",IF(LEN(TRIM(고객법인일정파일!P107))=0,태깅기획site_code!D107,고객법인일정파일!P107)))</f>
        <v/>
      </c>
      <c r="E108" s="1" t="str">
        <f>IF(ISBLANK(태깅기획site_code!F107),"",태깅기획site_code!E107)</f>
        <v/>
      </c>
      <c r="F108" s="1" t="str">
        <f>IF(ISBLANK(태깅기획site_code!F107),"",태깅기획site_code!J107)</f>
        <v/>
      </c>
      <c r="G108" s="1" t="str">
        <f>IF(ISBLANK(태깅기획site_code!B107),"",태깅기획site_code!F107)</f>
        <v/>
      </c>
      <c r="H108" s="2" t="str">
        <f>IF(ISBLANK(태깅기획site_code!F107),"",IF(고객법인일정파일!Q107="X","X",고객법인일정파일!R107))</f>
        <v/>
      </c>
      <c r="I108" s="2" t="str">
        <f>IF(ISBLANK(태깅기획site_code!F107),"",IF(고객법인일정파일!Q107="X","",고객법인일정파일!S107))</f>
        <v/>
      </c>
      <c r="J108" s="16"/>
      <c r="K108" s="1"/>
      <c r="L108" s="1"/>
      <c r="M108" s="25" t="str">
        <f>IF(D108="","",VLOOKUP(D108,고객법인일정파일!$C$5:$J$200,8,0))&amp;""</f>
        <v/>
      </c>
      <c r="N108" s="1"/>
      <c r="O108" s="1"/>
      <c r="P108" s="25"/>
      <c r="Q108" s="1"/>
      <c r="R108" s="1"/>
      <c r="S108" s="25"/>
      <c r="T108" s="1"/>
      <c r="U108" s="1"/>
      <c r="V108" s="1"/>
      <c r="AB108" s="10"/>
      <c r="AC108" s="9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2:50">
      <c r="B109" s="16" t="str">
        <f>IF($G109="","",IFERROR(VLOOKUP($G109,RAW_tier!$B$2:$C$200,2,0),2))</f>
        <v/>
      </c>
      <c r="C109" s="1" t="str">
        <f>IF(ISBLANK(태깅기획site_code!F108),"",태깅기획site_code!C108)</f>
        <v/>
      </c>
      <c r="D109" s="1" t="str">
        <f>IF(ISBLANK(태깅기획site_code!F108),"",IF(고객법인일정파일!P108="한총","SEC",IF(LEN(TRIM(고객법인일정파일!P108))=0,태깅기획site_code!D108,고객법인일정파일!P108)))</f>
        <v/>
      </c>
      <c r="E109" s="1" t="str">
        <f>IF(ISBLANK(태깅기획site_code!F108),"",태깅기획site_code!E108)</f>
        <v/>
      </c>
      <c r="F109" s="1" t="str">
        <f>IF(ISBLANK(태깅기획site_code!F108),"",태깅기획site_code!J108)</f>
        <v/>
      </c>
      <c r="G109" s="1" t="str">
        <f>IF(ISBLANK(태깅기획site_code!B108),"",태깅기획site_code!F108)</f>
        <v/>
      </c>
      <c r="H109" s="2" t="str">
        <f>IF(ISBLANK(태깅기획site_code!F108),"",IF(고객법인일정파일!Q108="X","X",고객법인일정파일!R108))</f>
        <v/>
      </c>
      <c r="I109" s="2" t="str">
        <f>IF(ISBLANK(태깅기획site_code!F108),"",IF(고객법인일정파일!Q108="X","",고객법인일정파일!S108))</f>
        <v/>
      </c>
      <c r="J109" s="16"/>
      <c r="K109" s="1"/>
      <c r="L109" s="1"/>
      <c r="M109" s="25" t="str">
        <f>IF(D109="","",VLOOKUP(D109,고객법인일정파일!$C$5:$J$200,8,0))&amp;""</f>
        <v/>
      </c>
      <c r="N109" s="1"/>
      <c r="O109" s="1"/>
      <c r="P109" s="25"/>
      <c r="Q109" s="1"/>
      <c r="R109" s="1"/>
      <c r="S109" s="25"/>
      <c r="T109" s="1"/>
      <c r="U109" s="1"/>
      <c r="V109" s="1"/>
      <c r="AB109" s="10"/>
      <c r="AC109" s="9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2:50">
      <c r="B110" s="16" t="str">
        <f>IF($G110="","",IFERROR(VLOOKUP($G110,RAW_tier!$B$2:$C$200,2,0),2))</f>
        <v/>
      </c>
      <c r="C110" s="1" t="str">
        <f>IF(ISBLANK(태깅기획site_code!F109),"",태깅기획site_code!C109)</f>
        <v/>
      </c>
      <c r="D110" s="1" t="str">
        <f>IF(ISBLANK(태깅기획site_code!F109),"",IF(고객법인일정파일!P109="한총","SEC",IF(LEN(TRIM(고객법인일정파일!P109))=0,태깅기획site_code!D109,고객법인일정파일!P109)))</f>
        <v/>
      </c>
      <c r="E110" s="1" t="str">
        <f>IF(ISBLANK(태깅기획site_code!F109),"",태깅기획site_code!E109)</f>
        <v/>
      </c>
      <c r="F110" s="1" t="str">
        <f>IF(ISBLANK(태깅기획site_code!F109),"",태깅기획site_code!J109)</f>
        <v/>
      </c>
      <c r="G110" s="1" t="str">
        <f>IF(ISBLANK(태깅기획site_code!B109),"",태깅기획site_code!F109)</f>
        <v/>
      </c>
      <c r="H110" s="2" t="str">
        <f>IF(ISBLANK(태깅기획site_code!F109),"",IF(고객법인일정파일!Q109="X","X",고객법인일정파일!R109))</f>
        <v/>
      </c>
      <c r="I110" s="2" t="str">
        <f>IF(ISBLANK(태깅기획site_code!F109),"",IF(고객법인일정파일!Q109="X","",고객법인일정파일!S109))</f>
        <v/>
      </c>
      <c r="J110" s="16"/>
      <c r="K110" s="1"/>
      <c r="L110" s="1"/>
      <c r="M110" s="25" t="str">
        <f>IF(D110="","",VLOOKUP(D110,고객법인일정파일!$C$5:$J$200,8,0))&amp;""</f>
        <v/>
      </c>
      <c r="N110" s="1"/>
      <c r="O110" s="1"/>
      <c r="P110" s="25"/>
      <c r="Q110" s="1"/>
      <c r="R110" s="1"/>
      <c r="S110" s="25"/>
      <c r="T110" s="1"/>
      <c r="U110" s="1"/>
      <c r="V110" s="1"/>
      <c r="AB110" s="10"/>
      <c r="AC110" s="9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2:50">
      <c r="B111" s="16" t="str">
        <f>IF($G111="","",IFERROR(VLOOKUP($G111,RAW_tier!$B$2:$C$200,2,0),2))</f>
        <v/>
      </c>
      <c r="C111" s="1" t="str">
        <f>IF(ISBLANK(태깅기획site_code!F110),"",태깅기획site_code!C110)</f>
        <v/>
      </c>
      <c r="D111" s="1" t="str">
        <f>IF(ISBLANK(태깅기획site_code!F110),"",IF(고객법인일정파일!P110="한총","SEC",IF(LEN(TRIM(고객법인일정파일!P110))=0,태깅기획site_code!D110,고객법인일정파일!P110)))</f>
        <v/>
      </c>
      <c r="E111" s="1" t="str">
        <f>IF(ISBLANK(태깅기획site_code!F110),"",태깅기획site_code!E110)</f>
        <v/>
      </c>
      <c r="F111" s="1" t="str">
        <f>IF(ISBLANK(태깅기획site_code!F110),"",태깅기획site_code!J110)</f>
        <v/>
      </c>
      <c r="G111" s="1" t="str">
        <f>IF(ISBLANK(태깅기획site_code!B110),"",태깅기획site_code!F110)</f>
        <v/>
      </c>
      <c r="H111" s="2" t="str">
        <f>IF(ISBLANK(태깅기획site_code!F110),"",IF(고객법인일정파일!Q110="X","X",고객법인일정파일!R110))</f>
        <v/>
      </c>
      <c r="I111" s="2" t="str">
        <f>IF(ISBLANK(태깅기획site_code!F110),"",IF(고객법인일정파일!Q110="X","",고객법인일정파일!S110))</f>
        <v/>
      </c>
      <c r="J111" s="16"/>
      <c r="K111" s="1"/>
      <c r="L111" s="1"/>
      <c r="M111" s="25" t="str">
        <f>IF(D111="","",VLOOKUP(D111,고객법인일정파일!$C$5:$J$200,8,0))&amp;""</f>
        <v/>
      </c>
      <c r="N111" s="1"/>
      <c r="O111" s="1"/>
      <c r="P111" s="25"/>
      <c r="Q111" s="1"/>
      <c r="R111" s="1"/>
      <c r="S111" s="25"/>
      <c r="T111" s="1"/>
      <c r="U111" s="1"/>
      <c r="V111" s="1"/>
      <c r="AB111" s="10"/>
      <c r="AC111" s="9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2:50">
      <c r="B112" s="16" t="str">
        <f>IF($G112="","",IFERROR(VLOOKUP($G112,RAW_tier!$B$2:$C$200,2,0),2))</f>
        <v/>
      </c>
      <c r="C112" s="1" t="str">
        <f>IF(ISBLANK(태깅기획site_code!F111),"",태깅기획site_code!C111)</f>
        <v/>
      </c>
      <c r="D112" s="1" t="str">
        <f>IF(ISBLANK(태깅기획site_code!F111),"",IF(고객법인일정파일!P111="한총","SEC",IF(LEN(TRIM(고객법인일정파일!P111))=0,태깅기획site_code!D111,고객법인일정파일!P111)))</f>
        <v/>
      </c>
      <c r="E112" s="1" t="str">
        <f>IF(ISBLANK(태깅기획site_code!F111),"",태깅기획site_code!E111)</f>
        <v/>
      </c>
      <c r="F112" s="1" t="str">
        <f>IF(ISBLANK(태깅기획site_code!F111),"",태깅기획site_code!J111)</f>
        <v/>
      </c>
      <c r="G112" s="1" t="str">
        <f>IF(ISBLANK(태깅기획site_code!B111),"",태깅기획site_code!F111)</f>
        <v/>
      </c>
      <c r="H112" s="2" t="str">
        <f>IF(ISBLANK(태깅기획site_code!F111),"",IF(고객법인일정파일!Q111="X","X",고객법인일정파일!R111))</f>
        <v/>
      </c>
      <c r="I112" s="2" t="str">
        <f>IF(ISBLANK(태깅기획site_code!F111),"",IF(고객법인일정파일!Q111="X","",고객법인일정파일!S111))</f>
        <v/>
      </c>
      <c r="J112" s="16"/>
      <c r="K112" s="1"/>
      <c r="L112" s="1"/>
      <c r="M112" s="25" t="str">
        <f>IF(D112="","",VLOOKUP(D112,고객법인일정파일!$C$5:$J$200,8,0))&amp;""</f>
        <v/>
      </c>
      <c r="N112" s="1"/>
      <c r="O112" s="1"/>
      <c r="P112" s="25"/>
      <c r="Q112" s="1"/>
      <c r="R112" s="1"/>
      <c r="S112" s="25"/>
      <c r="T112" s="1"/>
      <c r="U112" s="1"/>
      <c r="V112" s="1"/>
      <c r="AB112" s="10"/>
      <c r="AC112" s="9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2:50">
      <c r="B113" s="16" t="str">
        <f>IF($G113="","",IFERROR(VLOOKUP($G113,RAW_tier!$B$2:$C$200,2,0),2))</f>
        <v/>
      </c>
      <c r="C113" s="1" t="str">
        <f>IF(ISBLANK(태깅기획site_code!F112),"",태깅기획site_code!C112)</f>
        <v/>
      </c>
      <c r="D113" s="1" t="str">
        <f>IF(ISBLANK(태깅기획site_code!F112),"",IF(고객법인일정파일!P112="한총","SEC",IF(LEN(TRIM(고객법인일정파일!P112))=0,태깅기획site_code!D112,고객법인일정파일!P112)))</f>
        <v/>
      </c>
      <c r="E113" s="1" t="str">
        <f>IF(ISBLANK(태깅기획site_code!F112),"",태깅기획site_code!E112)</f>
        <v/>
      </c>
      <c r="F113" s="1" t="str">
        <f>IF(ISBLANK(태깅기획site_code!F112),"",태깅기획site_code!J112)</f>
        <v/>
      </c>
      <c r="G113" s="1" t="str">
        <f>IF(ISBLANK(태깅기획site_code!B112),"",태깅기획site_code!F112)</f>
        <v/>
      </c>
      <c r="H113" s="2" t="str">
        <f>IF(ISBLANK(태깅기획site_code!F112),"",IF(고객법인일정파일!Q112="X","X",고객법인일정파일!R112))</f>
        <v/>
      </c>
      <c r="I113" s="2" t="str">
        <f>IF(ISBLANK(태깅기획site_code!F112),"",IF(고객법인일정파일!Q112="X","",고객법인일정파일!S112))</f>
        <v/>
      </c>
      <c r="J113" s="16"/>
      <c r="K113" s="1"/>
      <c r="L113" s="1"/>
      <c r="M113" s="25" t="str">
        <f>IF(D113="","",VLOOKUP(D113,고객법인일정파일!$C$5:$J$200,8,0))&amp;""</f>
        <v/>
      </c>
      <c r="N113" s="1"/>
      <c r="O113" s="1"/>
      <c r="P113" s="25"/>
      <c r="Q113" s="1"/>
      <c r="R113" s="1"/>
      <c r="S113" s="25"/>
      <c r="T113" s="1"/>
      <c r="U113" s="1"/>
      <c r="V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2:50">
      <c r="B114" s="16" t="str">
        <f>IF($G114="","",IFERROR(VLOOKUP($G114,RAW_tier!$B$2:$C$200,2,0),2))</f>
        <v/>
      </c>
      <c r="C114" s="1" t="str">
        <f>IF(ISBLANK(태깅기획site_code!F113),"",태깅기획site_code!C113)</f>
        <v/>
      </c>
      <c r="D114" s="1" t="str">
        <f>IF(ISBLANK(태깅기획site_code!F113),"",IF(고객법인일정파일!P113="한총","SEC",IF(LEN(TRIM(고객법인일정파일!P113))=0,태깅기획site_code!D113,고객법인일정파일!P113)))</f>
        <v/>
      </c>
      <c r="E114" s="1" t="str">
        <f>IF(ISBLANK(태깅기획site_code!F113),"",태깅기획site_code!E113)</f>
        <v/>
      </c>
      <c r="F114" s="1" t="str">
        <f>IF(ISBLANK(태깅기획site_code!F113),"",태깅기획site_code!J113)</f>
        <v/>
      </c>
      <c r="G114" s="1" t="str">
        <f>IF(ISBLANK(태깅기획site_code!B113),"",태깅기획site_code!F113)</f>
        <v/>
      </c>
      <c r="H114" s="2" t="str">
        <f>IF(ISBLANK(태깅기획site_code!F113),"",IF(고객법인일정파일!Q113="X","X",고객법인일정파일!R113))</f>
        <v/>
      </c>
      <c r="I114" s="2" t="str">
        <f>IF(ISBLANK(태깅기획site_code!F113),"",IF(고객법인일정파일!Q113="X","",고객법인일정파일!S113))</f>
        <v/>
      </c>
      <c r="J114" s="16"/>
      <c r="K114" s="1"/>
      <c r="L114" s="1"/>
      <c r="M114" s="25" t="str">
        <f>IF(D114="","",VLOOKUP(D114,고객법인일정파일!$C$5:$J$200,8,0))&amp;""</f>
        <v/>
      </c>
      <c r="N114" s="1"/>
      <c r="O114" s="1"/>
      <c r="P114" s="25"/>
      <c r="Q114" s="1"/>
      <c r="R114" s="1"/>
      <c r="S114" s="25"/>
      <c r="T114" s="1"/>
      <c r="U114" s="1"/>
      <c r="V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2:50">
      <c r="B115" s="16" t="str">
        <f>IF($G115="","",IFERROR(VLOOKUP($G115,RAW_tier!$B$2:$C$200,2,0),2))</f>
        <v/>
      </c>
      <c r="C115" s="1" t="str">
        <f>IF(ISBLANK(태깅기획site_code!F114),"",태깅기획site_code!C114)</f>
        <v/>
      </c>
      <c r="D115" s="1" t="str">
        <f>IF(ISBLANK(태깅기획site_code!F114),"",IF(고객법인일정파일!P114="한총","SEC",IF(LEN(TRIM(고객법인일정파일!P114))=0,태깅기획site_code!D114,고객법인일정파일!P114)))</f>
        <v/>
      </c>
      <c r="E115" s="1" t="str">
        <f>IF(ISBLANK(태깅기획site_code!F114),"",태깅기획site_code!E114)</f>
        <v/>
      </c>
      <c r="F115" s="1" t="str">
        <f>IF(ISBLANK(태깅기획site_code!F114),"",태깅기획site_code!J114)</f>
        <v/>
      </c>
      <c r="G115" s="1" t="str">
        <f>IF(ISBLANK(태깅기획site_code!B114),"",태깅기획site_code!F114)</f>
        <v/>
      </c>
      <c r="H115" s="2" t="str">
        <f>IF(ISBLANK(태깅기획site_code!F114),"",IF(고객법인일정파일!Q114="X","X",고객법인일정파일!R114))</f>
        <v/>
      </c>
      <c r="I115" s="2" t="str">
        <f>IF(ISBLANK(태깅기획site_code!F114),"",IF(고객법인일정파일!Q114="X","",고객법인일정파일!S114))</f>
        <v/>
      </c>
      <c r="J115" s="16"/>
      <c r="K115" s="1"/>
      <c r="L115" s="1"/>
      <c r="M115" s="25" t="str">
        <f>IF(D115="","",VLOOKUP(D115,고객법인일정파일!$C$5:$J$200,8,0))&amp;""</f>
        <v/>
      </c>
      <c r="N115" s="1"/>
      <c r="O115" s="1"/>
      <c r="P115" s="25"/>
      <c r="Q115" s="1"/>
      <c r="R115" s="1"/>
      <c r="S115" s="25"/>
      <c r="T115" s="1"/>
      <c r="U115" s="1"/>
      <c r="V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2:50">
      <c r="B116" s="16" t="str">
        <f>IF($G116="","",IFERROR(VLOOKUP($G116,RAW_tier!$B$2:$C$200,2,0),2))</f>
        <v/>
      </c>
      <c r="C116" s="1" t="str">
        <f>IF(ISBLANK(태깅기획site_code!F115),"",태깅기획site_code!C115)</f>
        <v/>
      </c>
      <c r="D116" s="1" t="str">
        <f>IF(ISBLANK(태깅기획site_code!F115),"",IF(고객법인일정파일!P115="한총","SEC",IF(LEN(TRIM(고객법인일정파일!P115))=0,태깅기획site_code!D115,고객법인일정파일!P115)))</f>
        <v/>
      </c>
      <c r="E116" s="1" t="str">
        <f>IF(ISBLANK(태깅기획site_code!F115),"",태깅기획site_code!E115)</f>
        <v/>
      </c>
      <c r="F116" s="1" t="str">
        <f>IF(ISBLANK(태깅기획site_code!F115),"",태깅기획site_code!J115)</f>
        <v/>
      </c>
      <c r="G116" s="1" t="str">
        <f>IF(ISBLANK(태깅기획site_code!B115),"",태깅기획site_code!F115)</f>
        <v/>
      </c>
      <c r="H116" s="2" t="str">
        <f>IF(ISBLANK(태깅기획site_code!F115),"",IF(고객법인일정파일!Q115="X","X",고객법인일정파일!R115))</f>
        <v/>
      </c>
      <c r="I116" s="2" t="str">
        <f>IF(ISBLANK(태깅기획site_code!F115),"",IF(고객법인일정파일!Q115="X","",고객법인일정파일!S115))</f>
        <v/>
      </c>
      <c r="J116" s="16"/>
      <c r="K116" s="1"/>
      <c r="L116" s="1"/>
      <c r="M116" s="25" t="str">
        <f>IF(D116="","",VLOOKUP(D116,고객법인일정파일!$C$5:$J$200,8,0))&amp;""</f>
        <v/>
      </c>
      <c r="N116" s="1"/>
      <c r="O116" s="1"/>
      <c r="P116" s="25"/>
      <c r="Q116" s="1"/>
      <c r="R116" s="1"/>
      <c r="S116" s="25"/>
      <c r="T116" s="1"/>
      <c r="U116" s="1"/>
      <c r="V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2:50">
      <c r="B117" s="16" t="str">
        <f>IF($G117="","",IFERROR(VLOOKUP($G117,RAW_tier!$B$2:$C$200,2,0),2))</f>
        <v/>
      </c>
      <c r="C117" s="1" t="str">
        <f>IF(ISBLANK(태깅기획site_code!F116),"",태깅기획site_code!C116)</f>
        <v/>
      </c>
      <c r="D117" s="1" t="str">
        <f>IF(ISBLANK(태깅기획site_code!F116),"",IF(고객법인일정파일!P116="한총","SEC",IF(LEN(TRIM(고객법인일정파일!P116))=0,태깅기획site_code!D116,고객법인일정파일!P116)))</f>
        <v/>
      </c>
      <c r="E117" s="1" t="str">
        <f>IF(ISBLANK(태깅기획site_code!F116),"",태깅기획site_code!E116)</f>
        <v/>
      </c>
      <c r="F117" s="1" t="str">
        <f>IF(ISBLANK(태깅기획site_code!F116),"",태깅기획site_code!J116)</f>
        <v/>
      </c>
      <c r="G117" s="1" t="str">
        <f>IF(ISBLANK(태깅기획site_code!B116),"",태깅기획site_code!F116)</f>
        <v/>
      </c>
      <c r="H117" s="2" t="str">
        <f>IF(ISBLANK(태깅기획site_code!F116),"",IF(고객법인일정파일!Q116="X","X",고객법인일정파일!R116))</f>
        <v/>
      </c>
      <c r="I117" s="2" t="str">
        <f>IF(ISBLANK(태깅기획site_code!F116),"",IF(고객법인일정파일!Q116="X","",고객법인일정파일!S116))</f>
        <v/>
      </c>
      <c r="J117" s="16"/>
      <c r="K117" s="1"/>
      <c r="L117" s="1"/>
      <c r="M117" s="25" t="str">
        <f>IF(D117="","",VLOOKUP(D117,고객법인일정파일!$C$5:$J$200,8,0))&amp;""</f>
        <v/>
      </c>
      <c r="N117" s="1"/>
      <c r="O117" s="1"/>
      <c r="P117" s="25"/>
      <c r="Q117" s="1"/>
      <c r="R117" s="1"/>
      <c r="S117" s="25"/>
      <c r="T117" s="1"/>
      <c r="U117" s="1"/>
      <c r="V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2:50">
      <c r="B118" s="16" t="str">
        <f>IF($G118="","",IFERROR(VLOOKUP($G118,RAW_tier!$B$2:$C$200,2,0),2))</f>
        <v/>
      </c>
      <c r="C118" s="1" t="str">
        <f>IF(ISBLANK(태깅기획site_code!F117),"",태깅기획site_code!C117)</f>
        <v/>
      </c>
      <c r="D118" s="1" t="str">
        <f>IF(ISBLANK(태깅기획site_code!F117),"",IF(고객법인일정파일!P117="한총","SEC",IF(LEN(TRIM(고객법인일정파일!P117))=0,태깅기획site_code!D117,고객법인일정파일!P117)))</f>
        <v/>
      </c>
      <c r="E118" s="1" t="str">
        <f>IF(ISBLANK(태깅기획site_code!F117),"",태깅기획site_code!E117)</f>
        <v/>
      </c>
      <c r="F118" s="1" t="str">
        <f>IF(ISBLANK(태깅기획site_code!F117),"",태깅기획site_code!J117)</f>
        <v/>
      </c>
      <c r="G118" s="1" t="str">
        <f>IF(ISBLANK(태깅기획site_code!B117),"",태깅기획site_code!F117)</f>
        <v/>
      </c>
      <c r="H118" s="2" t="str">
        <f>IF(ISBLANK(태깅기획site_code!F117),"",IF(고객법인일정파일!Q117="X","X",고객법인일정파일!R117))</f>
        <v/>
      </c>
      <c r="I118" s="2" t="str">
        <f>IF(ISBLANK(태깅기획site_code!F117),"",IF(고객법인일정파일!Q117="X","",고객법인일정파일!S117))</f>
        <v/>
      </c>
      <c r="J118" s="16"/>
      <c r="K118" s="1"/>
      <c r="L118" s="1"/>
      <c r="M118" s="25" t="str">
        <f>IF(D118="","",VLOOKUP(D118,고객법인일정파일!$C$5:$J$200,8,0))&amp;""</f>
        <v/>
      </c>
      <c r="N118" s="1"/>
      <c r="O118" s="1"/>
      <c r="P118" s="25"/>
      <c r="Q118" s="1"/>
      <c r="R118" s="1"/>
      <c r="S118" s="25"/>
      <c r="T118" s="1"/>
      <c r="U118" s="1"/>
      <c r="V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2:50">
      <c r="B119" s="16" t="str">
        <f>IF($G119="","",IFERROR(VLOOKUP($G119,RAW_tier!$B$2:$C$200,2,0),2))</f>
        <v/>
      </c>
      <c r="C119" s="1" t="str">
        <f>IF(ISBLANK(태깅기획site_code!F118),"",태깅기획site_code!C118)</f>
        <v/>
      </c>
      <c r="D119" s="1" t="str">
        <f>IF(ISBLANK(태깅기획site_code!F118),"",IF(고객법인일정파일!P118="한총","SEC",IF(LEN(TRIM(고객법인일정파일!P118))=0,태깅기획site_code!D118,고객법인일정파일!P118)))</f>
        <v/>
      </c>
      <c r="E119" s="1" t="str">
        <f>IF(ISBLANK(태깅기획site_code!F118),"",태깅기획site_code!E118)</f>
        <v/>
      </c>
      <c r="F119" s="1" t="str">
        <f>IF(ISBLANK(태깅기획site_code!F118),"",태깅기획site_code!J118)</f>
        <v/>
      </c>
      <c r="G119" s="1" t="str">
        <f>IF(ISBLANK(태깅기획site_code!B118),"",태깅기획site_code!F118)</f>
        <v/>
      </c>
      <c r="H119" s="2" t="str">
        <f>IF(ISBLANK(태깅기획site_code!F118),"",IF(고객법인일정파일!Q118="X","X",고객법인일정파일!R118))</f>
        <v/>
      </c>
      <c r="I119" s="2" t="str">
        <f>IF(ISBLANK(태깅기획site_code!F118),"",IF(고객법인일정파일!Q118="X","",고객법인일정파일!S118))</f>
        <v/>
      </c>
      <c r="J119" s="16"/>
      <c r="K119" s="1"/>
      <c r="L119" s="1"/>
      <c r="M119" s="25" t="str">
        <f>IF(D119="","",VLOOKUP(D119,고객법인일정파일!$C$5:$J$200,8,0))&amp;""</f>
        <v/>
      </c>
      <c r="N119" s="1"/>
      <c r="O119" s="1"/>
      <c r="P119" s="25"/>
      <c r="Q119" s="1"/>
      <c r="R119" s="1"/>
      <c r="S119" s="25"/>
      <c r="T119" s="1"/>
      <c r="U119" s="1"/>
      <c r="V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2:50">
      <c r="B120" s="16" t="str">
        <f>IF($G120="","",IFERROR(VLOOKUP($G120,RAW_tier!$B$2:$C$200,2,0),2))</f>
        <v/>
      </c>
      <c r="C120" s="1" t="str">
        <f>IF(ISBLANK(태깅기획site_code!F119),"",태깅기획site_code!C119)</f>
        <v/>
      </c>
      <c r="D120" s="1" t="str">
        <f>IF(ISBLANK(태깅기획site_code!F119),"",IF(고객법인일정파일!P119="한총","SEC",IF(LEN(TRIM(고객법인일정파일!P119))=0,태깅기획site_code!D119,고객법인일정파일!P119)))</f>
        <v/>
      </c>
      <c r="E120" s="1" t="str">
        <f>IF(ISBLANK(태깅기획site_code!F119),"",태깅기획site_code!E119)</f>
        <v/>
      </c>
      <c r="F120" s="1" t="str">
        <f>IF(ISBLANK(태깅기획site_code!F119),"",태깅기획site_code!J119)</f>
        <v/>
      </c>
      <c r="G120" s="1" t="str">
        <f>IF(ISBLANK(태깅기획site_code!B119),"",태깅기획site_code!F119)</f>
        <v/>
      </c>
      <c r="H120" s="2" t="str">
        <f>IF(ISBLANK(태깅기획site_code!F119),"",IF(고객법인일정파일!Q119="X","X",고객법인일정파일!R119))</f>
        <v/>
      </c>
      <c r="I120" s="2" t="str">
        <f>IF(ISBLANK(태깅기획site_code!F119),"",IF(고객법인일정파일!Q119="X","",고객법인일정파일!S119))</f>
        <v/>
      </c>
      <c r="J120" s="16"/>
      <c r="K120" s="1"/>
      <c r="L120" s="1"/>
      <c r="M120" s="25" t="str">
        <f>IF(D120="","",VLOOKUP(D120,고객법인일정파일!$C$5:$J$200,8,0))&amp;""</f>
        <v/>
      </c>
      <c r="N120" s="1"/>
      <c r="O120" s="1"/>
      <c r="P120" s="25"/>
      <c r="Q120" s="1"/>
      <c r="R120" s="1"/>
      <c r="S120" s="25"/>
      <c r="T120" s="1"/>
      <c r="U120" s="1"/>
      <c r="V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2:50">
      <c r="B121" s="16" t="str">
        <f>IF($G121="","",IFERROR(VLOOKUP($G121,RAW_tier!$B$2:$C$200,2,0),2))</f>
        <v/>
      </c>
      <c r="C121" s="1" t="str">
        <f>IF(ISBLANK(태깅기획site_code!F120),"",태깅기획site_code!C120)</f>
        <v/>
      </c>
      <c r="D121" s="1" t="str">
        <f>IF(ISBLANK(태깅기획site_code!F120),"",IF(고객법인일정파일!P120="한총","SEC",IF(LEN(TRIM(고객법인일정파일!P120))=0,태깅기획site_code!D120,고객법인일정파일!P120)))</f>
        <v/>
      </c>
      <c r="E121" s="1" t="str">
        <f>IF(ISBLANK(태깅기획site_code!F120),"",태깅기획site_code!E120)</f>
        <v/>
      </c>
      <c r="F121" s="1" t="str">
        <f>IF(ISBLANK(태깅기획site_code!F120),"",태깅기획site_code!J120)</f>
        <v/>
      </c>
      <c r="G121" s="1" t="str">
        <f>IF(ISBLANK(태깅기획site_code!B120),"",태깅기획site_code!F120)</f>
        <v/>
      </c>
      <c r="H121" s="2" t="str">
        <f>IF(ISBLANK(태깅기획site_code!F120),"",IF(고객법인일정파일!Q120="X","X",고객법인일정파일!R120))</f>
        <v/>
      </c>
      <c r="I121" s="2" t="str">
        <f>IF(ISBLANK(태깅기획site_code!F120),"",IF(고객법인일정파일!Q120="X","",고객법인일정파일!S120))</f>
        <v/>
      </c>
      <c r="J121" s="16"/>
      <c r="K121" s="1"/>
      <c r="L121" s="1"/>
      <c r="M121" s="25" t="str">
        <f>IF(D121="","",VLOOKUP(D121,고객법인일정파일!$C$5:$J$200,8,0))&amp;""</f>
        <v/>
      </c>
      <c r="N121" s="1"/>
      <c r="O121" s="1"/>
      <c r="P121" s="25"/>
      <c r="Q121" s="1"/>
      <c r="R121" s="1"/>
      <c r="S121" s="25"/>
      <c r="T121" s="1"/>
      <c r="U121" s="1"/>
      <c r="V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2:50">
      <c r="B122" s="16" t="str">
        <f>IF($G122="","",IFERROR(VLOOKUP($G122,RAW_tier!$B$2:$C$200,2,0),2))</f>
        <v/>
      </c>
      <c r="C122" s="1" t="str">
        <f>IF(ISBLANK(태깅기획site_code!F121),"",태깅기획site_code!C121)</f>
        <v/>
      </c>
      <c r="D122" s="1" t="str">
        <f>IF(ISBLANK(태깅기획site_code!F121),"",IF(고객법인일정파일!P121="한총","SEC",IF(LEN(TRIM(고객법인일정파일!P121))=0,태깅기획site_code!D121,고객법인일정파일!P121)))</f>
        <v/>
      </c>
      <c r="E122" s="1" t="str">
        <f>IF(ISBLANK(태깅기획site_code!F121),"",태깅기획site_code!E121)</f>
        <v/>
      </c>
      <c r="F122" s="1" t="str">
        <f>IF(ISBLANK(태깅기획site_code!F121),"",태깅기획site_code!J121)</f>
        <v/>
      </c>
      <c r="G122" s="1" t="str">
        <f>IF(ISBLANK(태깅기획site_code!B121),"",태깅기획site_code!F121)</f>
        <v/>
      </c>
      <c r="H122" s="2" t="str">
        <f>IF(ISBLANK(태깅기획site_code!F121),"",IF(고객법인일정파일!Q121="X","X",고객법인일정파일!R121))</f>
        <v/>
      </c>
      <c r="I122" s="2" t="str">
        <f>IF(ISBLANK(태깅기획site_code!F121),"",IF(고객법인일정파일!Q121="X","",고객법인일정파일!S121))</f>
        <v/>
      </c>
      <c r="J122" s="16"/>
      <c r="K122" s="1"/>
      <c r="L122" s="1"/>
      <c r="M122" s="25" t="str">
        <f>IF(D122="","",VLOOKUP(D122,고객법인일정파일!$C$5:$J$200,8,0))&amp;""</f>
        <v/>
      </c>
      <c r="N122" s="1"/>
      <c r="O122" s="1"/>
      <c r="P122" s="25"/>
      <c r="Q122" s="1"/>
      <c r="R122" s="1"/>
      <c r="S122" s="25"/>
      <c r="T122" s="1"/>
      <c r="U122" s="1"/>
      <c r="V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2:50">
      <c r="B123" s="16" t="str">
        <f>IF($G123="","",IFERROR(VLOOKUP($G123,RAW_tier!$B$2:$C$200,2,0),2))</f>
        <v/>
      </c>
      <c r="C123" s="1" t="str">
        <f>IF(ISBLANK(태깅기획site_code!F122),"",태깅기획site_code!C122)</f>
        <v/>
      </c>
      <c r="D123" s="1" t="str">
        <f>IF(ISBLANK(태깅기획site_code!F122),"",IF(고객법인일정파일!P122="한총","SEC",IF(LEN(TRIM(고객법인일정파일!P122))=0,태깅기획site_code!D122,고객법인일정파일!P122)))</f>
        <v/>
      </c>
      <c r="E123" s="1" t="str">
        <f>IF(ISBLANK(태깅기획site_code!F122),"",태깅기획site_code!E122)</f>
        <v/>
      </c>
      <c r="F123" s="1" t="str">
        <f>IF(ISBLANK(태깅기획site_code!F122),"",태깅기획site_code!J122)</f>
        <v/>
      </c>
      <c r="G123" s="1" t="str">
        <f>IF(ISBLANK(태깅기획site_code!B122),"",태깅기획site_code!F122)</f>
        <v/>
      </c>
      <c r="H123" s="2" t="str">
        <f>IF(ISBLANK(태깅기획site_code!F122),"",IF(고객법인일정파일!Q122="X","X",고객법인일정파일!R122))</f>
        <v/>
      </c>
      <c r="I123" s="2" t="str">
        <f>IF(ISBLANK(태깅기획site_code!F122),"",IF(고객법인일정파일!Q122="X","",고객법인일정파일!S122))</f>
        <v/>
      </c>
      <c r="J123" s="16"/>
      <c r="K123" s="1"/>
      <c r="L123" s="1"/>
      <c r="M123" s="25" t="str">
        <f>IF(D123="","",VLOOKUP(D123,고객법인일정파일!$C$5:$J$200,8,0))&amp;""</f>
        <v/>
      </c>
      <c r="N123" s="1"/>
      <c r="O123" s="1"/>
      <c r="P123" s="25"/>
      <c r="Q123" s="1"/>
      <c r="R123" s="1"/>
      <c r="S123" s="25"/>
      <c r="T123" s="1"/>
      <c r="U123" s="1"/>
      <c r="V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2:50">
      <c r="B124" s="16" t="str">
        <f>IF($G124="","",IFERROR(VLOOKUP($G124,RAW_tier!$B$2:$C$200,2,0),2))</f>
        <v/>
      </c>
      <c r="C124" s="1" t="str">
        <f>IF(ISBLANK(태깅기획site_code!F123),"",태깅기획site_code!C123)</f>
        <v/>
      </c>
      <c r="D124" s="1" t="str">
        <f>IF(ISBLANK(태깅기획site_code!F123),"",IF(고객법인일정파일!P123="한총","SEC",IF(LEN(TRIM(고객법인일정파일!P123))=0,태깅기획site_code!D123,고객법인일정파일!P123)))</f>
        <v/>
      </c>
      <c r="E124" s="1" t="str">
        <f>IF(ISBLANK(태깅기획site_code!F123),"",태깅기획site_code!E123)</f>
        <v/>
      </c>
      <c r="F124" s="1" t="str">
        <f>IF(ISBLANK(태깅기획site_code!F123),"",태깅기획site_code!J123)</f>
        <v/>
      </c>
      <c r="G124" s="1" t="str">
        <f>IF(ISBLANK(태깅기획site_code!B123),"",태깅기획site_code!F123)</f>
        <v/>
      </c>
      <c r="H124" s="2" t="str">
        <f>IF(ISBLANK(태깅기획site_code!F123),"",IF(고객법인일정파일!Q123="X","X",고객법인일정파일!R123))</f>
        <v/>
      </c>
      <c r="I124" s="2" t="str">
        <f>IF(ISBLANK(태깅기획site_code!F123),"",IF(고객법인일정파일!Q123="X","",고객법인일정파일!S123))</f>
        <v/>
      </c>
      <c r="J124" s="16"/>
      <c r="K124" s="1"/>
      <c r="L124" s="1"/>
      <c r="M124" s="25" t="str">
        <f>IF(D124="","",VLOOKUP(D124,고객법인일정파일!$C$5:$J$200,8,0))&amp;""</f>
        <v/>
      </c>
      <c r="N124" s="1"/>
      <c r="O124" s="1"/>
      <c r="P124" s="25"/>
      <c r="Q124" s="1"/>
      <c r="R124" s="1"/>
      <c r="S124" s="25"/>
      <c r="T124" s="1"/>
      <c r="U124" s="1"/>
      <c r="V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2:50">
      <c r="B125" s="16" t="str">
        <f>IF($G125="","",IFERROR(VLOOKUP($G125,RAW_tier!$B$2:$C$200,2,0),2))</f>
        <v/>
      </c>
      <c r="C125" s="1" t="str">
        <f>IF(ISBLANK(태깅기획site_code!F124),"",태깅기획site_code!C124)</f>
        <v/>
      </c>
      <c r="D125" s="1" t="str">
        <f>IF(ISBLANK(태깅기획site_code!F124),"",IF(고객법인일정파일!P124="한총","SEC",IF(LEN(TRIM(고객법인일정파일!P124))=0,태깅기획site_code!D124,고객법인일정파일!P124)))</f>
        <v/>
      </c>
      <c r="E125" s="1" t="str">
        <f>IF(ISBLANK(태깅기획site_code!F124),"",태깅기획site_code!E124)</f>
        <v/>
      </c>
      <c r="F125" s="1" t="str">
        <f>IF(ISBLANK(태깅기획site_code!F124),"",태깅기획site_code!J124)</f>
        <v/>
      </c>
      <c r="G125" s="1" t="str">
        <f>IF(ISBLANK(태깅기획site_code!B124),"",태깅기획site_code!F124)</f>
        <v/>
      </c>
      <c r="H125" s="2" t="str">
        <f>IF(ISBLANK(태깅기획site_code!F124),"",IF(고객법인일정파일!Q124="X","X",고객법인일정파일!R124))</f>
        <v/>
      </c>
      <c r="I125" s="2" t="str">
        <f>IF(ISBLANK(태깅기획site_code!F124),"",IF(고객법인일정파일!Q124="X","",고객법인일정파일!S124))</f>
        <v/>
      </c>
      <c r="J125" s="16"/>
      <c r="K125" s="1"/>
      <c r="L125" s="1"/>
      <c r="M125" s="25" t="str">
        <f>IF(D125="","",VLOOKUP(D125,고객법인일정파일!$C$5:$J$200,8,0))&amp;""</f>
        <v/>
      </c>
      <c r="N125" s="1"/>
      <c r="O125" s="1"/>
      <c r="P125" s="25"/>
      <c r="Q125" s="1"/>
      <c r="R125" s="1"/>
      <c r="S125" s="25"/>
      <c r="T125" s="1"/>
      <c r="U125" s="1"/>
      <c r="V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2:50">
      <c r="B126" s="16" t="str">
        <f>IF($G126="","",IFERROR(VLOOKUP($G126,RAW_tier!$B$2:$C$200,2,0),2))</f>
        <v/>
      </c>
      <c r="C126" s="1" t="str">
        <f>IF(ISBLANK(태깅기획site_code!F125),"",태깅기획site_code!C125)</f>
        <v/>
      </c>
      <c r="D126" s="1" t="str">
        <f>IF(ISBLANK(태깅기획site_code!F125),"",IF(고객법인일정파일!P125="한총","SEC",IF(LEN(TRIM(고객법인일정파일!P125))=0,태깅기획site_code!D125,고객법인일정파일!P125)))</f>
        <v/>
      </c>
      <c r="E126" s="1" t="str">
        <f>IF(ISBLANK(태깅기획site_code!F125),"",태깅기획site_code!E125)</f>
        <v/>
      </c>
      <c r="F126" s="1" t="str">
        <f>IF(ISBLANK(태깅기획site_code!F125),"",태깅기획site_code!J125)</f>
        <v/>
      </c>
      <c r="G126" s="1" t="str">
        <f>IF(ISBLANK(태깅기획site_code!B125),"",태깅기획site_code!F125)</f>
        <v/>
      </c>
      <c r="H126" s="2" t="str">
        <f>IF(ISBLANK(태깅기획site_code!F125),"",IF(고객법인일정파일!Q125="X","X",고객법인일정파일!R125))</f>
        <v/>
      </c>
      <c r="I126" s="2" t="str">
        <f>IF(ISBLANK(태깅기획site_code!F125),"",IF(고객법인일정파일!Q125="X","",고객법인일정파일!S125))</f>
        <v/>
      </c>
      <c r="J126" s="16"/>
      <c r="K126" s="1"/>
      <c r="L126" s="1"/>
      <c r="M126" s="25" t="str">
        <f>IF(D126="","",VLOOKUP(D126,고객법인일정파일!$C$5:$J$200,8,0))&amp;""</f>
        <v/>
      </c>
      <c r="N126" s="1"/>
      <c r="O126" s="1"/>
      <c r="P126" s="25"/>
      <c r="Q126" s="1"/>
      <c r="R126" s="1"/>
      <c r="S126" s="25"/>
      <c r="T126" s="1"/>
      <c r="U126" s="1"/>
      <c r="V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2:50">
      <c r="B127" s="16" t="str">
        <f>IF($G127="","",IFERROR(VLOOKUP($G127,RAW_tier!$B$2:$C$200,2,0),2))</f>
        <v/>
      </c>
      <c r="C127" s="1" t="str">
        <f>IF(ISBLANK(태깅기획site_code!F126),"",태깅기획site_code!C126)</f>
        <v/>
      </c>
      <c r="D127" s="1" t="str">
        <f>IF(ISBLANK(태깅기획site_code!F126),"",IF(고객법인일정파일!P126="한총","SEC",IF(LEN(TRIM(고객법인일정파일!P126))=0,태깅기획site_code!D126,고객법인일정파일!P126)))</f>
        <v/>
      </c>
      <c r="E127" s="1" t="str">
        <f>IF(ISBLANK(태깅기획site_code!F126),"",태깅기획site_code!E126)</f>
        <v/>
      </c>
      <c r="F127" s="1" t="str">
        <f>IF(ISBLANK(태깅기획site_code!F126),"",태깅기획site_code!J126)</f>
        <v/>
      </c>
      <c r="G127" s="1" t="str">
        <f>IF(ISBLANK(태깅기획site_code!B126),"",태깅기획site_code!F126)</f>
        <v/>
      </c>
      <c r="H127" s="2" t="str">
        <f>IF(ISBLANK(태깅기획site_code!F126),"",IF(고객법인일정파일!Q126="X","X",고객법인일정파일!R126))</f>
        <v/>
      </c>
      <c r="I127" s="2" t="str">
        <f>IF(ISBLANK(태깅기획site_code!F126),"",IF(고객법인일정파일!Q126="X","",고객법인일정파일!S126))</f>
        <v/>
      </c>
      <c r="J127" s="16"/>
      <c r="K127" s="1"/>
      <c r="L127" s="1"/>
      <c r="M127" s="25" t="str">
        <f>IF(D127="","",VLOOKUP(D127,고객법인일정파일!$C$5:$J$200,8,0))&amp;""</f>
        <v/>
      </c>
      <c r="N127" s="1"/>
      <c r="O127" s="1"/>
      <c r="P127" s="25"/>
      <c r="Q127" s="1"/>
      <c r="R127" s="1"/>
      <c r="S127" s="25"/>
      <c r="T127" s="1"/>
      <c r="U127" s="1"/>
      <c r="V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2:50">
      <c r="B128" s="16" t="str">
        <f>IF($G128="","",IFERROR(VLOOKUP($G128,RAW_tier!$B$2:$C$200,2,0),2))</f>
        <v/>
      </c>
      <c r="C128" s="1" t="str">
        <f>IF(ISBLANK(태깅기획site_code!F127),"",태깅기획site_code!C127)</f>
        <v/>
      </c>
      <c r="D128" s="1" t="str">
        <f>IF(ISBLANK(태깅기획site_code!F127),"",IF(고객법인일정파일!P127="한총","SEC",IF(LEN(TRIM(고객법인일정파일!P127))=0,태깅기획site_code!D127,고객법인일정파일!P127)))</f>
        <v/>
      </c>
      <c r="E128" s="1" t="str">
        <f>IF(ISBLANK(태깅기획site_code!F127),"",태깅기획site_code!E127)</f>
        <v/>
      </c>
      <c r="F128" s="1" t="str">
        <f>IF(ISBLANK(태깅기획site_code!F127),"",태깅기획site_code!J127)</f>
        <v/>
      </c>
      <c r="G128" s="1" t="str">
        <f>IF(ISBLANK(태깅기획site_code!B127),"",태깅기획site_code!F127)</f>
        <v/>
      </c>
      <c r="H128" s="2" t="str">
        <f>IF(ISBLANK(태깅기획site_code!F127),"",IF(고객법인일정파일!Q127="X","X",고객법인일정파일!R127))</f>
        <v/>
      </c>
      <c r="I128" s="2" t="str">
        <f>IF(ISBLANK(태깅기획site_code!F127),"",IF(고객법인일정파일!Q127="X","",고객법인일정파일!S127))</f>
        <v/>
      </c>
      <c r="J128" s="16"/>
      <c r="K128" s="1"/>
      <c r="L128" s="1"/>
      <c r="M128" s="25" t="str">
        <f>IF(D128="","",VLOOKUP(D128,고객법인일정파일!$C$5:$J$200,8,0))&amp;""</f>
        <v/>
      </c>
      <c r="N128" s="1"/>
      <c r="O128" s="1"/>
      <c r="P128" s="25"/>
      <c r="Q128" s="1"/>
      <c r="R128" s="1"/>
      <c r="S128" s="25"/>
      <c r="T128" s="1"/>
      <c r="U128" s="1"/>
      <c r="V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2:50">
      <c r="B129" s="16" t="str">
        <f>IF($G129="","",IFERROR(VLOOKUP($G129,RAW_tier!$B$2:$C$200,2,0),2))</f>
        <v/>
      </c>
      <c r="C129" s="1" t="str">
        <f>IF(ISBLANK(태깅기획site_code!F128),"",태깅기획site_code!C128)</f>
        <v/>
      </c>
      <c r="D129" s="1" t="str">
        <f>IF(ISBLANK(태깅기획site_code!F128),"",IF(고객법인일정파일!P128="한총","SEC",IF(LEN(TRIM(고객법인일정파일!P128))=0,태깅기획site_code!D128,고객법인일정파일!P128)))</f>
        <v/>
      </c>
      <c r="E129" s="1" t="str">
        <f>IF(ISBLANK(태깅기획site_code!F128),"",태깅기획site_code!E128)</f>
        <v/>
      </c>
      <c r="F129" s="1" t="str">
        <f>IF(ISBLANK(태깅기획site_code!F128),"",태깅기획site_code!J128)</f>
        <v/>
      </c>
      <c r="G129" s="1" t="str">
        <f>IF(ISBLANK(태깅기획site_code!B128),"",태깅기획site_code!F128)</f>
        <v/>
      </c>
      <c r="H129" s="2" t="str">
        <f>IF(ISBLANK(태깅기획site_code!F128),"",IF(고객법인일정파일!Q128="X","X",고객법인일정파일!R128))</f>
        <v/>
      </c>
      <c r="I129" s="2" t="str">
        <f>IF(ISBLANK(태깅기획site_code!F128),"",IF(고객법인일정파일!Q128="X","",고객법인일정파일!S128))</f>
        <v/>
      </c>
      <c r="J129" s="16"/>
      <c r="K129" s="1"/>
      <c r="L129" s="1"/>
      <c r="M129" s="25" t="str">
        <f>IF(D129="","",VLOOKUP(D129,고객법인일정파일!$C$5:$J$200,8,0))&amp;""</f>
        <v/>
      </c>
      <c r="N129" s="1"/>
      <c r="O129" s="1"/>
      <c r="P129" s="25"/>
      <c r="Q129" s="1"/>
      <c r="R129" s="1"/>
      <c r="S129" s="25"/>
      <c r="T129" s="1"/>
      <c r="U129" s="1"/>
      <c r="V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2:50">
      <c r="B130" s="16" t="str">
        <f>IF($G130="","",IFERROR(VLOOKUP($G130,RAW_tier!$B$2:$C$200,2,0),2))</f>
        <v/>
      </c>
      <c r="C130" s="1" t="str">
        <f>IF(ISBLANK(태깅기획site_code!F129),"",태깅기획site_code!C129)</f>
        <v/>
      </c>
      <c r="D130" s="1" t="str">
        <f>IF(ISBLANK(태깅기획site_code!F129),"",IF(고객법인일정파일!P129="한총","SEC",IF(LEN(TRIM(고객법인일정파일!P129))=0,태깅기획site_code!D129,고객법인일정파일!P129)))</f>
        <v/>
      </c>
      <c r="E130" s="1" t="str">
        <f>IF(ISBLANK(태깅기획site_code!F129),"",태깅기획site_code!E129)</f>
        <v/>
      </c>
      <c r="F130" s="1" t="str">
        <f>IF(ISBLANK(태깅기획site_code!F129),"",태깅기획site_code!J129)</f>
        <v/>
      </c>
      <c r="G130" s="1" t="str">
        <f>IF(ISBLANK(태깅기획site_code!B129),"",태깅기획site_code!F129)</f>
        <v/>
      </c>
      <c r="H130" s="2" t="str">
        <f>IF(ISBLANK(태깅기획site_code!F129),"",IF(고객법인일정파일!Q129="X","X",고객법인일정파일!R129))</f>
        <v/>
      </c>
      <c r="I130" s="2" t="str">
        <f>IF(ISBLANK(태깅기획site_code!F129),"",IF(고객법인일정파일!Q129="X","",고객법인일정파일!S129))</f>
        <v/>
      </c>
      <c r="J130" s="16"/>
      <c r="K130" s="1"/>
      <c r="L130" s="1"/>
      <c r="M130" s="25" t="str">
        <f>IF(D130="","",VLOOKUP(D130,고객법인일정파일!$C$5:$J$200,8,0))&amp;""</f>
        <v/>
      </c>
      <c r="N130" s="1"/>
      <c r="O130" s="1"/>
      <c r="P130" s="25"/>
      <c r="Q130" s="1"/>
      <c r="R130" s="1"/>
      <c r="S130" s="25"/>
      <c r="T130" s="1"/>
      <c r="U130" s="1"/>
      <c r="V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2:50">
      <c r="B131" s="16" t="str">
        <f>IF($G131="","",IFERROR(VLOOKUP($G131,RAW_tier!$B$2:$C$200,2,0),2))</f>
        <v/>
      </c>
      <c r="C131" s="1" t="str">
        <f>IF(ISBLANK(태깅기획site_code!F130),"",태깅기획site_code!C130)</f>
        <v/>
      </c>
      <c r="D131" s="1" t="str">
        <f>IF(ISBLANK(태깅기획site_code!F130),"",IF(고객법인일정파일!P130="한총","SEC",IF(LEN(TRIM(고객법인일정파일!P130))=0,태깅기획site_code!D130,고객법인일정파일!P130)))</f>
        <v/>
      </c>
      <c r="E131" s="1" t="str">
        <f>IF(ISBLANK(태깅기획site_code!F130),"",태깅기획site_code!E130)</f>
        <v/>
      </c>
      <c r="F131" s="1" t="str">
        <f>IF(ISBLANK(태깅기획site_code!F130),"",태깅기획site_code!J130)</f>
        <v/>
      </c>
      <c r="G131" s="1" t="str">
        <f>IF(ISBLANK(태깅기획site_code!B130),"",태깅기획site_code!F130)</f>
        <v/>
      </c>
      <c r="H131" s="2" t="str">
        <f>IF(ISBLANK(태깅기획site_code!F130),"",IF(고객법인일정파일!Q130="X","X",고객법인일정파일!R130))</f>
        <v/>
      </c>
      <c r="I131" s="2" t="str">
        <f>IF(ISBLANK(태깅기획site_code!F130),"",IF(고객법인일정파일!Q130="X","",고객법인일정파일!S130))</f>
        <v/>
      </c>
      <c r="J131" s="16"/>
      <c r="K131" s="1"/>
      <c r="L131" s="1"/>
      <c r="M131" s="25" t="str">
        <f>IF(D131="","",VLOOKUP(D131,고객법인일정파일!$C$5:$J$200,8,0))&amp;""</f>
        <v/>
      </c>
      <c r="N131" s="1"/>
      <c r="O131" s="1"/>
      <c r="P131" s="25"/>
      <c r="Q131" s="1"/>
      <c r="R131" s="1"/>
      <c r="S131" s="25"/>
      <c r="T131" s="1"/>
      <c r="U131" s="1"/>
      <c r="V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2:50">
      <c r="B132" s="16" t="str">
        <f>IF($G132="","",IFERROR(VLOOKUP($G132,RAW_tier!$B$2:$C$200,2,0),2))</f>
        <v/>
      </c>
      <c r="C132" s="1" t="str">
        <f>IF(ISBLANK(태깅기획site_code!F131),"",태깅기획site_code!C131)</f>
        <v/>
      </c>
      <c r="D132" s="1" t="str">
        <f>IF(ISBLANK(태깅기획site_code!F131),"",IF(고객법인일정파일!P131="한총","SEC",IF(LEN(TRIM(고객법인일정파일!P131))=0,태깅기획site_code!D131,고객법인일정파일!P131)))</f>
        <v/>
      </c>
      <c r="E132" s="1" t="str">
        <f>IF(ISBLANK(태깅기획site_code!F131),"",태깅기획site_code!E131)</f>
        <v/>
      </c>
      <c r="F132" s="1" t="str">
        <f>IF(ISBLANK(태깅기획site_code!F131),"",태깅기획site_code!J131)</f>
        <v/>
      </c>
      <c r="G132" s="1" t="str">
        <f>IF(ISBLANK(태깅기획site_code!B131),"",태깅기획site_code!F131)</f>
        <v/>
      </c>
      <c r="H132" s="2" t="str">
        <f>IF(ISBLANK(태깅기획site_code!F131),"",IF(고객법인일정파일!Q131="X","X",고객법인일정파일!R131))</f>
        <v/>
      </c>
      <c r="I132" s="2" t="str">
        <f>IF(ISBLANK(태깅기획site_code!F131),"",IF(고객법인일정파일!Q131="X","",고객법인일정파일!S131))</f>
        <v/>
      </c>
      <c r="J132" s="16"/>
      <c r="K132" s="1"/>
      <c r="L132" s="1"/>
      <c r="M132" s="25" t="str">
        <f>IF(D132="","",VLOOKUP(D132,고객법인일정파일!$C$5:$J$200,8,0))&amp;""</f>
        <v/>
      </c>
      <c r="N132" s="1"/>
      <c r="O132" s="1"/>
      <c r="P132" s="25"/>
      <c r="Q132" s="1"/>
      <c r="R132" s="1"/>
      <c r="S132" s="25"/>
      <c r="T132" s="1"/>
      <c r="U132" s="1"/>
      <c r="V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2:50">
      <c r="B133" s="16" t="str">
        <f>IF($G133="","",IFERROR(VLOOKUP($G133,RAW_tier!$B$2:$C$200,2,0),2))</f>
        <v/>
      </c>
      <c r="C133" s="1" t="str">
        <f>IF(ISBLANK(태깅기획site_code!F132),"",태깅기획site_code!C132)</f>
        <v/>
      </c>
      <c r="D133" s="1" t="str">
        <f>IF(ISBLANK(태깅기획site_code!F132),"",IF(고객법인일정파일!P132="한총","SEC",IF(LEN(TRIM(고객법인일정파일!P132))=0,태깅기획site_code!D132,고객법인일정파일!P132)))</f>
        <v/>
      </c>
      <c r="E133" s="1" t="str">
        <f>IF(ISBLANK(태깅기획site_code!F132),"",태깅기획site_code!E132)</f>
        <v/>
      </c>
      <c r="F133" s="1" t="str">
        <f>IF(ISBLANK(태깅기획site_code!F132),"",태깅기획site_code!J132)</f>
        <v/>
      </c>
      <c r="G133" s="1" t="str">
        <f>IF(ISBLANK(태깅기획site_code!B132),"",태깅기획site_code!F132)</f>
        <v/>
      </c>
      <c r="H133" s="2" t="str">
        <f>IF(ISBLANK(태깅기획site_code!F132),"",IF(고객법인일정파일!Q132="X","X",고객법인일정파일!R132))</f>
        <v/>
      </c>
      <c r="I133" s="2" t="str">
        <f>IF(ISBLANK(태깅기획site_code!F132),"",IF(고객법인일정파일!Q132="X","",고객법인일정파일!S132))</f>
        <v/>
      </c>
      <c r="J133" s="16"/>
      <c r="K133" s="1"/>
      <c r="L133" s="1"/>
      <c r="M133" s="25" t="str">
        <f>IF(D133="","",VLOOKUP(D133,고객법인일정파일!$C$5:$J$200,8,0))&amp;""</f>
        <v/>
      </c>
      <c r="N133" s="1"/>
      <c r="O133" s="1"/>
      <c r="P133" s="25"/>
      <c r="Q133" s="1"/>
      <c r="R133" s="1"/>
      <c r="S133" s="25"/>
      <c r="T133" s="1"/>
      <c r="U133" s="1"/>
      <c r="V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2:50">
      <c r="B134" s="16" t="str">
        <f>IF($G134="","",IFERROR(VLOOKUP($G134,RAW_tier!$B$2:$C$200,2,0),2))</f>
        <v/>
      </c>
      <c r="C134" s="1" t="str">
        <f>IF(ISBLANK(태깅기획site_code!F133),"",태깅기획site_code!C133)</f>
        <v/>
      </c>
      <c r="D134" s="1" t="str">
        <f>IF(ISBLANK(태깅기획site_code!F133),"",IF(고객법인일정파일!P133="한총","SEC",IF(LEN(TRIM(고객법인일정파일!P133))=0,태깅기획site_code!D133,고객법인일정파일!P133)))</f>
        <v/>
      </c>
      <c r="E134" s="1" t="str">
        <f>IF(ISBLANK(태깅기획site_code!F133),"",태깅기획site_code!E133)</f>
        <v/>
      </c>
      <c r="F134" s="1" t="str">
        <f>IF(ISBLANK(태깅기획site_code!F133),"",태깅기획site_code!J133)</f>
        <v/>
      </c>
      <c r="G134" s="1" t="str">
        <f>IF(ISBLANK(태깅기획site_code!B133),"",태깅기획site_code!F133)</f>
        <v/>
      </c>
      <c r="H134" s="2" t="str">
        <f>IF(ISBLANK(태깅기획site_code!F133),"",IF(고객법인일정파일!Q133="X","X",고객법인일정파일!R133))</f>
        <v/>
      </c>
      <c r="I134" s="2" t="str">
        <f>IF(ISBLANK(태깅기획site_code!F133),"",IF(고객법인일정파일!Q133="X","",고객법인일정파일!S133))</f>
        <v/>
      </c>
      <c r="J134" s="16"/>
      <c r="K134" s="1"/>
      <c r="L134" s="1"/>
      <c r="M134" s="25" t="str">
        <f>IF(D134="","",VLOOKUP(D134,고객법인일정파일!$C$5:$J$200,8,0))&amp;""</f>
        <v/>
      </c>
      <c r="N134" s="1"/>
      <c r="O134" s="1"/>
      <c r="P134" s="25"/>
      <c r="Q134" s="1"/>
      <c r="R134" s="1"/>
      <c r="S134" s="25"/>
      <c r="T134" s="1"/>
      <c r="U134" s="1"/>
      <c r="V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2:50">
      <c r="B135" s="16" t="str">
        <f>IF($G135="","",IFERROR(VLOOKUP($G135,RAW_tier!$B$2:$C$200,2,0),2))</f>
        <v/>
      </c>
      <c r="C135" s="1" t="str">
        <f>IF(ISBLANK(태깅기획site_code!F134),"",태깅기획site_code!C134)</f>
        <v/>
      </c>
      <c r="D135" s="1" t="str">
        <f>IF(ISBLANK(태깅기획site_code!F134),"",IF(고객법인일정파일!P134="한총","SEC",IF(LEN(TRIM(고객법인일정파일!P134))=0,태깅기획site_code!D134,고객법인일정파일!P134)))</f>
        <v/>
      </c>
      <c r="E135" s="1" t="str">
        <f>IF(ISBLANK(태깅기획site_code!F134),"",태깅기획site_code!E134)</f>
        <v/>
      </c>
      <c r="F135" s="1" t="str">
        <f>IF(ISBLANK(태깅기획site_code!F134),"",태깅기획site_code!J134)</f>
        <v/>
      </c>
      <c r="G135" s="1" t="str">
        <f>IF(ISBLANK(태깅기획site_code!B134),"",태깅기획site_code!F134)</f>
        <v/>
      </c>
      <c r="H135" s="2" t="str">
        <f>IF(ISBLANK(태깅기획site_code!F134),"",IF(고객법인일정파일!Q134="X","X",고객법인일정파일!R134))</f>
        <v/>
      </c>
      <c r="I135" s="2" t="str">
        <f>IF(ISBLANK(태깅기획site_code!F134),"",IF(고객법인일정파일!Q134="X","",고객법인일정파일!S134))</f>
        <v/>
      </c>
      <c r="J135" s="16"/>
      <c r="K135" s="1"/>
      <c r="L135" s="1"/>
      <c r="M135" s="25" t="str">
        <f>IF(D135="","",VLOOKUP(D135,고객법인일정파일!$C$5:$J$200,8,0))&amp;""</f>
        <v/>
      </c>
      <c r="N135" s="1"/>
      <c r="O135" s="1"/>
      <c r="P135" s="25"/>
      <c r="Q135" s="1"/>
      <c r="R135" s="1"/>
      <c r="S135" s="25"/>
      <c r="T135" s="1"/>
      <c r="U135" s="1"/>
      <c r="V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2:50">
      <c r="B136" s="16" t="str">
        <f>IF($G136="","",IFERROR(VLOOKUP($G136,RAW_tier!$B$2:$C$200,2,0),2))</f>
        <v/>
      </c>
      <c r="C136" s="1" t="str">
        <f>IF(ISBLANK(태깅기획site_code!F135),"",태깅기획site_code!C135)</f>
        <v/>
      </c>
      <c r="D136" s="1" t="str">
        <f>IF(ISBLANK(태깅기획site_code!F135),"",IF(고객법인일정파일!P135="한총","SEC",IF(LEN(TRIM(고객법인일정파일!P135))=0,태깅기획site_code!D135,고객법인일정파일!P135)))</f>
        <v/>
      </c>
      <c r="E136" s="1" t="str">
        <f>IF(ISBLANK(태깅기획site_code!F135),"",태깅기획site_code!E135)</f>
        <v/>
      </c>
      <c r="F136" s="1" t="str">
        <f>IF(ISBLANK(태깅기획site_code!F135),"",태깅기획site_code!J135)</f>
        <v/>
      </c>
      <c r="G136" s="1" t="str">
        <f>IF(ISBLANK(태깅기획site_code!B135),"",태깅기획site_code!F135)</f>
        <v/>
      </c>
      <c r="H136" s="2" t="str">
        <f>IF(ISBLANK(태깅기획site_code!F135),"",IF(고객법인일정파일!Q135="X","X",고객법인일정파일!R135))</f>
        <v/>
      </c>
      <c r="I136" s="2" t="str">
        <f>IF(ISBLANK(태깅기획site_code!F135),"",IF(고객법인일정파일!Q135="X","",고객법인일정파일!S135))</f>
        <v/>
      </c>
      <c r="J136" s="16"/>
      <c r="K136" s="1"/>
      <c r="L136" s="1"/>
      <c r="M136" s="25" t="str">
        <f>IF(D136="","",VLOOKUP(D136,고객법인일정파일!$C$5:$J$200,8,0))&amp;""</f>
        <v/>
      </c>
      <c r="N136" s="1"/>
      <c r="O136" s="1"/>
      <c r="P136" s="25"/>
      <c r="Q136" s="1"/>
      <c r="R136" s="1"/>
      <c r="S136" s="25"/>
      <c r="T136" s="1"/>
      <c r="U136" s="1"/>
      <c r="V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2:50">
      <c r="B137" s="16" t="str">
        <f>IF($G137="","",IFERROR(VLOOKUP($G137,RAW_tier!$B$2:$C$200,2,0),2))</f>
        <v/>
      </c>
      <c r="C137" s="1" t="str">
        <f>IF(ISBLANK(태깅기획site_code!F136),"",태깅기획site_code!C136)</f>
        <v/>
      </c>
      <c r="D137" s="1" t="str">
        <f>IF(ISBLANK(태깅기획site_code!F136),"",IF(고객법인일정파일!P136="한총","SEC",IF(LEN(TRIM(고객법인일정파일!P136))=0,태깅기획site_code!D136,고객법인일정파일!P136)))</f>
        <v/>
      </c>
      <c r="E137" s="1" t="str">
        <f>IF(ISBLANK(태깅기획site_code!F136),"",태깅기획site_code!E136)</f>
        <v/>
      </c>
      <c r="F137" s="1" t="str">
        <f>IF(ISBLANK(태깅기획site_code!F136),"",태깅기획site_code!J136)</f>
        <v/>
      </c>
      <c r="G137" s="1" t="str">
        <f>IF(ISBLANK(태깅기획site_code!B136),"",태깅기획site_code!F136)</f>
        <v/>
      </c>
      <c r="H137" s="2" t="str">
        <f>IF(ISBLANK(태깅기획site_code!F136),"",IF(고객법인일정파일!Q136="X","X",고객법인일정파일!R136))</f>
        <v/>
      </c>
      <c r="I137" s="2" t="str">
        <f>IF(ISBLANK(태깅기획site_code!F136),"",IF(고객법인일정파일!Q136="X","",고객법인일정파일!S136))</f>
        <v/>
      </c>
      <c r="J137" s="16"/>
      <c r="K137" s="1"/>
      <c r="L137" s="1"/>
      <c r="M137" s="25" t="str">
        <f>IF(D137="","",VLOOKUP(D137,고객법인일정파일!$C$5:$J$200,8,0))&amp;""</f>
        <v/>
      </c>
      <c r="N137" s="1"/>
      <c r="O137" s="1"/>
      <c r="P137" s="25"/>
      <c r="Q137" s="1"/>
      <c r="R137" s="1"/>
      <c r="S137" s="25"/>
      <c r="T137" s="1"/>
      <c r="U137" s="1"/>
      <c r="V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2:50">
      <c r="B138" s="16" t="str">
        <f>IF($G138="","",IFERROR(VLOOKUP($G138,RAW_tier!$B$2:$C$200,2,0),2))</f>
        <v/>
      </c>
      <c r="C138" s="1" t="str">
        <f>IF(ISBLANK(태깅기획site_code!F137),"",태깅기획site_code!C137)</f>
        <v/>
      </c>
      <c r="D138" s="1" t="str">
        <f>IF(ISBLANK(태깅기획site_code!F137),"",IF(고객법인일정파일!P137="한총","SEC",IF(LEN(TRIM(고객법인일정파일!P137))=0,태깅기획site_code!D137,고객법인일정파일!P137)))</f>
        <v/>
      </c>
      <c r="E138" s="1" t="str">
        <f>IF(ISBLANK(태깅기획site_code!F137),"",태깅기획site_code!E137)</f>
        <v/>
      </c>
      <c r="F138" s="1" t="str">
        <f>IF(ISBLANK(태깅기획site_code!F137),"",태깅기획site_code!J137)</f>
        <v/>
      </c>
      <c r="G138" s="1" t="str">
        <f>IF(ISBLANK(태깅기획site_code!B137),"",태깅기획site_code!F137)</f>
        <v/>
      </c>
      <c r="H138" s="2" t="str">
        <f>IF(ISBLANK(태깅기획site_code!F137),"",IF(고객법인일정파일!Q137="X","X",고객법인일정파일!R137))</f>
        <v/>
      </c>
      <c r="I138" s="2" t="str">
        <f>IF(ISBLANK(태깅기획site_code!F137),"",IF(고객법인일정파일!Q137="X","",고객법인일정파일!S137))</f>
        <v/>
      </c>
      <c r="J138" s="16"/>
      <c r="K138" s="1"/>
      <c r="L138" s="1"/>
      <c r="M138" s="25" t="str">
        <f>IF(D138="","",VLOOKUP(D138,고객법인일정파일!$C$5:$J$200,8,0))&amp;""</f>
        <v/>
      </c>
      <c r="N138" s="1"/>
      <c r="O138" s="1"/>
      <c r="P138" s="25"/>
      <c r="Q138" s="1"/>
      <c r="R138" s="1"/>
      <c r="S138" s="25"/>
      <c r="T138" s="1"/>
      <c r="U138" s="1"/>
      <c r="V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2:50">
      <c r="B139" s="16" t="str">
        <f>IF($G139="","",IFERROR(VLOOKUP($G139,RAW_tier!$B$2:$C$200,2,0),2))</f>
        <v/>
      </c>
      <c r="C139" s="1" t="str">
        <f>IF(ISBLANK(태깅기획site_code!F138),"",태깅기획site_code!C138)</f>
        <v/>
      </c>
      <c r="D139" s="1" t="str">
        <f>IF(ISBLANK(태깅기획site_code!F138),"",IF(고객법인일정파일!P138="한총","SEC",IF(LEN(TRIM(고객법인일정파일!P138))=0,태깅기획site_code!D138,고객법인일정파일!P138)))</f>
        <v/>
      </c>
      <c r="E139" s="1" t="str">
        <f>IF(ISBLANK(태깅기획site_code!F138),"",태깅기획site_code!E138)</f>
        <v/>
      </c>
      <c r="F139" s="1" t="str">
        <f>IF(ISBLANK(태깅기획site_code!F138),"",태깅기획site_code!J138)</f>
        <v/>
      </c>
      <c r="G139" s="1" t="str">
        <f>IF(ISBLANK(태깅기획site_code!B138),"",태깅기획site_code!F138)</f>
        <v/>
      </c>
      <c r="H139" s="2" t="str">
        <f>IF(ISBLANK(태깅기획site_code!F138),"",IF(고객법인일정파일!Q138="X","X",고객법인일정파일!R138))</f>
        <v/>
      </c>
      <c r="I139" s="2" t="str">
        <f>IF(ISBLANK(태깅기획site_code!F138),"",IF(고객법인일정파일!Q138="X","",고객법인일정파일!S138))</f>
        <v/>
      </c>
      <c r="J139" s="16"/>
      <c r="K139" s="1"/>
      <c r="L139" s="1"/>
      <c r="M139" s="25" t="str">
        <f>IF(D139="","",VLOOKUP(D139,고객법인일정파일!$C$5:$J$200,8,0))&amp;""</f>
        <v/>
      </c>
      <c r="N139" s="1"/>
      <c r="O139" s="1"/>
      <c r="P139" s="25"/>
      <c r="Q139" s="1"/>
      <c r="R139" s="1"/>
      <c r="S139" s="25"/>
      <c r="T139" s="1"/>
      <c r="U139" s="1"/>
      <c r="V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2:50">
      <c r="B140" s="16" t="str">
        <f>IF($G140="","",IFERROR(VLOOKUP($G140,RAW_tier!$B$2:$C$200,2,0),2))</f>
        <v/>
      </c>
      <c r="C140" s="1" t="str">
        <f>IF(ISBLANK(태깅기획site_code!F139),"",태깅기획site_code!C139)</f>
        <v/>
      </c>
      <c r="D140" s="1" t="str">
        <f>IF(ISBLANK(태깅기획site_code!F139),"",IF(고객법인일정파일!P139="한총","SEC",IF(LEN(TRIM(고객법인일정파일!P139))=0,태깅기획site_code!D139,고객법인일정파일!P139)))</f>
        <v/>
      </c>
      <c r="E140" s="1" t="str">
        <f>IF(ISBLANK(태깅기획site_code!F139),"",태깅기획site_code!E139)</f>
        <v/>
      </c>
      <c r="F140" s="1" t="str">
        <f>IF(ISBLANK(태깅기획site_code!F139),"",태깅기획site_code!J139)</f>
        <v/>
      </c>
      <c r="G140" s="1" t="str">
        <f>IF(ISBLANK(태깅기획site_code!B139),"",태깅기획site_code!F139)</f>
        <v/>
      </c>
      <c r="H140" s="2" t="str">
        <f>IF(ISBLANK(태깅기획site_code!F139),"",IF(고객법인일정파일!Q139="X","X",고객법인일정파일!R139))</f>
        <v/>
      </c>
      <c r="I140" s="2" t="str">
        <f>IF(ISBLANK(태깅기획site_code!F139),"",IF(고객법인일정파일!Q139="X","",고객법인일정파일!S139))</f>
        <v/>
      </c>
      <c r="J140" s="16"/>
      <c r="K140" s="1"/>
      <c r="L140" s="1"/>
      <c r="M140" s="25" t="str">
        <f>IF(D140="","",VLOOKUP(D140,고객법인일정파일!$C$5:$J$200,8,0))&amp;""</f>
        <v/>
      </c>
      <c r="N140" s="1"/>
      <c r="O140" s="1"/>
      <c r="P140" s="25"/>
      <c r="Q140" s="1"/>
      <c r="R140" s="1"/>
      <c r="S140" s="25"/>
      <c r="T140" s="1"/>
      <c r="U140" s="1"/>
      <c r="V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2:50">
      <c r="B141" s="16" t="str">
        <f>IF($G141="","",IFERROR(VLOOKUP($G141,RAW_tier!$B$2:$C$200,2,0),2))</f>
        <v/>
      </c>
      <c r="C141" s="1" t="str">
        <f>IF(ISBLANK(태깅기획site_code!F140),"",태깅기획site_code!C140)</f>
        <v/>
      </c>
      <c r="D141" s="1" t="str">
        <f>IF(ISBLANK(태깅기획site_code!F140),"",IF(고객법인일정파일!P140="한총","SEC",IF(LEN(TRIM(고객법인일정파일!P140))=0,태깅기획site_code!D140,고객법인일정파일!P140)))</f>
        <v/>
      </c>
      <c r="E141" s="1" t="str">
        <f>IF(ISBLANK(태깅기획site_code!F140),"",태깅기획site_code!E140)</f>
        <v/>
      </c>
      <c r="F141" s="1" t="str">
        <f>IF(ISBLANK(태깅기획site_code!F140),"",태깅기획site_code!J140)</f>
        <v/>
      </c>
      <c r="G141" s="1" t="str">
        <f>IF(ISBLANK(태깅기획site_code!B140),"",태깅기획site_code!F140)</f>
        <v/>
      </c>
      <c r="H141" s="2" t="str">
        <f>IF(ISBLANK(태깅기획site_code!F140),"",IF(고객법인일정파일!Q140="X","X",고객법인일정파일!R140))</f>
        <v/>
      </c>
      <c r="I141" s="2" t="str">
        <f>IF(ISBLANK(태깅기획site_code!F140),"",IF(고객법인일정파일!Q140="X","",고객법인일정파일!S140))</f>
        <v/>
      </c>
      <c r="J141" s="16"/>
      <c r="K141" s="1"/>
      <c r="L141" s="1"/>
      <c r="M141" s="25" t="str">
        <f>IF(D141="","",VLOOKUP(D141,고객법인일정파일!$C$5:$J$200,8,0))&amp;""</f>
        <v/>
      </c>
      <c r="N141" s="1"/>
      <c r="O141" s="1"/>
      <c r="P141" s="25"/>
      <c r="Q141" s="1"/>
      <c r="R141" s="1"/>
      <c r="S141" s="25"/>
      <c r="T141" s="1"/>
      <c r="U141" s="1"/>
      <c r="V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2:50">
      <c r="B142" s="16" t="str">
        <f>IF($G142="","",IFERROR(VLOOKUP($G142,RAW_tier!$B$2:$C$200,2,0),2))</f>
        <v/>
      </c>
      <c r="C142" s="1" t="str">
        <f>IF(ISBLANK(태깅기획site_code!F141),"",태깅기획site_code!C141)</f>
        <v/>
      </c>
      <c r="D142" s="1" t="str">
        <f>IF(ISBLANK(태깅기획site_code!F141),"",IF(고객법인일정파일!P141="한총","SEC",IF(LEN(TRIM(고객법인일정파일!P141))=0,태깅기획site_code!D141,고객법인일정파일!P141)))</f>
        <v/>
      </c>
      <c r="E142" s="1" t="str">
        <f>IF(ISBLANK(태깅기획site_code!F141),"",태깅기획site_code!E141)</f>
        <v/>
      </c>
      <c r="F142" s="1" t="str">
        <f>IF(ISBLANK(태깅기획site_code!F141),"",태깅기획site_code!J141)</f>
        <v/>
      </c>
      <c r="G142" s="1" t="str">
        <f>IF(ISBLANK(태깅기획site_code!B141),"",태깅기획site_code!F141)</f>
        <v/>
      </c>
      <c r="H142" s="2" t="str">
        <f>IF(ISBLANK(태깅기획site_code!F141),"",IF(고객법인일정파일!Q141="X","X",고객법인일정파일!R141))</f>
        <v/>
      </c>
      <c r="I142" s="2" t="str">
        <f>IF(ISBLANK(태깅기획site_code!F141),"",IF(고객법인일정파일!Q141="X","",고객법인일정파일!S141))</f>
        <v/>
      </c>
      <c r="J142" s="16"/>
      <c r="K142" s="1"/>
      <c r="L142" s="1"/>
      <c r="M142" s="25" t="str">
        <f>IF(D142="","",VLOOKUP(D142,고객법인일정파일!$C$5:$J$200,8,0))&amp;""</f>
        <v/>
      </c>
      <c r="N142" s="1"/>
      <c r="O142" s="1"/>
      <c r="P142" s="25"/>
      <c r="Q142" s="1"/>
      <c r="R142" s="1"/>
      <c r="S142" s="25"/>
      <c r="T142" s="1"/>
      <c r="U142" s="1"/>
      <c r="V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2:50">
      <c r="K143" s="1"/>
      <c r="L143" s="1"/>
      <c r="M143" s="24"/>
      <c r="N143" s="1"/>
      <c r="O143" s="1"/>
      <c r="P143" s="1"/>
      <c r="Q143" s="1"/>
      <c r="R143" s="1"/>
      <c r="S143" s="1"/>
      <c r="T143" s="1"/>
      <c r="U143" s="1"/>
      <c r="V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2:50">
      <c r="K144" s="1"/>
      <c r="L144" s="1"/>
      <c r="M144" s="24"/>
      <c r="N144" s="1"/>
      <c r="O144" s="1"/>
      <c r="P144" s="1"/>
      <c r="Q144" s="1"/>
      <c r="R144" s="1"/>
      <c r="S144" s="1"/>
      <c r="T144" s="1"/>
      <c r="U144" s="1"/>
      <c r="V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1:50">
      <c r="K145" s="1"/>
      <c r="L145" s="1"/>
      <c r="M145" s="24"/>
      <c r="N145" s="1"/>
      <c r="O145" s="1"/>
      <c r="P145" s="1"/>
      <c r="Q145" s="1"/>
      <c r="R145" s="1"/>
      <c r="S145" s="1"/>
      <c r="T145" s="1"/>
      <c r="U145" s="1"/>
      <c r="V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1:50">
      <c r="K146" s="1"/>
      <c r="L146" s="1"/>
      <c r="M146" s="24"/>
      <c r="N146" s="1"/>
      <c r="O146" s="1"/>
      <c r="P146" s="1"/>
      <c r="Q146" s="1"/>
      <c r="R146" s="1"/>
      <c r="S146" s="1"/>
      <c r="T146" s="1"/>
      <c r="U146" s="1"/>
      <c r="V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1:50">
      <c r="K147" s="1"/>
      <c r="L147" s="1"/>
      <c r="M147" s="24"/>
      <c r="N147" s="1"/>
      <c r="O147" s="1"/>
      <c r="P147" s="1"/>
      <c r="Q147" s="1"/>
      <c r="R147" s="1"/>
      <c r="S147" s="1"/>
      <c r="T147" s="1"/>
      <c r="U147" s="1"/>
      <c r="V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1:50">
      <c r="K148" s="1"/>
      <c r="L148" s="1"/>
      <c r="M148" s="24"/>
      <c r="N148" s="1"/>
      <c r="O148" s="1"/>
      <c r="P148" s="1"/>
      <c r="Q148" s="1"/>
      <c r="R148" s="1"/>
      <c r="S148" s="1"/>
      <c r="T148" s="1"/>
      <c r="U148" s="1"/>
      <c r="V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1:50">
      <c r="K149" s="1"/>
      <c r="L149" s="1"/>
      <c r="M149" s="24"/>
      <c r="N149" s="1"/>
      <c r="O149" s="1"/>
      <c r="P149" s="1"/>
      <c r="Q149" s="1"/>
      <c r="R149" s="1"/>
      <c r="S149" s="1"/>
      <c r="T149" s="1"/>
      <c r="U149" s="1"/>
      <c r="V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1:50">
      <c r="K150" s="1"/>
      <c r="L150" s="1"/>
      <c r="M150" s="24"/>
      <c r="N150" s="1"/>
      <c r="O150" s="1"/>
      <c r="P150" s="1"/>
      <c r="Q150" s="1"/>
      <c r="R150" s="1"/>
      <c r="S150" s="1"/>
      <c r="T150" s="1"/>
      <c r="U150" s="1"/>
      <c r="V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1:50">
      <c r="K151" s="1"/>
      <c r="L151" s="1"/>
      <c r="M151" s="24"/>
      <c r="N151" s="1"/>
      <c r="O151" s="1"/>
      <c r="P151" s="1"/>
      <c r="Q151" s="1"/>
      <c r="R151" s="1"/>
      <c r="S151" s="1"/>
      <c r="T151" s="1"/>
      <c r="U151" s="1"/>
      <c r="V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1:50">
      <c r="K152" s="1"/>
      <c r="L152" s="1"/>
      <c r="M152" s="24"/>
      <c r="N152" s="1"/>
      <c r="O152" s="1"/>
      <c r="P152" s="1"/>
      <c r="Q152" s="1"/>
      <c r="R152" s="1"/>
      <c r="S152" s="1"/>
      <c r="T152" s="1"/>
      <c r="U152" s="1"/>
      <c r="V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1:50">
      <c r="K153" s="1"/>
      <c r="L153" s="1"/>
      <c r="M153" s="24"/>
      <c r="N153" s="1"/>
      <c r="O153" s="1"/>
      <c r="P153" s="1"/>
      <c r="Q153" s="1"/>
      <c r="R153" s="1"/>
      <c r="S153" s="1"/>
      <c r="T153" s="1"/>
      <c r="U153" s="1"/>
      <c r="V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1:50">
      <c r="K154" s="1"/>
      <c r="L154" s="1"/>
      <c r="M154" s="24"/>
      <c r="N154" s="1"/>
      <c r="O154" s="1"/>
      <c r="P154" s="1"/>
      <c r="Q154" s="1"/>
      <c r="R154" s="1"/>
      <c r="S154" s="1"/>
      <c r="T154" s="1"/>
      <c r="U154" s="1"/>
      <c r="V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1:50">
      <c r="K155" s="1"/>
      <c r="L155" s="1"/>
      <c r="M155" s="24"/>
      <c r="N155" s="1"/>
      <c r="O155" s="1"/>
      <c r="P155" s="1"/>
      <c r="Q155" s="1"/>
      <c r="R155" s="1"/>
      <c r="S155" s="1"/>
      <c r="T155" s="1"/>
      <c r="U155" s="1"/>
      <c r="V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1:50">
      <c r="K156" s="1"/>
      <c r="L156" s="1"/>
      <c r="M156" s="24"/>
      <c r="N156" s="1"/>
      <c r="O156" s="1"/>
      <c r="P156" s="1"/>
      <c r="Q156" s="1"/>
      <c r="R156" s="1"/>
      <c r="S156" s="1"/>
      <c r="T156" s="1"/>
      <c r="U156" s="1"/>
      <c r="V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1:50">
      <c r="K157" s="1"/>
      <c r="L157" s="1"/>
      <c r="M157" s="24"/>
      <c r="N157" s="1"/>
      <c r="O157" s="1"/>
      <c r="P157" s="1"/>
      <c r="Q157" s="1"/>
      <c r="R157" s="1"/>
      <c r="S157" s="1"/>
      <c r="T157" s="1"/>
      <c r="U157" s="1"/>
      <c r="V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1:50">
      <c r="K158" s="1"/>
      <c r="L158" s="1"/>
      <c r="M158" s="24"/>
      <c r="N158" s="1"/>
      <c r="O158" s="1"/>
      <c r="P158" s="1"/>
      <c r="Q158" s="1"/>
      <c r="R158" s="1"/>
      <c r="S158" s="1"/>
      <c r="T158" s="1"/>
      <c r="U158" s="1"/>
      <c r="V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1:50">
      <c r="K159" s="1"/>
      <c r="L159" s="1"/>
      <c r="M159" s="24"/>
      <c r="N159" s="1"/>
      <c r="O159" s="1"/>
      <c r="P159" s="1"/>
      <c r="Q159" s="1"/>
      <c r="R159" s="1"/>
      <c r="S159" s="1"/>
      <c r="T159" s="1"/>
      <c r="U159" s="1"/>
      <c r="V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1:50">
      <c r="K160" s="1"/>
      <c r="L160" s="1"/>
      <c r="M160" s="24"/>
      <c r="N160" s="1"/>
      <c r="O160" s="1"/>
      <c r="P160" s="1"/>
      <c r="Q160" s="1"/>
      <c r="R160" s="1"/>
      <c r="S160" s="1"/>
      <c r="T160" s="1"/>
      <c r="U160" s="1"/>
      <c r="V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1:50">
      <c r="K161" s="1"/>
      <c r="L161" s="1"/>
      <c r="M161" s="24"/>
      <c r="N161" s="1"/>
      <c r="O161" s="1"/>
      <c r="P161" s="1"/>
      <c r="Q161" s="1"/>
      <c r="R161" s="1"/>
      <c r="S161" s="1"/>
      <c r="T161" s="1"/>
      <c r="U161" s="1"/>
      <c r="V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1:50">
      <c r="K162" s="1"/>
      <c r="L162" s="1"/>
      <c r="M162" s="24"/>
      <c r="N162" s="1"/>
      <c r="O162" s="1"/>
      <c r="P162" s="1"/>
      <c r="Q162" s="1"/>
      <c r="R162" s="1"/>
      <c r="S162" s="1"/>
      <c r="T162" s="1"/>
      <c r="U162" s="1"/>
      <c r="V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1:50">
      <c r="K163" s="1"/>
      <c r="L163" s="1"/>
      <c r="M163" s="24"/>
      <c r="N163" s="1"/>
      <c r="O163" s="1"/>
      <c r="P163" s="1"/>
      <c r="Q163" s="1"/>
      <c r="R163" s="1"/>
      <c r="S163" s="1"/>
      <c r="T163" s="1"/>
      <c r="U163" s="1"/>
      <c r="V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1:50">
      <c r="K164" s="1"/>
      <c r="L164" s="1"/>
      <c r="M164" s="24"/>
      <c r="N164" s="1"/>
      <c r="O164" s="1"/>
      <c r="P164" s="1"/>
      <c r="Q164" s="1"/>
      <c r="R164" s="1"/>
      <c r="S164" s="1"/>
      <c r="T164" s="1"/>
      <c r="U164" s="1"/>
      <c r="V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1:50">
      <c r="K165" s="1"/>
      <c r="L165" s="1"/>
      <c r="M165" s="24"/>
      <c r="N165" s="1"/>
      <c r="O165" s="1"/>
      <c r="P165" s="1"/>
      <c r="Q165" s="1"/>
      <c r="R165" s="1"/>
      <c r="S165" s="1"/>
      <c r="T165" s="1"/>
      <c r="U165" s="1"/>
      <c r="V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1:50">
      <c r="K166" s="1"/>
      <c r="L166" s="1"/>
      <c r="M166" s="24"/>
      <c r="N166" s="1"/>
      <c r="O166" s="1"/>
      <c r="P166" s="1"/>
      <c r="Q166" s="1"/>
      <c r="R166" s="1"/>
      <c r="S166" s="1"/>
      <c r="T166" s="1"/>
      <c r="U166" s="1"/>
      <c r="V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1:50">
      <c r="K167" s="1"/>
      <c r="L167" s="1"/>
      <c r="M167" s="24"/>
      <c r="N167" s="1"/>
      <c r="O167" s="1"/>
      <c r="P167" s="1"/>
      <c r="Q167" s="1"/>
      <c r="R167" s="1"/>
      <c r="S167" s="1"/>
      <c r="T167" s="1"/>
      <c r="U167" s="1"/>
      <c r="V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1:50">
      <c r="K168" s="1"/>
      <c r="L168" s="1"/>
      <c r="M168" s="24"/>
      <c r="N168" s="1"/>
      <c r="O168" s="1"/>
      <c r="P168" s="1"/>
      <c r="Q168" s="1"/>
      <c r="R168" s="1"/>
      <c r="S168" s="1"/>
      <c r="T168" s="1"/>
      <c r="U168" s="1"/>
      <c r="V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1:50">
      <c r="K169" s="1"/>
      <c r="L169" s="1"/>
      <c r="M169" s="24"/>
      <c r="N169" s="1"/>
      <c r="O169" s="1"/>
      <c r="P169" s="1"/>
      <c r="Q169" s="1"/>
      <c r="R169" s="1"/>
      <c r="S169" s="1"/>
      <c r="T169" s="1"/>
      <c r="U169" s="1"/>
      <c r="V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1:50">
      <c r="K170" s="1"/>
      <c r="L170" s="1"/>
      <c r="M170" s="24"/>
      <c r="N170" s="1"/>
      <c r="O170" s="1"/>
      <c r="P170" s="1"/>
      <c r="Q170" s="1"/>
      <c r="R170" s="1"/>
      <c r="S170" s="1"/>
      <c r="T170" s="1"/>
      <c r="U170" s="1"/>
      <c r="V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1:50">
      <c r="K171" s="1"/>
      <c r="L171" s="1"/>
      <c r="M171" s="24"/>
      <c r="N171" s="1"/>
      <c r="O171" s="1"/>
      <c r="P171" s="1"/>
      <c r="Q171" s="1"/>
      <c r="R171" s="1"/>
      <c r="S171" s="1"/>
      <c r="T171" s="1"/>
      <c r="U171" s="1"/>
      <c r="V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1:50">
      <c r="K172" s="1"/>
      <c r="L172" s="1"/>
      <c r="M172" s="24"/>
      <c r="N172" s="1"/>
      <c r="O172" s="1"/>
      <c r="P172" s="1"/>
      <c r="Q172" s="1"/>
      <c r="R172" s="1"/>
      <c r="S172" s="1"/>
      <c r="T172" s="1"/>
      <c r="U172" s="1"/>
      <c r="V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1:50">
      <c r="K173" s="1"/>
      <c r="L173" s="1"/>
      <c r="M173" s="24"/>
      <c r="N173" s="1"/>
      <c r="O173" s="1"/>
      <c r="P173" s="1"/>
      <c r="Q173" s="1"/>
      <c r="R173" s="1"/>
      <c r="S173" s="1"/>
      <c r="T173" s="1"/>
      <c r="U173" s="1"/>
      <c r="V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1:50">
      <c r="K174" s="1"/>
      <c r="L174" s="1"/>
      <c r="M174" s="24"/>
      <c r="N174" s="1"/>
      <c r="O174" s="1"/>
      <c r="P174" s="1"/>
      <c r="Q174" s="1"/>
      <c r="R174" s="1"/>
      <c r="S174" s="1"/>
      <c r="T174" s="1"/>
      <c r="U174" s="1"/>
      <c r="V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1:50">
      <c r="K175" s="1"/>
      <c r="L175" s="1"/>
      <c r="M175" s="24"/>
      <c r="N175" s="1"/>
      <c r="O175" s="1"/>
      <c r="P175" s="1"/>
      <c r="Q175" s="1"/>
      <c r="R175" s="1"/>
      <c r="S175" s="1"/>
      <c r="T175" s="1"/>
      <c r="U175" s="1"/>
      <c r="V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1:50">
      <c r="K176" s="1"/>
      <c r="L176" s="1"/>
      <c r="M176" s="24"/>
      <c r="N176" s="1"/>
      <c r="O176" s="1"/>
      <c r="P176" s="1"/>
      <c r="Q176" s="1"/>
      <c r="R176" s="1"/>
      <c r="S176" s="1"/>
      <c r="T176" s="1"/>
      <c r="U176" s="1"/>
      <c r="V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1:50">
      <c r="K177" s="1"/>
      <c r="L177" s="1"/>
      <c r="M177" s="24"/>
      <c r="N177" s="1"/>
      <c r="O177" s="1"/>
      <c r="P177" s="1"/>
      <c r="Q177" s="1"/>
      <c r="R177" s="1"/>
      <c r="S177" s="1"/>
      <c r="T177" s="1"/>
      <c r="U177" s="1"/>
      <c r="V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1:50">
      <c r="K178" s="1"/>
      <c r="L178" s="1"/>
      <c r="M178" s="24"/>
      <c r="N178" s="1"/>
      <c r="O178" s="1"/>
      <c r="P178" s="1"/>
      <c r="Q178" s="1"/>
      <c r="R178" s="1"/>
      <c r="S178" s="1"/>
      <c r="T178" s="1"/>
      <c r="U178" s="1"/>
      <c r="V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1:50">
      <c r="K179" s="1"/>
      <c r="L179" s="1"/>
      <c r="M179" s="24"/>
      <c r="N179" s="1"/>
      <c r="O179" s="1"/>
      <c r="P179" s="1"/>
      <c r="Q179" s="1"/>
      <c r="R179" s="1"/>
      <c r="S179" s="1"/>
      <c r="T179" s="1"/>
      <c r="U179" s="1"/>
      <c r="V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1:50">
      <c r="K180" s="1"/>
      <c r="L180" s="1"/>
      <c r="M180" s="24"/>
      <c r="N180" s="1"/>
      <c r="O180" s="1"/>
      <c r="P180" s="1"/>
      <c r="Q180" s="1"/>
      <c r="R180" s="1"/>
      <c r="S180" s="1"/>
      <c r="T180" s="1"/>
      <c r="U180" s="1"/>
      <c r="V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1:50">
      <c r="K181" s="1"/>
      <c r="L181" s="1"/>
      <c r="M181" s="24"/>
      <c r="N181" s="1"/>
      <c r="O181" s="1"/>
      <c r="P181" s="1"/>
      <c r="Q181" s="1"/>
      <c r="R181" s="1"/>
      <c r="S181" s="1"/>
      <c r="T181" s="1"/>
      <c r="U181" s="1"/>
      <c r="V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1:50">
      <c r="K182" s="1"/>
      <c r="L182" s="1"/>
      <c r="M182" s="24"/>
      <c r="N182" s="1"/>
      <c r="O182" s="1"/>
      <c r="P182" s="1"/>
      <c r="Q182" s="1"/>
      <c r="R182" s="1"/>
      <c r="S182" s="1"/>
      <c r="T182" s="1"/>
      <c r="U182" s="1"/>
      <c r="V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1:50">
      <c r="K183" s="1"/>
      <c r="L183" s="1"/>
      <c r="M183" s="24"/>
      <c r="N183" s="1"/>
      <c r="O183" s="1"/>
      <c r="P183" s="1"/>
      <c r="Q183" s="1"/>
      <c r="R183" s="1"/>
      <c r="S183" s="1"/>
      <c r="T183" s="1"/>
      <c r="U183" s="1"/>
      <c r="V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1:50">
      <c r="K184" s="1"/>
      <c r="L184" s="1"/>
      <c r="M184" s="24"/>
      <c r="N184" s="1"/>
      <c r="O184" s="1"/>
      <c r="P184" s="1"/>
      <c r="Q184" s="1"/>
      <c r="R184" s="1"/>
      <c r="S184" s="1"/>
      <c r="T184" s="1"/>
      <c r="U184" s="1"/>
      <c r="V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1:50">
      <c r="K185" s="1"/>
      <c r="L185" s="1"/>
      <c r="M185" s="24"/>
      <c r="N185" s="1"/>
      <c r="O185" s="1"/>
      <c r="P185" s="1"/>
      <c r="Q185" s="1"/>
      <c r="R185" s="1"/>
      <c r="S185" s="1"/>
      <c r="T185" s="1"/>
      <c r="U185" s="1"/>
      <c r="V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1:50">
      <c r="K186" s="1"/>
      <c r="L186" s="1"/>
      <c r="M186" s="24"/>
      <c r="N186" s="1"/>
      <c r="O186" s="1"/>
      <c r="P186" s="1"/>
      <c r="Q186" s="1"/>
      <c r="R186" s="1"/>
      <c r="S186" s="1"/>
      <c r="T186" s="1"/>
      <c r="U186" s="1"/>
      <c r="V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1:50">
      <c r="K187" s="1"/>
      <c r="L187" s="1"/>
      <c r="M187" s="24"/>
      <c r="N187" s="1"/>
      <c r="O187" s="1"/>
      <c r="P187" s="1"/>
      <c r="Q187" s="1"/>
      <c r="R187" s="1"/>
      <c r="S187" s="1"/>
      <c r="T187" s="1"/>
      <c r="U187" s="1"/>
      <c r="V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1:50">
      <c r="K188" s="1"/>
      <c r="L188" s="1"/>
      <c r="M188" s="24"/>
      <c r="N188" s="1"/>
      <c r="O188" s="1"/>
      <c r="P188" s="1"/>
      <c r="Q188" s="1"/>
      <c r="R188" s="1"/>
      <c r="S188" s="1"/>
      <c r="T188" s="1"/>
      <c r="U188" s="1"/>
      <c r="V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1:50">
      <c r="K189" s="1"/>
      <c r="L189" s="1"/>
      <c r="M189" s="24"/>
      <c r="N189" s="1"/>
      <c r="O189" s="1"/>
      <c r="P189" s="1"/>
      <c r="Q189" s="1"/>
      <c r="R189" s="1"/>
      <c r="S189" s="1"/>
      <c r="T189" s="1"/>
      <c r="U189" s="1"/>
      <c r="V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1:50">
      <c r="K190" s="1"/>
      <c r="L190" s="1"/>
      <c r="M190" s="24"/>
      <c r="N190" s="1"/>
      <c r="O190" s="1"/>
      <c r="P190" s="1"/>
      <c r="Q190" s="1"/>
      <c r="R190" s="1"/>
      <c r="S190" s="1"/>
      <c r="T190" s="1"/>
      <c r="U190" s="1"/>
      <c r="V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1:50">
      <c r="K191" s="1"/>
      <c r="L191" s="1"/>
      <c r="M191" s="24"/>
      <c r="N191" s="1"/>
      <c r="O191" s="1"/>
      <c r="P191" s="1"/>
      <c r="Q191" s="1"/>
      <c r="R191" s="1"/>
      <c r="S191" s="1"/>
      <c r="T191" s="1"/>
      <c r="U191" s="1"/>
      <c r="V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1:50">
      <c r="K192" s="1"/>
      <c r="L192" s="1"/>
      <c r="M192" s="24"/>
      <c r="N192" s="1"/>
      <c r="O192" s="1"/>
      <c r="P192" s="1"/>
      <c r="Q192" s="1"/>
      <c r="R192" s="1"/>
      <c r="S192" s="1"/>
      <c r="T192" s="1"/>
      <c r="U192" s="1"/>
      <c r="V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1:50">
      <c r="K193" s="1"/>
      <c r="L193" s="1"/>
      <c r="M193" s="24"/>
      <c r="N193" s="1"/>
      <c r="O193" s="1"/>
      <c r="P193" s="1"/>
      <c r="Q193" s="1"/>
      <c r="R193" s="1"/>
      <c r="S193" s="1"/>
      <c r="T193" s="1"/>
      <c r="U193" s="1"/>
      <c r="V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1:50">
      <c r="K194" s="1"/>
      <c r="L194" s="1"/>
      <c r="M194" s="24"/>
      <c r="N194" s="1"/>
      <c r="O194" s="1"/>
      <c r="P194" s="1"/>
      <c r="Q194" s="1"/>
      <c r="R194" s="1"/>
      <c r="S194" s="1"/>
      <c r="T194" s="1"/>
      <c r="U194" s="1"/>
      <c r="V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1:50">
      <c r="K195" s="1"/>
      <c r="L195" s="1"/>
      <c r="M195" s="24"/>
      <c r="N195" s="1"/>
      <c r="O195" s="1"/>
      <c r="P195" s="1"/>
      <c r="Q195" s="1"/>
      <c r="R195" s="1"/>
      <c r="S195" s="1"/>
      <c r="T195" s="1"/>
      <c r="U195" s="1"/>
      <c r="V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1:50">
      <c r="K196" s="1"/>
      <c r="L196" s="1"/>
      <c r="M196" s="24"/>
      <c r="N196" s="1"/>
      <c r="O196" s="1"/>
      <c r="P196" s="1"/>
      <c r="Q196" s="1"/>
      <c r="R196" s="1"/>
      <c r="S196" s="1"/>
      <c r="T196" s="1"/>
      <c r="U196" s="1"/>
      <c r="V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1:50">
      <c r="K197" s="1"/>
      <c r="L197" s="1"/>
      <c r="M197" s="24"/>
      <c r="N197" s="1"/>
      <c r="O197" s="1"/>
      <c r="P197" s="1"/>
      <c r="Q197" s="1"/>
      <c r="R197" s="1"/>
      <c r="S197" s="1"/>
      <c r="T197" s="1"/>
      <c r="U197" s="1"/>
      <c r="V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1:50">
      <c r="K198" s="1"/>
      <c r="L198" s="1"/>
      <c r="M198" s="24"/>
      <c r="N198" s="1"/>
      <c r="O198" s="1"/>
      <c r="P198" s="1"/>
      <c r="Q198" s="1"/>
      <c r="R198" s="1"/>
      <c r="S198" s="1"/>
      <c r="T198" s="1"/>
      <c r="U198" s="1"/>
      <c r="V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1:50">
      <c r="K199" s="1"/>
      <c r="L199" s="1"/>
      <c r="M199" s="24"/>
      <c r="N199" s="1"/>
      <c r="O199" s="1"/>
      <c r="P199" s="1"/>
      <c r="Q199" s="1"/>
      <c r="R199" s="1"/>
      <c r="S199" s="1"/>
      <c r="T199" s="1"/>
      <c r="U199" s="1"/>
      <c r="V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1:50">
      <c r="K200" s="1"/>
      <c r="L200" s="1"/>
      <c r="M200" s="24"/>
      <c r="N200" s="1"/>
      <c r="O200" s="1"/>
      <c r="P200" s="1"/>
      <c r="Q200" s="1"/>
      <c r="R200" s="1"/>
      <c r="S200" s="1"/>
      <c r="T200" s="1"/>
      <c r="U200" s="1"/>
      <c r="V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1:50">
      <c r="K201" s="1"/>
      <c r="L201" s="1"/>
      <c r="M201" s="24"/>
      <c r="N201" s="1"/>
      <c r="O201" s="1"/>
      <c r="P201" s="1"/>
      <c r="Q201" s="1"/>
      <c r="R201" s="1"/>
      <c r="S201" s="1"/>
      <c r="T201" s="1"/>
      <c r="U201" s="1"/>
      <c r="V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</sheetData>
  <phoneticPr fontId="16" type="noConversion"/>
  <conditionalFormatting sqref="A5:XFD104">
    <cfRule type="expression" dxfId="3" priority="1">
      <formula>MOD(ROW(),2)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7049-24FA-496D-86BE-8B48908962FE}">
  <dimension ref="A2:H65"/>
  <sheetViews>
    <sheetView showGridLines="0" zoomScale="85" zoomScaleNormal="85" workbookViewId="0"/>
  </sheetViews>
  <sheetFormatPr defaultRowHeight="16.5"/>
  <cols>
    <col min="1" max="1" width="5.75" style="101" customWidth="1"/>
    <col min="2" max="4" width="15.75" style="101" customWidth="1"/>
    <col min="5" max="5" width="10.75" style="101" customWidth="1"/>
    <col min="6" max="6" width="15.75" style="101" customWidth="1"/>
    <col min="7" max="8" width="60.75" style="101" customWidth="1"/>
  </cols>
  <sheetData>
    <row r="2" spans="2:8" ht="20.25">
      <c r="B2" s="102" t="s">
        <v>490</v>
      </c>
      <c r="C2" s="102"/>
      <c r="D2" s="103"/>
    </row>
    <row r="3" spans="2:8">
      <c r="B3" s="104" t="s">
        <v>288</v>
      </c>
      <c r="C3" s="104"/>
    </row>
    <row r="4" spans="2:8" ht="18">
      <c r="B4" s="104"/>
      <c r="C4" s="104"/>
      <c r="D4" s="103"/>
    </row>
    <row r="5" spans="2:8">
      <c r="B5" s="105" t="s">
        <v>289</v>
      </c>
      <c r="C5" s="105"/>
    </row>
    <row r="6" spans="2:8">
      <c r="B6" s="106"/>
      <c r="C6" s="106"/>
      <c r="D6" s="106"/>
      <c r="E6" s="106"/>
      <c r="F6" s="106"/>
      <c r="G6" s="106"/>
    </row>
    <row r="7" spans="2:8">
      <c r="B7" s="107" t="s">
        <v>290</v>
      </c>
      <c r="C7" s="108"/>
      <c r="H7" s="109" t="s">
        <v>291</v>
      </c>
    </row>
    <row r="8" spans="2:8" ht="17.25" thickBot="1">
      <c r="B8" s="106"/>
      <c r="C8" s="106"/>
      <c r="D8" s="106"/>
      <c r="E8" s="106"/>
      <c r="F8" s="106"/>
      <c r="G8" s="106"/>
    </row>
    <row r="9" spans="2:8" ht="32.1" customHeight="1">
      <c r="B9" s="111" t="s">
        <v>300</v>
      </c>
      <c r="C9" s="112" t="s">
        <v>52</v>
      </c>
      <c r="D9" s="112" t="s">
        <v>7</v>
      </c>
      <c r="E9" s="112" t="s">
        <v>88</v>
      </c>
      <c r="F9" s="119" t="s">
        <v>293</v>
      </c>
      <c r="G9" s="120" t="s">
        <v>294</v>
      </c>
      <c r="H9" s="121" t="s">
        <v>295</v>
      </c>
    </row>
    <row r="10" spans="2:8">
      <c r="B10" s="110" cm="1">
        <f t="array" ref="B10:H63">_xlfn.CHOOSECOLS(_xlfn._xlws.SORT(_xlfn.CHOOSECOLS(_xlfn._xlws.FILTER(MASTER!B5:U999,(MASTER!I5:I999&lt;&gt;"")*(MASTER!J5:J999&lt;&gt;"O")),1,2,3,4,6,13,16,20),8,1),1,2,3,4,5,6,7)</f>
        <v>2</v>
      </c>
      <c r="C10" s="113" t="str">
        <v>N.America</v>
      </c>
      <c r="D10" s="113" t="str">
        <v>XADCU</v>
      </c>
      <c r="E10" s="113" t="str">
        <v>Canada</v>
      </c>
      <c r="F10" s="114" t="str">
        <v>ca</v>
      </c>
      <c r="G10" s="115" t="str">
        <v/>
      </c>
      <c r="H10" s="123" t="str">
        <v/>
      </c>
    </row>
    <row r="11" spans="2:8">
      <c r="B11" s="110">
        <v>2</v>
      </c>
      <c r="C11" s="113" t="str">
        <v>N.America</v>
      </c>
      <c r="D11" s="113" t="str">
        <v>XADCU</v>
      </c>
      <c r="E11" s="113" t="str">
        <v>Canada</v>
      </c>
      <c r="F11" s="114" t="str">
        <v>ca_fr</v>
      </c>
      <c r="G11" s="115" t="str">
        <v/>
      </c>
      <c r="H11" s="123" t="str">
        <v/>
      </c>
    </row>
    <row r="12" spans="2:8" ht="38.25">
      <c r="B12" s="110">
        <v>1</v>
      </c>
      <c r="C12" s="113" t="str">
        <v>N.America</v>
      </c>
      <c r="D12" s="113" t="str">
        <v>XADU</v>
      </c>
      <c r="E12" s="113" t="str">
        <v>USA</v>
      </c>
      <c r="F12" s="114" t="str">
        <v>us</v>
      </c>
      <c r="G12" s="115" t="str">
        <v>https://company_name.com/us/offer/test-campaign-2026
https://company_name.com/us/offer/test-campaign-2026-other
https://company_name.com/us/offer/test-campaign-2026-another</v>
      </c>
      <c r="H12" s="123" t="str">
        <v>https://company_name.com/us/offer/test-campaign-2025
https://company_name.com/us/offer/test-campaign-2025-other</v>
      </c>
    </row>
    <row r="13" spans="2:8">
      <c r="B13" s="110">
        <v>2</v>
      </c>
      <c r="C13" s="113" t="str">
        <v>EU</v>
      </c>
      <c r="D13" s="113" t="str">
        <v>XADUX-UT</v>
      </c>
      <c r="E13" s="113" t="str">
        <v>Austria</v>
      </c>
      <c r="F13" s="114" t="str">
        <v>at</v>
      </c>
      <c r="G13" s="115" t="str">
        <v/>
      </c>
      <c r="H13" s="123" t="str">
        <v/>
      </c>
    </row>
    <row r="14" spans="2:8">
      <c r="B14" s="110">
        <v>2</v>
      </c>
      <c r="C14" s="113" t="str">
        <v>EU</v>
      </c>
      <c r="D14" s="113" t="str">
        <v>XADBN-BE</v>
      </c>
      <c r="E14" s="113" t="str">
        <v>Belgium</v>
      </c>
      <c r="F14" s="114" t="str">
        <v>be</v>
      </c>
      <c r="G14" s="115" t="str">
        <v/>
      </c>
      <c r="H14" s="123" t="str">
        <v/>
      </c>
    </row>
    <row r="15" spans="2:8">
      <c r="B15" s="110">
        <v>2</v>
      </c>
      <c r="C15" s="113" t="str">
        <v>EU</v>
      </c>
      <c r="D15" s="113" t="str">
        <v>XADROM</v>
      </c>
      <c r="E15" s="113" t="str">
        <v>Bulgaria</v>
      </c>
      <c r="F15" s="114" t="str">
        <v>bg</v>
      </c>
      <c r="G15" s="115" t="str">
        <v/>
      </c>
      <c r="H15" s="123" t="str">
        <v/>
      </c>
    </row>
    <row r="16" spans="2:8">
      <c r="B16" s="110">
        <v>2</v>
      </c>
      <c r="C16" s="113" t="str">
        <v>EU</v>
      </c>
      <c r="D16" s="113" t="str">
        <v>XADUX-CH</v>
      </c>
      <c r="E16" s="113" t="str">
        <v>Switzerland</v>
      </c>
      <c r="F16" s="114" t="str">
        <v>ch</v>
      </c>
      <c r="G16" s="115" t="str">
        <v/>
      </c>
      <c r="H16" s="123" t="str">
        <v/>
      </c>
    </row>
    <row r="17" spans="2:8">
      <c r="B17" s="110">
        <v>2</v>
      </c>
      <c r="C17" s="113" t="str">
        <v>EU</v>
      </c>
      <c r="D17" s="113" t="str">
        <v>XADUX-CH</v>
      </c>
      <c r="E17" s="113" t="str">
        <v>Switzerland</v>
      </c>
      <c r="F17" s="114" t="str">
        <v>ch_fr</v>
      </c>
      <c r="G17" s="115" t="str">
        <v/>
      </c>
      <c r="H17" s="123" t="str">
        <v/>
      </c>
    </row>
    <row r="18" spans="2:8">
      <c r="B18" s="110">
        <v>2</v>
      </c>
      <c r="C18" s="113" t="str">
        <v>EU</v>
      </c>
      <c r="D18" s="113" t="str">
        <v>XADCZ</v>
      </c>
      <c r="E18" s="113" t="str">
        <v>Czech</v>
      </c>
      <c r="F18" s="114" t="str">
        <v>cz</v>
      </c>
      <c r="G18" s="115" t="str">
        <v/>
      </c>
      <c r="H18" s="123" t="str">
        <v/>
      </c>
    </row>
    <row r="19" spans="2:8" ht="25.5">
      <c r="B19" s="110">
        <v>2</v>
      </c>
      <c r="C19" s="113" t="str">
        <v>EU</v>
      </c>
      <c r="D19" s="113" t="str">
        <v>XADG</v>
      </c>
      <c r="E19" s="113" t="str">
        <v>Germany</v>
      </c>
      <c r="F19" s="114" t="str">
        <v>de</v>
      </c>
      <c r="G19" s="115" t="str">
        <v>https://company_name.com/de/offer/test-campaign-2026
https://company_name.com/de/offer/test-campaign-2026-other</v>
      </c>
      <c r="H19" s="123" t="str">
        <v>https://company_name.com/de/offer/test-campaign-2025</v>
      </c>
    </row>
    <row r="20" spans="2:8">
      <c r="B20" s="110">
        <v>2</v>
      </c>
      <c r="C20" s="113" t="str">
        <v>EU</v>
      </c>
      <c r="D20" s="113" t="str">
        <v>XADIB-ES</v>
      </c>
      <c r="E20" s="113" t="str">
        <v>Spain</v>
      </c>
      <c r="F20" s="114" t="str">
        <v>es</v>
      </c>
      <c r="G20" s="115" t="str">
        <v/>
      </c>
      <c r="H20" s="123" t="str">
        <v/>
      </c>
    </row>
    <row r="21" spans="2:8">
      <c r="B21" s="110">
        <v>1</v>
      </c>
      <c r="C21" s="113" t="str">
        <v>EU</v>
      </c>
      <c r="D21" s="113" t="str">
        <v>XADF</v>
      </c>
      <c r="E21" s="113" t="str">
        <v>France</v>
      </c>
      <c r="F21" s="114" t="str">
        <v>fr</v>
      </c>
      <c r="G21" s="115" t="str">
        <v/>
      </c>
      <c r="H21" s="123" t="str">
        <v/>
      </c>
    </row>
    <row r="22" spans="2:8">
      <c r="B22" s="110">
        <v>2</v>
      </c>
      <c r="C22" s="113" t="str">
        <v>EU</v>
      </c>
      <c r="D22" s="113" t="str">
        <v>XADH</v>
      </c>
      <c r="E22" s="113" t="str">
        <v>Hungary</v>
      </c>
      <c r="F22" s="114" t="str">
        <v>hu</v>
      </c>
      <c r="G22" s="115" t="str">
        <v/>
      </c>
      <c r="H22" s="123" t="str">
        <v/>
      </c>
    </row>
    <row r="23" spans="2:8">
      <c r="B23" s="110">
        <v>2</v>
      </c>
      <c r="C23" s="113" t="str">
        <v>EU</v>
      </c>
      <c r="D23" s="113" t="str">
        <v>XADI</v>
      </c>
      <c r="E23" s="113" t="str">
        <v>Italy</v>
      </c>
      <c r="F23" s="114" t="str">
        <v>it</v>
      </c>
      <c r="G23" s="115" t="str">
        <v/>
      </c>
      <c r="H23" s="123" t="str">
        <v/>
      </c>
    </row>
    <row r="24" spans="2:8">
      <c r="B24" s="110">
        <v>2</v>
      </c>
      <c r="C24" s="113" t="str">
        <v>EU</v>
      </c>
      <c r="D24" s="113" t="str">
        <v>XADBN-NL</v>
      </c>
      <c r="E24" s="113" t="str">
        <v>Netherlands</v>
      </c>
      <c r="F24" s="114" t="str">
        <v>nl</v>
      </c>
      <c r="G24" s="115" t="str">
        <v/>
      </c>
      <c r="H24" s="123" t="str">
        <v/>
      </c>
    </row>
    <row r="25" spans="2:8">
      <c r="B25" s="110">
        <v>2</v>
      </c>
      <c r="C25" s="113" t="str">
        <v>EU</v>
      </c>
      <c r="D25" s="113" t="str">
        <v>XADIB-PT</v>
      </c>
      <c r="E25" s="113" t="str">
        <v>Portugal</v>
      </c>
      <c r="F25" s="114" t="str">
        <v>pt</v>
      </c>
      <c r="G25" s="115" t="str">
        <v/>
      </c>
      <c r="H25" s="123" t="str">
        <v/>
      </c>
    </row>
    <row r="26" spans="2:8">
      <c r="B26" s="110">
        <v>2</v>
      </c>
      <c r="C26" s="113" t="str">
        <v>EU</v>
      </c>
      <c r="D26" s="113" t="str">
        <v>XADROM</v>
      </c>
      <c r="E26" s="113" t="str">
        <v>Romania</v>
      </c>
      <c r="F26" s="114" t="str">
        <v>ro</v>
      </c>
      <c r="G26" s="115" t="str">
        <v/>
      </c>
      <c r="H26" s="123" t="str">
        <v/>
      </c>
    </row>
    <row r="27" spans="2:8">
      <c r="B27" s="110">
        <v>2</v>
      </c>
      <c r="C27" s="113" t="str">
        <v>EU</v>
      </c>
      <c r="D27" s="113" t="str">
        <v>XADCZ</v>
      </c>
      <c r="E27" s="113" t="str">
        <v>Slovakia</v>
      </c>
      <c r="F27" s="114" t="str">
        <v>sk</v>
      </c>
      <c r="G27" s="115" t="str">
        <v/>
      </c>
      <c r="H27" s="123" t="str">
        <v/>
      </c>
    </row>
    <row r="28" spans="2:8">
      <c r="B28" s="110">
        <v>2</v>
      </c>
      <c r="C28" s="113" t="str">
        <v>L.America</v>
      </c>
      <c r="D28" s="113" t="str">
        <v>XADUXU</v>
      </c>
      <c r="E28" s="113" t="str">
        <v>Argentina</v>
      </c>
      <c r="F28" s="114" t="str">
        <v>ar</v>
      </c>
      <c r="G28" s="115" t="str">
        <v/>
      </c>
      <c r="H28" s="123" t="str">
        <v/>
      </c>
    </row>
    <row r="29" spans="2:8">
      <c r="B29" s="110">
        <v>1</v>
      </c>
      <c r="C29" s="113" t="str">
        <v>L.America</v>
      </c>
      <c r="D29" s="113" t="str">
        <v>XADDU</v>
      </c>
      <c r="E29" s="113" t="str">
        <v>Brazil</v>
      </c>
      <c r="F29" s="114" t="str">
        <v>br</v>
      </c>
      <c r="G29" s="115" t="str">
        <v/>
      </c>
      <c r="H29" s="123" t="str">
        <v/>
      </c>
    </row>
    <row r="30" spans="2:8">
      <c r="B30" s="110">
        <v>2</v>
      </c>
      <c r="C30" s="113" t="str">
        <v>L.America</v>
      </c>
      <c r="D30" s="113" t="str">
        <v>XADCH</v>
      </c>
      <c r="E30" s="113" t="str">
        <v>Chile</v>
      </c>
      <c r="F30" s="114" t="str">
        <v>cl</v>
      </c>
      <c r="G30" s="115" t="str">
        <v/>
      </c>
      <c r="H30" s="123" t="str">
        <v/>
      </c>
    </row>
    <row r="31" spans="2:8">
      <c r="B31" s="110">
        <v>2</v>
      </c>
      <c r="C31" s="113" t="str">
        <v>L.America</v>
      </c>
      <c r="D31" s="113" t="str">
        <v>XUMCOL</v>
      </c>
      <c r="E31" s="113" t="str">
        <v>Colombia</v>
      </c>
      <c r="F31" s="114" t="str">
        <v>co</v>
      </c>
      <c r="G31" s="115" t="str">
        <v/>
      </c>
      <c r="H31" s="123" t="str">
        <v/>
      </c>
    </row>
    <row r="32" spans="2:8">
      <c r="B32" s="110">
        <v>2</v>
      </c>
      <c r="C32" s="113" t="str">
        <v>L.America</v>
      </c>
      <c r="D32" s="113" t="str">
        <v>XADLU</v>
      </c>
      <c r="E32" s="113" t="str">
        <v>Panama</v>
      </c>
      <c r="F32" s="114" t="str">
        <v>latin</v>
      </c>
      <c r="G32" s="115" t="str">
        <v/>
      </c>
      <c r="H32" s="123" t="str">
        <v/>
      </c>
    </row>
    <row r="33" spans="2:8">
      <c r="B33" s="110">
        <v>2</v>
      </c>
      <c r="C33" s="113" t="str">
        <v>L.America</v>
      </c>
      <c r="D33" s="113" t="str">
        <v>XADLU</v>
      </c>
      <c r="E33" s="113" t="str">
        <v>Panama</v>
      </c>
      <c r="F33" s="114" t="str">
        <v>latin_en</v>
      </c>
      <c r="G33" s="115" t="str">
        <v/>
      </c>
      <c r="H33" s="123" t="str">
        <v/>
      </c>
    </row>
    <row r="34" spans="2:8">
      <c r="B34" s="110">
        <v>1</v>
      </c>
      <c r="C34" s="113" t="str">
        <v>L.America</v>
      </c>
      <c r="D34" s="113" t="str">
        <v>XADM</v>
      </c>
      <c r="E34" s="113" t="str">
        <v>Mexico</v>
      </c>
      <c r="F34" s="114" t="str">
        <v>mx</v>
      </c>
      <c r="G34" s="115" t="str">
        <v/>
      </c>
      <c r="H34" s="123" t="str">
        <v/>
      </c>
    </row>
    <row r="35" spans="2:8">
      <c r="B35" s="110">
        <v>2</v>
      </c>
      <c r="C35" s="113" t="str">
        <v>L.America</v>
      </c>
      <c r="D35" s="113" t="str">
        <v>XADPR</v>
      </c>
      <c r="E35" s="113" t="str">
        <v>Peru</v>
      </c>
      <c r="F35" s="114" t="str">
        <v>pe</v>
      </c>
      <c r="G35" s="115" t="str">
        <v/>
      </c>
      <c r="H35" s="123" t="str">
        <v/>
      </c>
    </row>
    <row r="36" spans="2:8">
      <c r="B36" s="110">
        <v>2</v>
      </c>
      <c r="C36" s="113" t="str">
        <v>L.America</v>
      </c>
      <c r="D36" s="113" t="str">
        <v>XADLU</v>
      </c>
      <c r="E36" s="113" t="str">
        <v>Paraguay</v>
      </c>
      <c r="F36" s="114" t="str">
        <v>py</v>
      </c>
      <c r="G36" s="115" t="str">
        <v/>
      </c>
      <c r="H36" s="123" t="str">
        <v/>
      </c>
    </row>
    <row r="37" spans="2:8">
      <c r="B37" s="110">
        <v>2</v>
      </c>
      <c r="C37" s="113" t="str">
        <v>L.America</v>
      </c>
      <c r="D37" s="113" t="str">
        <v>XADLU</v>
      </c>
      <c r="E37" s="113" t="str">
        <v>Uruguay</v>
      </c>
      <c r="F37" s="114" t="str">
        <v>uy</v>
      </c>
      <c r="G37" s="115" t="str">
        <v/>
      </c>
      <c r="H37" s="123" t="str">
        <v/>
      </c>
    </row>
    <row r="38" spans="2:8">
      <c r="B38" s="110">
        <v>2</v>
      </c>
      <c r="C38" s="113" t="str">
        <v>S.E.Asia</v>
      </c>
      <c r="D38" s="113" t="str">
        <v>XADUU</v>
      </c>
      <c r="E38" s="113" t="str">
        <v>Australia</v>
      </c>
      <c r="F38" s="114" t="str">
        <v>au</v>
      </c>
      <c r="G38" s="115" t="str">
        <v/>
      </c>
      <c r="H38" s="123" t="str">
        <v/>
      </c>
    </row>
    <row r="39" spans="2:8">
      <c r="B39" s="110">
        <v>2</v>
      </c>
      <c r="C39" s="113" t="str">
        <v>S.E.Asia</v>
      </c>
      <c r="D39" s="113" t="str">
        <v>TXAD-TH</v>
      </c>
      <c r="E39" s="113" t="str">
        <v>Myanmar</v>
      </c>
      <c r="F39" s="114" t="str">
        <v>mm</v>
      </c>
      <c r="G39" s="115" t="str">
        <v/>
      </c>
      <c r="H39" s="123" t="str">
        <v/>
      </c>
    </row>
    <row r="40" spans="2:8">
      <c r="B40" s="110">
        <v>2</v>
      </c>
      <c r="C40" s="113" t="str">
        <v>S.E.Asia</v>
      </c>
      <c r="D40" s="113" t="str">
        <v>XADNZ</v>
      </c>
      <c r="E40" s="113" t="str">
        <v>New Zealand</v>
      </c>
      <c r="F40" s="114" t="str">
        <v>nz</v>
      </c>
      <c r="G40" s="115" t="str">
        <v/>
      </c>
      <c r="H40" s="123" t="str">
        <v/>
      </c>
    </row>
    <row r="41" spans="2:8">
      <c r="B41" s="110">
        <v>2</v>
      </c>
      <c r="C41" s="113" t="str">
        <v>S.E.Asia</v>
      </c>
      <c r="D41" s="113" t="str">
        <v>XADPCO</v>
      </c>
      <c r="E41" s="113" t="str">
        <v>Philippines</v>
      </c>
      <c r="F41" s="114" t="str">
        <v>ph</v>
      </c>
      <c r="G41" s="115" t="str">
        <v/>
      </c>
      <c r="H41" s="123" t="str">
        <v/>
      </c>
    </row>
    <row r="42" spans="2:8">
      <c r="B42" s="110">
        <v>2</v>
      </c>
      <c r="C42" s="113" t="str">
        <v>S.E.Asia</v>
      </c>
      <c r="D42" s="113" t="str">
        <v>TXAD-TH</v>
      </c>
      <c r="E42" s="113" t="str">
        <v>Thailand</v>
      </c>
      <c r="F42" s="114" t="str">
        <v>th</v>
      </c>
      <c r="G42" s="115" t="str">
        <v/>
      </c>
      <c r="H42" s="123" t="str">
        <v/>
      </c>
    </row>
    <row r="43" spans="2:8">
      <c r="B43" s="110">
        <v>2</v>
      </c>
      <c r="C43" s="113" t="str">
        <v>S.E.Asia</v>
      </c>
      <c r="D43" s="113" t="str">
        <v>XUVINU</v>
      </c>
      <c r="E43" s="113" t="str">
        <v>Vietnam</v>
      </c>
      <c r="F43" s="114" t="str">
        <v>vn</v>
      </c>
      <c r="G43" s="115" t="str">
        <v/>
      </c>
      <c r="H43" s="123" t="str">
        <v/>
      </c>
    </row>
    <row r="44" spans="2:8">
      <c r="B44" s="110">
        <v>2</v>
      </c>
      <c r="C44" s="113" t="str">
        <v>S.W.Asia</v>
      </c>
      <c r="D44" s="113" t="str">
        <v>XIADL</v>
      </c>
      <c r="E44" s="113" t="str">
        <v>Bangladesh</v>
      </c>
      <c r="F44" s="114" t="str">
        <v>bd</v>
      </c>
      <c r="G44" s="115" t="str">
        <v/>
      </c>
      <c r="H44" s="123" t="str">
        <v/>
      </c>
    </row>
    <row r="45" spans="2:8">
      <c r="B45" s="110">
        <v>2</v>
      </c>
      <c r="C45" s="113" t="str">
        <v>S.W.Asia</v>
      </c>
      <c r="D45" s="113" t="str">
        <v>XIADL</v>
      </c>
      <c r="E45" s="113" t="str">
        <v>India</v>
      </c>
      <c r="F45" s="114" t="str">
        <v>in</v>
      </c>
      <c r="G45" s="115" t="str">
        <v/>
      </c>
      <c r="H45" s="123" t="str">
        <v/>
      </c>
    </row>
    <row r="46" spans="2:8">
      <c r="B46" s="110">
        <v>2</v>
      </c>
      <c r="C46" s="113" t="str">
        <v>MENA</v>
      </c>
      <c r="D46" s="113" t="str">
        <v>XGAD</v>
      </c>
      <c r="E46" s="113" t="str">
        <v>UAE</v>
      </c>
      <c r="F46" s="114" t="str">
        <v>ae</v>
      </c>
      <c r="G46" s="115" t="str">
        <v/>
      </c>
      <c r="H46" s="123" t="str">
        <v/>
      </c>
    </row>
    <row r="47" spans="2:8">
      <c r="B47" s="110">
        <v>2</v>
      </c>
      <c r="C47" s="113" t="str">
        <v>MENA</v>
      </c>
      <c r="D47" s="113" t="str">
        <v>XGAD</v>
      </c>
      <c r="E47" s="113" t="str">
        <v>UAE</v>
      </c>
      <c r="F47" s="114" t="str">
        <v>ae_ar</v>
      </c>
      <c r="G47" s="115" t="str">
        <v/>
      </c>
      <c r="H47" s="123" t="str">
        <v/>
      </c>
    </row>
    <row r="48" spans="2:8">
      <c r="B48" s="110">
        <v>2</v>
      </c>
      <c r="C48" s="113" t="str">
        <v>MENA</v>
      </c>
      <c r="D48" s="113" t="str">
        <v>XADADG</v>
      </c>
      <c r="E48" s="113" t="str">
        <v>Egypt</v>
      </c>
      <c r="F48" s="114" t="str">
        <v>eg</v>
      </c>
      <c r="G48" s="115" t="str">
        <v/>
      </c>
      <c r="H48" s="123" t="str">
        <v/>
      </c>
    </row>
    <row r="49" spans="2:8">
      <c r="B49" s="110">
        <v>2</v>
      </c>
      <c r="C49" s="113" t="str">
        <v>MENA</v>
      </c>
      <c r="D49" s="113" t="str">
        <v>XADLV</v>
      </c>
      <c r="E49" s="113" t="str">
        <v>Iraq</v>
      </c>
      <c r="F49" s="114" t="str">
        <v>iq_ar</v>
      </c>
      <c r="G49" s="115" t="str">
        <v/>
      </c>
      <c r="H49" s="123" t="str">
        <v/>
      </c>
    </row>
    <row r="50" spans="2:8">
      <c r="B50" s="110">
        <v>2</v>
      </c>
      <c r="C50" s="113" t="str">
        <v>MENA</v>
      </c>
      <c r="D50" s="113" t="str">
        <v>XADLV</v>
      </c>
      <c r="E50" s="113" t="str">
        <v>Iraq</v>
      </c>
      <c r="F50" s="114" t="str">
        <v>iq_ku</v>
      </c>
      <c r="G50" s="115" t="str">
        <v/>
      </c>
      <c r="H50" s="123" t="str">
        <v/>
      </c>
    </row>
    <row r="51" spans="2:8">
      <c r="B51" s="110">
        <v>2</v>
      </c>
      <c r="C51" s="113" t="str">
        <v>MENA</v>
      </c>
      <c r="D51" s="113" t="str">
        <v>XADLV</v>
      </c>
      <c r="E51" s="113" t="str">
        <v>Lebanon</v>
      </c>
      <c r="F51" s="114" t="str">
        <v>lb</v>
      </c>
      <c r="G51" s="115" t="str">
        <v/>
      </c>
      <c r="H51" s="123" t="str">
        <v/>
      </c>
    </row>
    <row r="52" spans="2:8">
      <c r="B52" s="110">
        <v>2</v>
      </c>
      <c r="C52" s="113" t="str">
        <v>MENA</v>
      </c>
      <c r="D52" s="113" t="str">
        <v>XADLV</v>
      </c>
      <c r="E52" s="113" t="str">
        <v>Jordan</v>
      </c>
      <c r="F52" s="114" t="str">
        <v>levant</v>
      </c>
      <c r="G52" s="115" t="str">
        <v/>
      </c>
      <c r="H52" s="123" t="str">
        <v/>
      </c>
    </row>
    <row r="53" spans="2:8">
      <c r="B53" s="110">
        <v>2</v>
      </c>
      <c r="C53" s="113" t="str">
        <v>MENA</v>
      </c>
      <c r="D53" s="113" t="str">
        <v>XADLV</v>
      </c>
      <c r="E53" s="113" t="str">
        <v>Jordan</v>
      </c>
      <c r="F53" s="114" t="str">
        <v>levant_ar</v>
      </c>
      <c r="G53" s="115" t="str">
        <v/>
      </c>
      <c r="H53" s="123" t="str">
        <v/>
      </c>
    </row>
    <row r="54" spans="2:8">
      <c r="B54" s="110">
        <v>2</v>
      </c>
      <c r="C54" s="113" t="str">
        <v>MENA</v>
      </c>
      <c r="D54" s="113" t="str">
        <v>XADMUG</v>
      </c>
      <c r="E54" s="113" t="str">
        <v>Morocco</v>
      </c>
      <c r="F54" s="114" t="str">
        <v>n_africa</v>
      </c>
      <c r="G54" s="115" t="str">
        <v/>
      </c>
      <c r="H54" s="123" t="str">
        <v/>
      </c>
    </row>
    <row r="55" spans="2:8">
      <c r="B55" s="110">
        <v>2</v>
      </c>
      <c r="C55" s="113" t="str">
        <v>MENA</v>
      </c>
      <c r="D55" s="113" t="str">
        <v>XADPUK</v>
      </c>
      <c r="E55" s="113" t="str">
        <v>Pakistan</v>
      </c>
      <c r="F55" s="114" t="str">
        <v>pk</v>
      </c>
      <c r="G55" s="115" t="str">
        <v/>
      </c>
      <c r="H55" s="123" t="str">
        <v/>
      </c>
    </row>
    <row r="56" spans="2:8">
      <c r="B56" s="110">
        <v>1</v>
      </c>
      <c r="C56" s="113" t="str">
        <v>MENA</v>
      </c>
      <c r="D56" s="113" t="str">
        <v>XADTK</v>
      </c>
      <c r="E56" s="113" t="str">
        <v>Turkey</v>
      </c>
      <c r="F56" s="114" t="str">
        <v>tr</v>
      </c>
      <c r="G56" s="115" t="str">
        <v/>
      </c>
      <c r="H56" s="123" t="str">
        <v/>
      </c>
    </row>
    <row r="57" spans="2:8">
      <c r="B57" s="110">
        <v>2</v>
      </c>
      <c r="C57" s="113" t="str">
        <v>CIS</v>
      </c>
      <c r="D57" s="113" t="str">
        <v>XADCAD</v>
      </c>
      <c r="E57" s="113" t="str">
        <v>Kazakhstan</v>
      </c>
      <c r="F57" s="114" t="str">
        <v>kz_kz</v>
      </c>
      <c r="G57" s="115" t="str">
        <v/>
      </c>
      <c r="H57" s="123" t="str">
        <v/>
      </c>
    </row>
    <row r="58" spans="2:8">
      <c r="B58" s="110">
        <v>2</v>
      </c>
      <c r="C58" s="113" t="str">
        <v>CIS</v>
      </c>
      <c r="D58" s="113" t="str">
        <v>XADCAD</v>
      </c>
      <c r="E58" s="113" t="str">
        <v>Kazakhstan</v>
      </c>
      <c r="F58" s="114" t="str">
        <v>kz_ru</v>
      </c>
      <c r="G58" s="115" t="str">
        <v/>
      </c>
      <c r="H58" s="123" t="str">
        <v/>
      </c>
    </row>
    <row r="59" spans="2:8">
      <c r="B59" s="110">
        <v>2</v>
      </c>
      <c r="C59" s="113" t="str">
        <v>CIS</v>
      </c>
      <c r="D59" s="113" t="str">
        <v>XADCAD</v>
      </c>
      <c r="E59" s="113" t="str">
        <v>Mongolia</v>
      </c>
      <c r="F59" s="114" t="str">
        <v>mn</v>
      </c>
      <c r="G59" s="115" t="str">
        <v/>
      </c>
      <c r="H59" s="123" t="str">
        <v/>
      </c>
    </row>
    <row r="60" spans="2:8">
      <c r="B60" s="110">
        <v>2</v>
      </c>
      <c r="C60" s="113" t="str">
        <v>Africa</v>
      </c>
      <c r="D60" s="113" t="str">
        <v>XXU (ZU)</v>
      </c>
      <c r="E60" s="113" t="str">
        <v>South Africa</v>
      </c>
      <c r="F60" s="114" t="str">
        <v>za</v>
      </c>
      <c r="G60" s="115" t="str">
        <v/>
      </c>
      <c r="H60" s="123" t="str">
        <v/>
      </c>
    </row>
    <row r="61" spans="2:8">
      <c r="B61" s="110">
        <v>1</v>
      </c>
      <c r="C61" s="113" t="str">
        <v>China</v>
      </c>
      <c r="D61" s="113" t="str">
        <v>XCIC</v>
      </c>
      <c r="E61" s="113" t="str">
        <v>China</v>
      </c>
      <c r="F61" s="114" t="str">
        <v>cn</v>
      </c>
      <c r="G61" s="115" t="str">
        <v/>
      </c>
      <c r="H61" s="123" t="str">
        <v/>
      </c>
    </row>
    <row r="62" spans="2:8">
      <c r="B62" s="110">
        <v>2</v>
      </c>
      <c r="C62" s="113" t="str">
        <v>China</v>
      </c>
      <c r="D62" s="113" t="str">
        <v>XADHK</v>
      </c>
      <c r="E62" s="113" t="str">
        <v>Hong Kong</v>
      </c>
      <c r="F62" s="114" t="str">
        <v>hk</v>
      </c>
      <c r="G62" s="115" t="str">
        <v/>
      </c>
      <c r="H62" s="123" t="str">
        <v/>
      </c>
    </row>
    <row r="63" spans="2:8">
      <c r="B63" s="110">
        <v>2</v>
      </c>
      <c r="C63" s="113" t="str">
        <v>China</v>
      </c>
      <c r="D63" s="113" t="str">
        <v>XADT</v>
      </c>
      <c r="E63" s="113" t="str">
        <v>Taiwan</v>
      </c>
      <c r="F63" s="114" t="str">
        <v>tw</v>
      </c>
      <c r="G63" s="115" t="str">
        <v/>
      </c>
      <c r="H63" s="123" t="str">
        <v/>
      </c>
    </row>
    <row r="64" spans="2:8">
      <c r="B64" s="110"/>
      <c r="C64" s="113"/>
      <c r="D64" s="113"/>
      <c r="E64" s="113"/>
      <c r="F64" s="114"/>
      <c r="G64" s="115"/>
      <c r="H64" s="123"/>
    </row>
    <row r="65" spans="2:8" ht="17.25" thickBot="1">
      <c r="B65" s="124"/>
      <c r="C65" s="125"/>
      <c r="D65" s="125"/>
      <c r="E65" s="125"/>
      <c r="F65" s="126"/>
      <c r="G65" s="127"/>
      <c r="H65" s="128"/>
    </row>
  </sheetData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zoomScale="85" zoomScaleNormal="85" workbookViewId="0">
      <pane ySplit="1" topLeftCell="A2" activePane="bottomLeft" state="frozen"/>
      <selection pane="bottomLeft"/>
    </sheetView>
  </sheetViews>
  <sheetFormatPr defaultRowHeight="16.5"/>
  <cols>
    <col min="1" max="1" width="11.5" style="19" bestFit="1" customWidth="1"/>
    <col min="3" max="3" width="13.75" bestFit="1" customWidth="1"/>
  </cols>
  <sheetData>
    <row r="1" spans="1:3">
      <c r="A1" s="20" t="s">
        <v>21</v>
      </c>
      <c r="B1" s="18" t="s">
        <v>10</v>
      </c>
      <c r="C1" s="18" t="s">
        <v>22</v>
      </c>
    </row>
    <row r="2" spans="1:3">
      <c r="A2" s="20">
        <f t="shared" ref="A2:A33" si="0">IF(B2="","",ROW()-1)</f>
        <v>1</v>
      </c>
      <c r="B2" s="18" t="s">
        <v>23</v>
      </c>
      <c r="C2" s="18">
        <f t="shared" ref="C2:C33" si="1">IF(B2="","",1)</f>
        <v>1</v>
      </c>
    </row>
    <row r="3" spans="1:3">
      <c r="A3" s="20">
        <f t="shared" si="0"/>
        <v>2</v>
      </c>
      <c r="B3" s="18" t="s">
        <v>479</v>
      </c>
      <c r="C3" s="18">
        <f t="shared" si="1"/>
        <v>1</v>
      </c>
    </row>
    <row r="4" spans="1:3">
      <c r="A4" s="20">
        <f t="shared" si="0"/>
        <v>3</v>
      </c>
      <c r="B4" s="18" t="s">
        <v>478</v>
      </c>
      <c r="C4" s="18">
        <f t="shared" si="1"/>
        <v>1</v>
      </c>
    </row>
    <row r="5" spans="1:3">
      <c r="A5" s="20">
        <f t="shared" si="0"/>
        <v>4</v>
      </c>
      <c r="B5" s="18" t="s">
        <v>26</v>
      </c>
      <c r="C5" s="18">
        <f t="shared" si="1"/>
        <v>1</v>
      </c>
    </row>
    <row r="6" spans="1:3">
      <c r="A6" s="20">
        <f t="shared" si="0"/>
        <v>5</v>
      </c>
      <c r="B6" s="18" t="s">
        <v>27</v>
      </c>
      <c r="C6" s="18">
        <f t="shared" si="1"/>
        <v>1</v>
      </c>
    </row>
    <row r="7" spans="1:3">
      <c r="A7" s="20">
        <f t="shared" si="0"/>
        <v>6</v>
      </c>
      <c r="B7" s="18" t="s">
        <v>28</v>
      </c>
      <c r="C7" s="18">
        <f t="shared" si="1"/>
        <v>1</v>
      </c>
    </row>
    <row r="8" spans="1:3">
      <c r="A8" s="20">
        <f t="shared" si="0"/>
        <v>7</v>
      </c>
      <c r="B8" s="18" t="s">
        <v>29</v>
      </c>
      <c r="C8" s="18">
        <f t="shared" si="1"/>
        <v>1</v>
      </c>
    </row>
    <row r="9" spans="1:3">
      <c r="A9" s="20">
        <f t="shared" si="0"/>
        <v>8</v>
      </c>
      <c r="B9" s="18" t="s">
        <v>30</v>
      </c>
      <c r="C9" s="18">
        <f t="shared" si="1"/>
        <v>1</v>
      </c>
    </row>
    <row r="10" spans="1:3">
      <c r="A10" s="20">
        <f t="shared" si="0"/>
        <v>9</v>
      </c>
      <c r="B10" s="18" t="s">
        <v>31</v>
      </c>
      <c r="C10" s="18">
        <f t="shared" si="1"/>
        <v>1</v>
      </c>
    </row>
    <row r="11" spans="1:3">
      <c r="A11" s="20" t="str">
        <f t="shared" si="0"/>
        <v/>
      </c>
      <c r="B11" s="18"/>
      <c r="C11" s="18" t="str">
        <f t="shared" si="1"/>
        <v/>
      </c>
    </row>
    <row r="12" spans="1:3">
      <c r="A12" s="20" t="str">
        <f t="shared" si="0"/>
        <v/>
      </c>
      <c r="B12" s="18"/>
      <c r="C12" s="18" t="str">
        <f t="shared" si="1"/>
        <v/>
      </c>
    </row>
    <row r="13" spans="1:3">
      <c r="A13" s="20" t="str">
        <f t="shared" si="0"/>
        <v/>
      </c>
      <c r="B13" s="18"/>
      <c r="C13" s="18" t="str">
        <f t="shared" si="1"/>
        <v/>
      </c>
    </row>
    <row r="14" spans="1:3">
      <c r="A14" s="20" t="str">
        <f t="shared" si="0"/>
        <v/>
      </c>
      <c r="B14" s="18"/>
      <c r="C14" s="18" t="str">
        <f t="shared" si="1"/>
        <v/>
      </c>
    </row>
    <row r="15" spans="1:3">
      <c r="A15" s="20" t="str">
        <f t="shared" si="0"/>
        <v/>
      </c>
      <c r="B15" s="18"/>
      <c r="C15" s="18" t="str">
        <f t="shared" si="1"/>
        <v/>
      </c>
    </row>
    <row r="16" spans="1:3">
      <c r="A16" s="20" t="str">
        <f t="shared" si="0"/>
        <v/>
      </c>
      <c r="B16" s="18"/>
      <c r="C16" s="18" t="str">
        <f t="shared" si="1"/>
        <v/>
      </c>
    </row>
    <row r="17" spans="1:3">
      <c r="A17" s="20" t="str">
        <f t="shared" si="0"/>
        <v/>
      </c>
      <c r="B17" s="18"/>
      <c r="C17" s="18" t="str">
        <f t="shared" si="1"/>
        <v/>
      </c>
    </row>
    <row r="18" spans="1:3">
      <c r="A18" s="20" t="str">
        <f t="shared" si="0"/>
        <v/>
      </c>
      <c r="B18" s="18"/>
      <c r="C18" s="18" t="str">
        <f t="shared" si="1"/>
        <v/>
      </c>
    </row>
    <row r="19" spans="1:3">
      <c r="A19" s="20" t="str">
        <f t="shared" si="0"/>
        <v/>
      </c>
      <c r="B19" s="18"/>
      <c r="C19" s="18" t="str">
        <f t="shared" si="1"/>
        <v/>
      </c>
    </row>
    <row r="20" spans="1:3">
      <c r="A20" s="20" t="str">
        <f t="shared" si="0"/>
        <v/>
      </c>
      <c r="B20" s="18"/>
      <c r="C20" s="18" t="str">
        <f t="shared" si="1"/>
        <v/>
      </c>
    </row>
    <row r="21" spans="1:3">
      <c r="A21" s="20" t="str">
        <f t="shared" si="0"/>
        <v/>
      </c>
      <c r="B21" s="18"/>
      <c r="C21" s="18" t="str">
        <f t="shared" si="1"/>
        <v/>
      </c>
    </row>
    <row r="22" spans="1:3">
      <c r="A22" s="20" t="str">
        <f t="shared" si="0"/>
        <v/>
      </c>
      <c r="B22" s="18"/>
      <c r="C22" s="18" t="str">
        <f t="shared" si="1"/>
        <v/>
      </c>
    </row>
    <row r="23" spans="1:3">
      <c r="A23" s="20" t="str">
        <f t="shared" si="0"/>
        <v/>
      </c>
      <c r="B23" s="18"/>
      <c r="C23" s="18" t="str">
        <f t="shared" si="1"/>
        <v/>
      </c>
    </row>
    <row r="24" spans="1:3">
      <c r="A24" s="20" t="str">
        <f t="shared" si="0"/>
        <v/>
      </c>
      <c r="B24" s="18"/>
      <c r="C24" s="18" t="str">
        <f t="shared" si="1"/>
        <v/>
      </c>
    </row>
    <row r="25" spans="1:3">
      <c r="A25" s="20" t="str">
        <f t="shared" si="0"/>
        <v/>
      </c>
      <c r="B25" s="18"/>
      <c r="C25" s="18" t="str">
        <f t="shared" si="1"/>
        <v/>
      </c>
    </row>
    <row r="26" spans="1:3">
      <c r="A26" s="20" t="str">
        <f t="shared" si="0"/>
        <v/>
      </c>
      <c r="B26" s="18"/>
      <c r="C26" s="18" t="str">
        <f t="shared" si="1"/>
        <v/>
      </c>
    </row>
    <row r="27" spans="1:3">
      <c r="A27" s="20" t="str">
        <f t="shared" si="0"/>
        <v/>
      </c>
      <c r="B27" s="18"/>
      <c r="C27" s="18" t="str">
        <f t="shared" si="1"/>
        <v/>
      </c>
    </row>
    <row r="28" spans="1:3">
      <c r="A28" s="20" t="str">
        <f t="shared" si="0"/>
        <v/>
      </c>
      <c r="B28" s="18"/>
      <c r="C28" s="18" t="str">
        <f t="shared" si="1"/>
        <v/>
      </c>
    </row>
    <row r="29" spans="1:3">
      <c r="A29" s="20" t="str">
        <f t="shared" si="0"/>
        <v/>
      </c>
      <c r="B29" s="18"/>
      <c r="C29" s="18" t="str">
        <f t="shared" si="1"/>
        <v/>
      </c>
    </row>
    <row r="30" spans="1:3">
      <c r="A30" s="20" t="str">
        <f t="shared" si="0"/>
        <v/>
      </c>
      <c r="B30" s="18"/>
      <c r="C30" s="18" t="str">
        <f t="shared" si="1"/>
        <v/>
      </c>
    </row>
    <row r="31" spans="1:3">
      <c r="A31" s="20" t="str">
        <f t="shared" si="0"/>
        <v/>
      </c>
      <c r="B31" s="18"/>
      <c r="C31" s="18" t="str">
        <f t="shared" si="1"/>
        <v/>
      </c>
    </row>
    <row r="32" spans="1:3">
      <c r="A32" s="20" t="str">
        <f t="shared" si="0"/>
        <v/>
      </c>
      <c r="B32" s="18"/>
      <c r="C32" s="18" t="str">
        <f t="shared" si="1"/>
        <v/>
      </c>
    </row>
    <row r="33" spans="1:3">
      <c r="A33" s="20" t="str">
        <f t="shared" si="0"/>
        <v/>
      </c>
      <c r="B33" s="18"/>
      <c r="C33" s="18" t="str">
        <f t="shared" si="1"/>
        <v/>
      </c>
    </row>
    <row r="34" spans="1:3">
      <c r="A34" s="20" t="str">
        <f t="shared" ref="A34:A50" si="2">IF(B34="","",ROW()-1)</f>
        <v/>
      </c>
      <c r="B34" s="18"/>
      <c r="C34" s="18" t="str">
        <f t="shared" ref="C34:C50" si="3">IF(B34="","",1)</f>
        <v/>
      </c>
    </row>
    <row r="35" spans="1:3">
      <c r="A35" s="20" t="str">
        <f t="shared" si="2"/>
        <v/>
      </c>
      <c r="B35" s="18"/>
      <c r="C35" s="18" t="str">
        <f t="shared" si="3"/>
        <v/>
      </c>
    </row>
    <row r="36" spans="1:3">
      <c r="A36" s="20" t="str">
        <f t="shared" si="2"/>
        <v/>
      </c>
      <c r="B36" s="18"/>
      <c r="C36" s="18" t="str">
        <f t="shared" si="3"/>
        <v/>
      </c>
    </row>
    <row r="37" spans="1:3">
      <c r="A37" s="20" t="str">
        <f t="shared" si="2"/>
        <v/>
      </c>
      <c r="B37" s="18"/>
      <c r="C37" s="18" t="str">
        <f t="shared" si="3"/>
        <v/>
      </c>
    </row>
    <row r="38" spans="1:3">
      <c r="A38" s="20" t="str">
        <f t="shared" si="2"/>
        <v/>
      </c>
      <c r="B38" s="18"/>
      <c r="C38" s="18" t="str">
        <f t="shared" si="3"/>
        <v/>
      </c>
    </row>
    <row r="39" spans="1:3">
      <c r="A39" s="20" t="str">
        <f t="shared" si="2"/>
        <v/>
      </c>
      <c r="B39" s="18"/>
      <c r="C39" s="18" t="str">
        <f t="shared" si="3"/>
        <v/>
      </c>
    </row>
    <row r="40" spans="1:3">
      <c r="A40" s="20" t="str">
        <f t="shared" si="2"/>
        <v/>
      </c>
      <c r="B40" s="18"/>
      <c r="C40" s="18" t="str">
        <f t="shared" si="3"/>
        <v/>
      </c>
    </row>
    <row r="41" spans="1:3">
      <c r="A41" s="20" t="str">
        <f t="shared" si="2"/>
        <v/>
      </c>
      <c r="B41" s="18"/>
      <c r="C41" s="18" t="str">
        <f t="shared" si="3"/>
        <v/>
      </c>
    </row>
    <row r="42" spans="1:3">
      <c r="A42" s="20" t="str">
        <f t="shared" si="2"/>
        <v/>
      </c>
      <c r="B42" s="18"/>
      <c r="C42" s="18" t="str">
        <f t="shared" si="3"/>
        <v/>
      </c>
    </row>
    <row r="43" spans="1:3">
      <c r="A43" s="20" t="str">
        <f t="shared" si="2"/>
        <v/>
      </c>
      <c r="B43" s="18"/>
      <c r="C43" s="18" t="str">
        <f t="shared" si="3"/>
        <v/>
      </c>
    </row>
    <row r="44" spans="1:3">
      <c r="A44" s="20" t="str">
        <f t="shared" si="2"/>
        <v/>
      </c>
      <c r="B44" s="18"/>
      <c r="C44" s="18" t="str">
        <f t="shared" si="3"/>
        <v/>
      </c>
    </row>
    <row r="45" spans="1:3">
      <c r="A45" s="20" t="str">
        <f t="shared" si="2"/>
        <v/>
      </c>
      <c r="B45" s="18"/>
      <c r="C45" s="18" t="str">
        <f t="shared" si="3"/>
        <v/>
      </c>
    </row>
    <row r="46" spans="1:3">
      <c r="A46" s="20" t="str">
        <f t="shared" si="2"/>
        <v/>
      </c>
      <c r="B46" s="18"/>
      <c r="C46" s="18" t="str">
        <f t="shared" si="3"/>
        <v/>
      </c>
    </row>
    <row r="47" spans="1:3">
      <c r="A47" s="20" t="str">
        <f t="shared" si="2"/>
        <v/>
      </c>
      <c r="B47" s="18"/>
      <c r="C47" s="18" t="str">
        <f t="shared" si="3"/>
        <v/>
      </c>
    </row>
    <row r="48" spans="1:3">
      <c r="A48" s="20" t="str">
        <f t="shared" si="2"/>
        <v/>
      </c>
      <c r="B48" s="18"/>
      <c r="C48" s="18" t="str">
        <f t="shared" si="3"/>
        <v/>
      </c>
    </row>
    <row r="49" spans="1:3">
      <c r="A49" s="20" t="str">
        <f t="shared" si="2"/>
        <v/>
      </c>
      <c r="B49" s="18"/>
      <c r="C49" s="18" t="str">
        <f t="shared" si="3"/>
        <v/>
      </c>
    </row>
    <row r="50" spans="1:3">
      <c r="A50" s="20" t="str">
        <f t="shared" si="2"/>
        <v/>
      </c>
      <c r="B50" s="18"/>
      <c r="C50" s="18" t="str">
        <f t="shared" si="3"/>
        <v/>
      </c>
    </row>
  </sheetData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0"/>
  <sheetViews>
    <sheetView zoomScale="85" zoomScaleNormal="85" workbookViewId="0">
      <pane ySplit="1" topLeftCell="A2" activePane="bottomLeft" state="frozen"/>
      <selection pane="bottomLeft"/>
    </sheetView>
  </sheetViews>
  <sheetFormatPr defaultRowHeight="16.5"/>
  <cols>
    <col min="1" max="1" width="11.5" bestFit="1" customWidth="1"/>
    <col min="2" max="2" width="13.5" bestFit="1" customWidth="1"/>
    <col min="3" max="3" width="9.25" bestFit="1" customWidth="1"/>
    <col min="4" max="4" width="56.25" bestFit="1" customWidth="1"/>
    <col min="5" max="5" width="32.625" bestFit="1" customWidth="1"/>
    <col min="6" max="6" width="55.625" customWidth="1"/>
    <col min="7" max="7" width="34.625" bestFit="1" customWidth="1"/>
    <col min="8" max="8" width="34.5" bestFit="1" customWidth="1"/>
  </cols>
  <sheetData>
    <row r="1" spans="1:10" ht="33" customHeight="1">
      <c r="A1" t="s">
        <v>21</v>
      </c>
      <c r="B1" s="18" t="s">
        <v>32</v>
      </c>
      <c r="C1" s="18" t="s">
        <v>10</v>
      </c>
      <c r="D1" s="18" t="s">
        <v>33</v>
      </c>
      <c r="E1" s="18" t="s">
        <v>34</v>
      </c>
      <c r="F1" s="18" t="s">
        <v>35</v>
      </c>
      <c r="G1" s="27" t="str">
        <f>"TY ref-현재 master site대비 없는 site
("&amp;COUNTA(G2:G999)&amp;")"</f>
        <v>TY ref-현재 master site대비 없는 site
(56)</v>
      </c>
      <c r="H1" s="27" t="str">
        <f>"LY ref-현재 master site대비 없는 site
("&amp;COUNTA(H2:H999)&amp;")"</f>
        <v>LY ref-현재 master site대비 없는 site
(73)</v>
      </c>
      <c r="I1" s="18" t="s">
        <v>36</v>
      </c>
      <c r="J1" s="18" t="s">
        <v>37</v>
      </c>
    </row>
    <row r="2" spans="1:10">
      <c r="A2" s="18">
        <f t="shared" ref="A2:A65" si="0">IF(C2="","",ROW()-1)</f>
        <v>1</v>
      </c>
      <c r="B2" s="18" t="s">
        <v>36</v>
      </c>
      <c r="C2" s="18" t="s">
        <v>31</v>
      </c>
      <c r="D2" s="26" t="s">
        <v>480</v>
      </c>
      <c r="E2" s="18" t="s">
        <v>38</v>
      </c>
      <c r="F2" s="25" t="s">
        <v>276</v>
      </c>
      <c r="G2" s="18" t="str">
        <f t="array" ref="G2:G57">_xlfn.UNIQUE(_xlfn._xlws.FILTER(MASTER!G5:G999, (COUNTIF(I2:I999, MASTER!G5:G999)=0)*(MASTER!I5:I999&lt;&gt;""), ""))</f>
        <v>ae</v>
      </c>
      <c r="H2" s="18" t="str">
        <f t="array" ref="H2:H74">_xlfn.UNIQUE(_xlfn._xlws.FILTER(MASTER!G5:G999, (COUNTIF(J2:J999, MASTER!G5:G999)=0)*(MASTER!L5:L999&lt;&gt;""), ""))</f>
        <v>ae</v>
      </c>
      <c r="I2" s="18" t="str">
        <f t="array" ref="I2:I4">_xlfn.UNIQUE(_xlfn._xlws.FILTER(C2:C999,B2:B999="TY"))</f>
        <v>us</v>
      </c>
      <c r="J2" s="18" t="str">
        <f t="array" ref="J2:J3">_xlfn.UNIQUE(_xlfn._xlws.FILTER(C2:C999,B2:B999="LY"))</f>
        <v>us</v>
      </c>
    </row>
    <row r="3" spans="1:10">
      <c r="A3" s="18">
        <f t="shared" si="0"/>
        <v>2</v>
      </c>
      <c r="B3" s="18" t="s">
        <v>36</v>
      </c>
      <c r="C3" s="18" t="s">
        <v>31</v>
      </c>
      <c r="D3" s="26" t="s">
        <v>481</v>
      </c>
      <c r="E3" s="18" t="s">
        <v>39</v>
      </c>
      <c r="F3" s="25" t="s">
        <v>277</v>
      </c>
      <c r="G3" s="18" t="str">
        <v>ae_ar</v>
      </c>
      <c r="H3" s="18" t="str">
        <v>ae_ar</v>
      </c>
      <c r="I3" s="18" t="str">
        <v>de</v>
      </c>
      <c r="J3" s="18" t="str">
        <v>de</v>
      </c>
    </row>
    <row r="4" spans="1:10">
      <c r="A4" s="18">
        <f t="shared" si="0"/>
        <v>3</v>
      </c>
      <c r="B4" s="18" t="s">
        <v>36</v>
      </c>
      <c r="C4" s="18" t="s">
        <v>31</v>
      </c>
      <c r="D4" s="26" t="s">
        <v>482</v>
      </c>
      <c r="E4" s="18" t="s">
        <v>40</v>
      </c>
      <c r="F4" s="25" t="s">
        <v>278</v>
      </c>
      <c r="G4" s="18" t="str">
        <v>ar</v>
      </c>
      <c r="H4" s="18" t="str">
        <v>africa_en</v>
      </c>
      <c r="I4" s="18" t="str">
        <v>sec</v>
      </c>
      <c r="J4" s="18"/>
    </row>
    <row r="5" spans="1:10">
      <c r="A5" s="18">
        <f t="shared" si="0"/>
        <v>4</v>
      </c>
      <c r="B5" s="18" t="s">
        <v>37</v>
      </c>
      <c r="C5" s="18" t="s">
        <v>31</v>
      </c>
      <c r="D5" s="26" t="s">
        <v>483</v>
      </c>
      <c r="E5" s="18" t="s">
        <v>41</v>
      </c>
      <c r="F5" s="25" t="s">
        <v>276</v>
      </c>
      <c r="G5" s="18" t="str">
        <v>at</v>
      </c>
      <c r="H5" s="18" t="str">
        <v>africa_fr</v>
      </c>
      <c r="I5" s="18"/>
      <c r="J5" s="18"/>
    </row>
    <row r="6" spans="1:10">
      <c r="A6" s="18">
        <f t="shared" si="0"/>
        <v>5</v>
      </c>
      <c r="B6" s="18" t="s">
        <v>37</v>
      </c>
      <c r="C6" s="18" t="s">
        <v>31</v>
      </c>
      <c r="D6" s="26" t="s">
        <v>484</v>
      </c>
      <c r="E6" s="18" t="s">
        <v>42</v>
      </c>
      <c r="F6" s="25" t="s">
        <v>277</v>
      </c>
      <c r="G6" s="18" t="str">
        <v>au</v>
      </c>
      <c r="H6" s="18" t="str">
        <v>africa_pt</v>
      </c>
      <c r="I6" s="18"/>
      <c r="J6" s="18"/>
    </row>
    <row r="7" spans="1:10">
      <c r="A7" s="18">
        <f t="shared" si="0"/>
        <v>6</v>
      </c>
      <c r="B7" s="18" t="s">
        <v>36</v>
      </c>
      <c r="C7" s="18" t="s">
        <v>24</v>
      </c>
      <c r="D7" s="26" t="s">
        <v>485</v>
      </c>
      <c r="E7" s="18" t="s">
        <v>43</v>
      </c>
      <c r="F7" s="25" t="s">
        <v>276</v>
      </c>
      <c r="G7" s="18" t="str">
        <v>bd</v>
      </c>
      <c r="H7" s="18" t="str">
        <v>al</v>
      </c>
      <c r="I7" s="18"/>
      <c r="J7" s="18"/>
    </row>
    <row r="8" spans="1:10">
      <c r="A8" s="18">
        <f t="shared" si="0"/>
        <v>7</v>
      </c>
      <c r="B8" s="18" t="s">
        <v>36</v>
      </c>
      <c r="C8" s="18" t="s">
        <v>24</v>
      </c>
      <c r="D8" s="26" t="s">
        <v>486</v>
      </c>
      <c r="E8" s="18" t="s">
        <v>44</v>
      </c>
      <c r="F8" s="25"/>
      <c r="G8" s="18" t="str">
        <v>be</v>
      </c>
      <c r="H8" s="18" t="str">
        <v>ar</v>
      </c>
      <c r="I8" s="18"/>
      <c r="J8" s="18"/>
    </row>
    <row r="9" spans="1:10">
      <c r="A9" s="18">
        <f t="shared" si="0"/>
        <v>8</v>
      </c>
      <c r="B9" s="18" t="s">
        <v>37</v>
      </c>
      <c r="C9" s="18" t="s">
        <v>24</v>
      </c>
      <c r="D9" s="26" t="s">
        <v>487</v>
      </c>
      <c r="E9" s="18" t="s">
        <v>45</v>
      </c>
      <c r="F9" s="25" t="s">
        <v>276</v>
      </c>
      <c r="G9" s="18" t="str">
        <v>be_fr</v>
      </c>
      <c r="H9" s="18" t="str">
        <v>at</v>
      </c>
      <c r="I9" s="18"/>
      <c r="J9" s="18"/>
    </row>
    <row r="10" spans="1:10">
      <c r="A10" s="18">
        <f t="shared" si="0"/>
        <v>9</v>
      </c>
      <c r="B10" s="18" t="s">
        <v>36</v>
      </c>
      <c r="C10" s="18" t="s">
        <v>27</v>
      </c>
      <c r="D10" s="26" t="s">
        <v>488</v>
      </c>
      <c r="E10" s="18" t="s">
        <v>46</v>
      </c>
      <c r="F10" s="25" t="s">
        <v>276</v>
      </c>
      <c r="G10" s="18" t="str">
        <v>bg</v>
      </c>
      <c r="H10" s="18" t="str">
        <v>au</v>
      </c>
      <c r="I10" s="18"/>
      <c r="J10" s="18"/>
    </row>
    <row r="11" spans="1:10">
      <c r="A11" s="18" t="str">
        <f t="shared" si="0"/>
        <v/>
      </c>
      <c r="B11" s="18"/>
      <c r="C11" s="18"/>
      <c r="D11" s="26"/>
      <c r="E11" s="18"/>
      <c r="F11" s="25"/>
      <c r="G11" s="18" t="str">
        <v>br</v>
      </c>
      <c r="H11" s="18" t="str">
        <v>az</v>
      </c>
      <c r="I11" s="18"/>
      <c r="J11" s="18"/>
    </row>
    <row r="12" spans="1:10">
      <c r="A12" s="18" t="str">
        <f t="shared" si="0"/>
        <v/>
      </c>
      <c r="B12" s="18"/>
      <c r="C12" s="18"/>
      <c r="F12" s="25"/>
      <c r="G12" s="18" t="str">
        <v>ca</v>
      </c>
      <c r="H12" s="18" t="str">
        <v>ba</v>
      </c>
      <c r="I12" s="18"/>
      <c r="J12" s="18"/>
    </row>
    <row r="13" spans="1:10">
      <c r="A13" s="18" t="str">
        <f t="shared" si="0"/>
        <v/>
      </c>
      <c r="B13" s="18"/>
      <c r="C13" s="18"/>
      <c r="F13" s="25"/>
      <c r="G13" s="18" t="str">
        <v>ca_fr</v>
      </c>
      <c r="H13" s="18" t="str">
        <v>bd</v>
      </c>
      <c r="I13" s="18"/>
      <c r="J13" s="18"/>
    </row>
    <row r="14" spans="1:10">
      <c r="A14" s="18" t="str">
        <f t="shared" si="0"/>
        <v/>
      </c>
      <c r="B14" s="18"/>
      <c r="C14" s="18"/>
      <c r="F14" s="25"/>
      <c r="G14" s="18" t="str">
        <v>ch</v>
      </c>
      <c r="H14" s="18" t="str">
        <v>be</v>
      </c>
      <c r="I14" s="18"/>
      <c r="J14" s="18"/>
    </row>
    <row r="15" spans="1:10">
      <c r="A15" s="18" t="str">
        <f t="shared" si="0"/>
        <v/>
      </c>
      <c r="B15" s="18"/>
      <c r="C15" s="18"/>
      <c r="F15" s="25"/>
      <c r="G15" s="18" t="str">
        <v>ch_fr</v>
      </c>
      <c r="H15" s="18" t="str">
        <v>be_fr</v>
      </c>
      <c r="I15" s="18"/>
      <c r="J15" s="18"/>
    </row>
    <row r="16" spans="1:10">
      <c r="A16" s="18" t="str">
        <f t="shared" si="0"/>
        <v/>
      </c>
      <c r="B16" s="18"/>
      <c r="C16" s="18"/>
      <c r="F16" s="25"/>
      <c r="G16" s="18" t="str">
        <v>cl</v>
      </c>
      <c r="H16" s="18" t="str">
        <v>co</v>
      </c>
      <c r="I16" s="18"/>
      <c r="J16" s="18"/>
    </row>
    <row r="17" spans="1:10">
      <c r="A17" s="18" t="str">
        <f t="shared" si="0"/>
        <v/>
      </c>
      <c r="B17" s="18"/>
      <c r="C17" s="18"/>
      <c r="F17" s="25"/>
      <c r="G17" s="18" t="str">
        <v>cn</v>
      </c>
      <c r="H17" s="18" t="str">
        <v>cz</v>
      </c>
      <c r="I17" s="18"/>
      <c r="J17" s="18"/>
    </row>
    <row r="18" spans="1:10">
      <c r="A18" s="18" t="str">
        <f t="shared" si="0"/>
        <v/>
      </c>
      <c r="B18" s="18"/>
      <c r="C18" s="18"/>
      <c r="F18" s="25"/>
      <c r="G18" s="18" t="str">
        <v>co</v>
      </c>
      <c r="H18" s="18" t="str">
        <v>dk</v>
      </c>
      <c r="I18" s="18"/>
      <c r="J18" s="18"/>
    </row>
    <row r="19" spans="1:10">
      <c r="A19" s="18" t="str">
        <f t="shared" si="0"/>
        <v/>
      </c>
      <c r="B19" s="18"/>
      <c r="C19" s="18"/>
      <c r="F19" s="25"/>
      <c r="G19" s="18" t="str">
        <v>cz</v>
      </c>
      <c r="H19" s="18" t="str">
        <v>ee</v>
      </c>
      <c r="I19" s="18"/>
      <c r="J19" s="18"/>
    </row>
    <row r="20" spans="1:10">
      <c r="A20" s="18" t="str">
        <f t="shared" si="0"/>
        <v/>
      </c>
      <c r="B20" s="18"/>
      <c r="C20" s="18"/>
      <c r="F20" s="25"/>
      <c r="G20" s="18" t="str">
        <v>eg</v>
      </c>
      <c r="H20" s="18" t="str">
        <v>eg</v>
      </c>
      <c r="I20" s="18"/>
      <c r="J20" s="18"/>
    </row>
    <row r="21" spans="1:10">
      <c r="A21" s="18" t="str">
        <f t="shared" si="0"/>
        <v/>
      </c>
      <c r="B21" s="18"/>
      <c r="C21" s="18"/>
      <c r="F21" s="25"/>
      <c r="G21" s="18" t="str">
        <v>es</v>
      </c>
      <c r="H21" s="18" t="str">
        <v>es</v>
      </c>
      <c r="I21" s="18"/>
      <c r="J21" s="18"/>
    </row>
    <row r="22" spans="1:10">
      <c r="A22" s="18" t="str">
        <f t="shared" si="0"/>
        <v/>
      </c>
      <c r="B22" s="18"/>
      <c r="C22" s="18"/>
      <c r="F22" s="25"/>
      <c r="G22" s="18" t="str">
        <v>fr</v>
      </c>
      <c r="H22" s="18" t="str">
        <v>fi</v>
      </c>
      <c r="I22" s="18"/>
      <c r="J22" s="18"/>
    </row>
    <row r="23" spans="1:10">
      <c r="A23" s="18" t="str">
        <f t="shared" si="0"/>
        <v/>
      </c>
      <c r="B23" s="18"/>
      <c r="C23" s="18"/>
      <c r="F23" s="25"/>
      <c r="G23" s="18" t="str">
        <v>hk</v>
      </c>
      <c r="H23" s="18" t="str">
        <v>fr</v>
      </c>
      <c r="I23" s="18"/>
      <c r="J23" s="18"/>
    </row>
    <row r="24" spans="1:10">
      <c r="A24" s="18" t="str">
        <f t="shared" si="0"/>
        <v/>
      </c>
      <c r="B24" s="18"/>
      <c r="C24" s="18"/>
      <c r="F24" s="25"/>
      <c r="G24" s="18" t="str">
        <v>hk_en</v>
      </c>
      <c r="H24" s="18" t="str">
        <v>ge</v>
      </c>
      <c r="I24" s="18"/>
      <c r="J24" s="18"/>
    </row>
    <row r="25" spans="1:10">
      <c r="A25" s="18" t="str">
        <f t="shared" si="0"/>
        <v/>
      </c>
      <c r="B25" s="18"/>
      <c r="C25" s="18"/>
      <c r="F25" s="25"/>
      <c r="G25" s="18" t="str">
        <v>hu</v>
      </c>
      <c r="H25" s="18" t="str">
        <v>gr</v>
      </c>
      <c r="I25" s="18"/>
      <c r="J25" s="18"/>
    </row>
    <row r="26" spans="1:10">
      <c r="A26" s="18" t="str">
        <f t="shared" si="0"/>
        <v/>
      </c>
      <c r="B26" s="18"/>
      <c r="C26" s="18"/>
      <c r="F26" s="25"/>
      <c r="G26" s="18" t="str">
        <v>in</v>
      </c>
      <c r="H26" s="18" t="str">
        <v>hk</v>
      </c>
      <c r="I26" s="18"/>
      <c r="J26" s="18"/>
    </row>
    <row r="27" spans="1:10">
      <c r="A27" s="18" t="str">
        <f t="shared" si="0"/>
        <v/>
      </c>
      <c r="B27" s="18"/>
      <c r="C27" s="18"/>
      <c r="F27" s="25"/>
      <c r="G27" s="18" t="str">
        <v>iq_ar</v>
      </c>
      <c r="H27" s="18" t="str">
        <v>hk_en</v>
      </c>
      <c r="I27" s="18"/>
      <c r="J27" s="18"/>
    </row>
    <row r="28" spans="1:10">
      <c r="A28" s="18" t="str">
        <f t="shared" si="0"/>
        <v/>
      </c>
      <c r="B28" s="18"/>
      <c r="C28" s="18"/>
      <c r="F28" s="25"/>
      <c r="G28" s="18" t="str">
        <v>iq_ku</v>
      </c>
      <c r="H28" s="18" t="str">
        <v>hr</v>
      </c>
      <c r="I28" s="18"/>
      <c r="J28" s="18"/>
    </row>
    <row r="29" spans="1:10">
      <c r="A29" s="18" t="str">
        <f t="shared" si="0"/>
        <v/>
      </c>
      <c r="B29" s="18"/>
      <c r="C29" s="18"/>
      <c r="F29" s="25"/>
      <c r="G29" s="18" t="str">
        <v>it</v>
      </c>
      <c r="H29" s="18" t="str">
        <v>hu</v>
      </c>
      <c r="I29" s="18"/>
      <c r="J29" s="18"/>
    </row>
    <row r="30" spans="1:10">
      <c r="A30" s="18" t="str">
        <f t="shared" si="0"/>
        <v/>
      </c>
      <c r="B30" s="18"/>
      <c r="C30" s="18"/>
      <c r="F30" s="25"/>
      <c r="G30" s="18" t="str">
        <v>kz_kz</v>
      </c>
      <c r="H30" s="18" t="str">
        <v>id</v>
      </c>
      <c r="I30" s="18"/>
      <c r="J30" s="18"/>
    </row>
    <row r="31" spans="1:10">
      <c r="A31" s="18" t="str">
        <f t="shared" si="0"/>
        <v/>
      </c>
      <c r="B31" s="18"/>
      <c r="C31" s="18"/>
      <c r="F31" s="25"/>
      <c r="G31" s="18" t="str">
        <v>kz_ru</v>
      </c>
      <c r="H31" s="18" t="str">
        <v>ie</v>
      </c>
      <c r="I31" s="18"/>
      <c r="J31" s="18"/>
    </row>
    <row r="32" spans="1:10">
      <c r="A32" s="18" t="str">
        <f t="shared" si="0"/>
        <v/>
      </c>
      <c r="B32" s="18"/>
      <c r="C32" s="18"/>
      <c r="F32" s="25"/>
      <c r="G32" s="18" t="str">
        <v>latin</v>
      </c>
      <c r="H32" s="18" t="str">
        <v>il</v>
      </c>
      <c r="I32" s="18"/>
      <c r="J32" s="18"/>
    </row>
    <row r="33" spans="1:10">
      <c r="A33" s="18" t="str">
        <f t="shared" si="0"/>
        <v/>
      </c>
      <c r="B33" s="18"/>
      <c r="C33" s="18"/>
      <c r="F33" s="25"/>
      <c r="G33" s="18" t="str">
        <v>latin_en</v>
      </c>
      <c r="H33" s="18" t="str">
        <v>in</v>
      </c>
      <c r="I33" s="18"/>
      <c r="J33" s="18"/>
    </row>
    <row r="34" spans="1:10">
      <c r="A34" s="18" t="str">
        <f t="shared" si="0"/>
        <v/>
      </c>
      <c r="B34" s="18"/>
      <c r="C34" s="18"/>
      <c r="F34" s="25"/>
      <c r="G34" s="18" t="str">
        <v>lb</v>
      </c>
      <c r="H34" s="18" t="str">
        <v>iq_ar</v>
      </c>
      <c r="I34" s="18"/>
      <c r="J34" s="18"/>
    </row>
    <row r="35" spans="1:10">
      <c r="A35" s="18" t="str">
        <f t="shared" si="0"/>
        <v/>
      </c>
      <c r="B35" s="18"/>
      <c r="C35" s="18"/>
      <c r="F35" s="25"/>
      <c r="G35" s="18" t="str">
        <v>levant</v>
      </c>
      <c r="H35" s="18" t="str">
        <v>iq_ku</v>
      </c>
      <c r="I35" s="18"/>
      <c r="J35" s="18"/>
    </row>
    <row r="36" spans="1:10">
      <c r="A36" s="18" t="str">
        <f t="shared" si="0"/>
        <v/>
      </c>
      <c r="B36" s="18"/>
      <c r="C36" s="18"/>
      <c r="F36" s="25"/>
      <c r="G36" s="18" t="str">
        <v>levant_ar</v>
      </c>
      <c r="H36" s="18" t="str">
        <v>iran</v>
      </c>
      <c r="I36" s="18"/>
      <c r="J36" s="18"/>
    </row>
    <row r="37" spans="1:10">
      <c r="A37" s="18" t="str">
        <f t="shared" si="0"/>
        <v/>
      </c>
      <c r="B37" s="18"/>
      <c r="C37" s="18"/>
      <c r="F37" s="25"/>
      <c r="G37" s="18" t="str">
        <v>mm</v>
      </c>
      <c r="H37" s="18" t="str">
        <v>it</v>
      </c>
      <c r="I37" s="18"/>
      <c r="J37" s="18"/>
    </row>
    <row r="38" spans="1:10">
      <c r="A38" s="18" t="str">
        <f t="shared" si="0"/>
        <v/>
      </c>
      <c r="B38" s="18"/>
      <c r="C38" s="18"/>
      <c r="F38" s="25"/>
      <c r="G38" s="18" t="str">
        <v>mn</v>
      </c>
      <c r="H38" s="18" t="str">
        <v>jp</v>
      </c>
      <c r="I38" s="18"/>
      <c r="J38" s="18"/>
    </row>
    <row r="39" spans="1:10">
      <c r="A39" s="18" t="str">
        <f t="shared" si="0"/>
        <v/>
      </c>
      <c r="B39" s="18"/>
      <c r="C39" s="18"/>
      <c r="F39" s="25"/>
      <c r="G39" s="18" t="str">
        <v>mx</v>
      </c>
      <c r="H39" s="18" t="str">
        <v>latin</v>
      </c>
      <c r="I39" s="18"/>
      <c r="J39" s="18"/>
    </row>
    <row r="40" spans="1:10">
      <c r="A40" s="18" t="str">
        <f t="shared" si="0"/>
        <v/>
      </c>
      <c r="B40" s="18"/>
      <c r="C40" s="18"/>
      <c r="F40" s="25"/>
      <c r="G40" s="18" t="str">
        <v>n_africa</v>
      </c>
      <c r="H40" s="18" t="str">
        <v>latin_en</v>
      </c>
      <c r="I40" s="18"/>
      <c r="J40" s="18"/>
    </row>
    <row r="41" spans="1:10">
      <c r="A41" s="18" t="str">
        <f t="shared" si="0"/>
        <v/>
      </c>
      <c r="B41" s="18"/>
      <c r="C41" s="18"/>
      <c r="F41" s="25"/>
      <c r="G41" s="18" t="str">
        <v>nl</v>
      </c>
      <c r="H41" s="18" t="str">
        <v>lb</v>
      </c>
      <c r="I41" s="18"/>
      <c r="J41" s="18"/>
    </row>
    <row r="42" spans="1:10">
      <c r="A42" s="18" t="str">
        <f t="shared" si="0"/>
        <v/>
      </c>
      <c r="B42" s="18"/>
      <c r="C42" s="18"/>
      <c r="F42" s="25"/>
      <c r="G42" s="18" t="str">
        <v>nz</v>
      </c>
      <c r="H42" s="18" t="str">
        <v>levant</v>
      </c>
      <c r="I42" s="18"/>
      <c r="J42" s="18"/>
    </row>
    <row r="43" spans="1:10">
      <c r="A43" s="18" t="str">
        <f t="shared" si="0"/>
        <v/>
      </c>
      <c r="B43" s="18"/>
      <c r="C43" s="18"/>
      <c r="F43" s="25"/>
      <c r="G43" s="18" t="str">
        <v>pe</v>
      </c>
      <c r="H43" s="18" t="str">
        <v>levant_ar</v>
      </c>
      <c r="I43" s="18"/>
      <c r="J43" s="18"/>
    </row>
    <row r="44" spans="1:10">
      <c r="A44" s="18" t="str">
        <f t="shared" si="0"/>
        <v/>
      </c>
      <c r="B44" s="18"/>
      <c r="C44" s="18"/>
      <c r="F44" s="25"/>
      <c r="G44" s="18" t="str">
        <v>ph</v>
      </c>
      <c r="H44" s="18" t="str">
        <v>lt</v>
      </c>
      <c r="I44" s="18"/>
      <c r="J44" s="18"/>
    </row>
    <row r="45" spans="1:10">
      <c r="A45" s="18" t="str">
        <f t="shared" si="0"/>
        <v/>
      </c>
      <c r="B45" s="18"/>
      <c r="C45" s="18"/>
      <c r="F45" s="25"/>
      <c r="G45" s="18" t="str">
        <v>pk</v>
      </c>
      <c r="H45" s="18" t="str">
        <v>lv</v>
      </c>
      <c r="I45" s="18"/>
      <c r="J45" s="18"/>
    </row>
    <row r="46" spans="1:10">
      <c r="A46" s="18" t="str">
        <f t="shared" si="0"/>
        <v/>
      </c>
      <c r="B46" s="18"/>
      <c r="C46" s="18"/>
      <c r="F46" s="25"/>
      <c r="G46" s="18" t="str">
        <v>pt</v>
      </c>
      <c r="H46" s="18" t="str">
        <v>mk</v>
      </c>
      <c r="I46" s="18"/>
      <c r="J46" s="18"/>
    </row>
    <row r="47" spans="1:10">
      <c r="A47" s="18" t="str">
        <f t="shared" si="0"/>
        <v/>
      </c>
      <c r="B47" s="18"/>
      <c r="C47" s="18"/>
      <c r="F47" s="25"/>
      <c r="G47" s="18" t="str">
        <v>py</v>
      </c>
      <c r="H47" s="18" t="str">
        <v>mm</v>
      </c>
      <c r="I47" s="18"/>
      <c r="J47" s="18"/>
    </row>
    <row r="48" spans="1:10">
      <c r="A48" s="18" t="str">
        <f t="shared" si="0"/>
        <v/>
      </c>
      <c r="B48" s="18"/>
      <c r="C48" s="18"/>
      <c r="F48" s="25"/>
      <c r="G48" s="18" t="str">
        <v>ro</v>
      </c>
      <c r="H48" s="18" t="str">
        <v>mn</v>
      </c>
      <c r="I48" s="18"/>
      <c r="J48" s="18"/>
    </row>
    <row r="49" spans="1:10">
      <c r="A49" s="18" t="str">
        <f t="shared" si="0"/>
        <v/>
      </c>
      <c r="B49" s="18"/>
      <c r="C49" s="18"/>
      <c r="F49" s="25"/>
      <c r="G49" s="18" t="str">
        <v>sk</v>
      </c>
      <c r="H49" s="18" t="str">
        <v>mx</v>
      </c>
      <c r="I49" s="18"/>
      <c r="J49" s="18"/>
    </row>
    <row r="50" spans="1:10">
      <c r="A50" s="18" t="str">
        <f t="shared" si="0"/>
        <v/>
      </c>
      <c r="B50" s="18"/>
      <c r="C50" s="18"/>
      <c r="F50" s="25"/>
      <c r="G50" s="18" t="str">
        <v>th</v>
      </c>
      <c r="H50" s="18" t="str">
        <v>pk</v>
      </c>
      <c r="I50" s="18"/>
      <c r="J50" s="18"/>
    </row>
    <row r="51" spans="1:10">
      <c r="A51" s="18" t="str">
        <f t="shared" si="0"/>
        <v/>
      </c>
      <c r="B51" s="18"/>
      <c r="C51" s="18"/>
      <c r="F51" s="25"/>
      <c r="G51" s="18" t="str">
        <v>tr</v>
      </c>
      <c r="H51" s="18" t="str">
        <v>pl</v>
      </c>
      <c r="I51" s="18"/>
      <c r="J51" s="18"/>
    </row>
    <row r="52" spans="1:10">
      <c r="A52" s="18" t="str">
        <f t="shared" si="0"/>
        <v/>
      </c>
      <c r="B52" s="18"/>
      <c r="C52" s="18"/>
      <c r="F52" s="25"/>
      <c r="G52" s="18" t="str">
        <v>tw</v>
      </c>
      <c r="H52" s="18" t="str">
        <v>ps</v>
      </c>
      <c r="I52" s="18"/>
      <c r="J52" s="18"/>
    </row>
    <row r="53" spans="1:10">
      <c r="A53" s="18" t="str">
        <f t="shared" si="0"/>
        <v/>
      </c>
      <c r="B53" s="18"/>
      <c r="C53" s="18"/>
      <c r="F53" s="25"/>
      <c r="G53" s="18" t="str">
        <v>uy</v>
      </c>
      <c r="H53" s="18" t="str">
        <v>pt</v>
      </c>
      <c r="I53" s="18"/>
      <c r="J53" s="18"/>
    </row>
    <row r="54" spans="1:10">
      <c r="A54" s="18" t="str">
        <f t="shared" si="0"/>
        <v/>
      </c>
      <c r="B54" s="18"/>
      <c r="C54" s="18"/>
      <c r="F54" s="25"/>
      <c r="G54" s="18" t="str">
        <v>vn</v>
      </c>
      <c r="H54" s="18" t="str">
        <v>py</v>
      </c>
      <c r="I54" s="18"/>
      <c r="J54" s="18"/>
    </row>
    <row r="55" spans="1:10">
      <c r="A55" s="18" t="str">
        <f t="shared" si="0"/>
        <v/>
      </c>
      <c r="B55" s="18"/>
      <c r="C55" s="18"/>
      <c r="F55" s="25"/>
      <c r="G55" s="18" t="str">
        <v>za</v>
      </c>
      <c r="H55" s="18" t="str">
        <v>ro</v>
      </c>
      <c r="I55" s="18"/>
      <c r="J55" s="18"/>
    </row>
    <row r="56" spans="1:10">
      <c r="A56" s="18" t="str">
        <f t="shared" si="0"/>
        <v/>
      </c>
      <c r="B56" s="18"/>
      <c r="C56" s="18"/>
      <c r="F56" s="25"/>
      <c r="G56" s="18" t="e">
        <v>#N/A</v>
      </c>
      <c r="H56" s="18" t="str">
        <v>rs</v>
      </c>
      <c r="I56" s="18"/>
      <c r="J56" s="18"/>
    </row>
    <row r="57" spans="1:10">
      <c r="A57" s="18" t="str">
        <f t="shared" si="0"/>
        <v/>
      </c>
      <c r="B57" s="18"/>
      <c r="C57" s="18"/>
      <c r="F57" s="25"/>
      <c r="G57" s="18" t="e">
        <v>#N/A</v>
      </c>
      <c r="H57" s="18" t="str">
        <v>ru</v>
      </c>
      <c r="I57" s="18"/>
      <c r="J57" s="18"/>
    </row>
    <row r="58" spans="1:10">
      <c r="A58" s="18" t="str">
        <f t="shared" si="0"/>
        <v/>
      </c>
      <c r="B58" s="18"/>
      <c r="C58" s="18"/>
      <c r="F58" s="25"/>
      <c r="G58" s="18"/>
      <c r="H58" s="18" t="str">
        <v>sa</v>
      </c>
      <c r="I58" s="18"/>
      <c r="J58" s="18"/>
    </row>
    <row r="59" spans="1:10">
      <c r="A59" s="18" t="str">
        <f t="shared" si="0"/>
        <v/>
      </c>
      <c r="B59" s="18"/>
      <c r="C59" s="18"/>
      <c r="F59" s="25"/>
      <c r="G59" s="18"/>
      <c r="H59" s="18" t="str">
        <v>sa_en</v>
      </c>
      <c r="I59" s="18"/>
      <c r="J59" s="18"/>
    </row>
    <row r="60" spans="1:10">
      <c r="A60" s="18" t="str">
        <f t="shared" si="0"/>
        <v/>
      </c>
      <c r="B60" s="18"/>
      <c r="C60" s="18"/>
      <c r="F60" s="25"/>
      <c r="G60" s="18"/>
      <c r="H60" s="18" t="str">
        <v>se</v>
      </c>
      <c r="I60" s="18"/>
      <c r="J60" s="18"/>
    </row>
    <row r="61" spans="1:10">
      <c r="A61" s="18" t="str">
        <f t="shared" si="0"/>
        <v/>
      </c>
      <c r="B61" s="18"/>
      <c r="C61" s="18"/>
      <c r="F61" s="25"/>
      <c r="G61" s="18"/>
      <c r="H61" s="18" t="str">
        <v>sec</v>
      </c>
      <c r="I61" s="18"/>
      <c r="J61" s="18"/>
    </row>
    <row r="62" spans="1:10">
      <c r="A62" s="18" t="str">
        <f t="shared" si="0"/>
        <v/>
      </c>
      <c r="B62" s="18"/>
      <c r="C62" s="18"/>
      <c r="F62" s="25"/>
      <c r="G62" s="18"/>
      <c r="H62" s="18" t="str">
        <v>sg</v>
      </c>
      <c r="I62" s="18"/>
      <c r="J62" s="18"/>
    </row>
    <row r="63" spans="1:10">
      <c r="A63" s="18" t="str">
        <f t="shared" si="0"/>
        <v/>
      </c>
      <c r="B63" s="18"/>
      <c r="C63" s="18"/>
      <c r="F63" s="25"/>
      <c r="G63" s="18"/>
      <c r="H63" s="18" t="str">
        <v>si</v>
      </c>
      <c r="I63" s="18"/>
      <c r="J63" s="18"/>
    </row>
    <row r="64" spans="1:10">
      <c r="A64" s="18" t="str">
        <f t="shared" si="0"/>
        <v/>
      </c>
      <c r="B64" s="18"/>
      <c r="C64" s="18"/>
      <c r="F64" s="25"/>
      <c r="G64" s="18"/>
      <c r="H64" s="18" t="str">
        <v>sk</v>
      </c>
      <c r="I64" s="18"/>
      <c r="J64" s="18"/>
    </row>
    <row r="65" spans="1:10">
      <c r="A65" s="18" t="str">
        <f t="shared" si="0"/>
        <v/>
      </c>
      <c r="B65" s="18"/>
      <c r="C65" s="18"/>
      <c r="F65" s="25"/>
      <c r="G65" s="18"/>
      <c r="H65" s="18" t="str">
        <v>th</v>
      </c>
      <c r="I65" s="18"/>
      <c r="J65" s="18"/>
    </row>
    <row r="66" spans="1:10">
      <c r="A66" s="18" t="str">
        <f t="shared" ref="A66:A129" si="1">IF(C66="","",ROW()-1)</f>
        <v/>
      </c>
      <c r="B66" s="18"/>
      <c r="C66" s="18"/>
      <c r="F66" s="25"/>
      <c r="G66" s="18"/>
      <c r="H66" s="18" t="str">
        <v>tr</v>
      </c>
      <c r="I66" s="18"/>
      <c r="J66" s="18"/>
    </row>
    <row r="67" spans="1:10">
      <c r="A67" s="18" t="str">
        <f t="shared" si="1"/>
        <v/>
      </c>
      <c r="B67" s="18"/>
      <c r="C67" s="18"/>
      <c r="F67" s="25"/>
      <c r="G67" s="18"/>
      <c r="H67" s="18" t="str">
        <v>tw</v>
      </c>
      <c r="I67" s="18"/>
      <c r="J67" s="18"/>
    </row>
    <row r="68" spans="1:10">
      <c r="A68" s="18" t="str">
        <f t="shared" si="1"/>
        <v/>
      </c>
      <c r="B68" s="18"/>
      <c r="C68" s="18"/>
      <c r="F68" s="25"/>
      <c r="G68" s="18"/>
      <c r="H68" s="18" t="str">
        <v>ua</v>
      </c>
      <c r="I68" s="18"/>
      <c r="J68" s="18"/>
    </row>
    <row r="69" spans="1:10">
      <c r="A69" s="18" t="str">
        <f t="shared" si="1"/>
        <v/>
      </c>
      <c r="B69" s="18"/>
      <c r="C69" s="18"/>
      <c r="F69" s="25"/>
      <c r="G69" s="18"/>
      <c r="H69" s="18" t="str">
        <v>uk</v>
      </c>
      <c r="I69" s="18"/>
      <c r="J69" s="18"/>
    </row>
    <row r="70" spans="1:10">
      <c r="A70" s="18" t="str">
        <f t="shared" si="1"/>
        <v/>
      </c>
      <c r="B70" s="18"/>
      <c r="C70" s="18"/>
      <c r="F70" s="25"/>
      <c r="G70" s="18"/>
      <c r="H70" s="18" t="str">
        <v>uy</v>
      </c>
      <c r="I70" s="18"/>
      <c r="J70" s="18"/>
    </row>
    <row r="71" spans="1:10">
      <c r="A71" s="18" t="str">
        <f t="shared" si="1"/>
        <v/>
      </c>
      <c r="B71" s="18"/>
      <c r="C71" s="18"/>
      <c r="F71" s="25"/>
      <c r="G71" s="18"/>
      <c r="H71" s="18" t="str">
        <v>uz_ru</v>
      </c>
      <c r="I71" s="18"/>
      <c r="J71" s="18"/>
    </row>
    <row r="72" spans="1:10">
      <c r="A72" s="18" t="str">
        <f t="shared" si="1"/>
        <v/>
      </c>
      <c r="B72" s="18"/>
      <c r="C72" s="18"/>
      <c r="F72" s="25"/>
      <c r="G72" s="18"/>
      <c r="H72" s="18" t="str">
        <v>uz_uz</v>
      </c>
      <c r="I72" s="18"/>
      <c r="J72" s="18"/>
    </row>
    <row r="73" spans="1:10">
      <c r="A73" s="18" t="str">
        <f t="shared" si="1"/>
        <v/>
      </c>
      <c r="B73" s="18"/>
      <c r="C73" s="18"/>
      <c r="F73" s="25"/>
      <c r="G73" s="18"/>
      <c r="H73" s="18" t="str">
        <v>vn</v>
      </c>
      <c r="I73" s="18"/>
      <c r="J73" s="18"/>
    </row>
    <row r="74" spans="1:10">
      <c r="A74" s="18" t="str">
        <f t="shared" si="1"/>
        <v/>
      </c>
      <c r="B74" s="18"/>
      <c r="C74" s="18"/>
      <c r="F74" s="25"/>
      <c r="G74" s="18"/>
      <c r="H74" s="18" t="str">
        <v>za</v>
      </c>
      <c r="I74" s="18"/>
      <c r="J74" s="18"/>
    </row>
    <row r="75" spans="1:10">
      <c r="A75" s="18" t="str">
        <f t="shared" si="1"/>
        <v/>
      </c>
      <c r="B75" s="18"/>
      <c r="C75" s="18"/>
      <c r="F75" s="25"/>
      <c r="G75" s="18"/>
      <c r="H75" s="18"/>
      <c r="I75" s="18"/>
      <c r="J75" s="18"/>
    </row>
    <row r="76" spans="1:10">
      <c r="A76" s="18" t="str">
        <f t="shared" si="1"/>
        <v/>
      </c>
      <c r="B76" s="18"/>
      <c r="C76" s="18"/>
      <c r="F76" s="25"/>
      <c r="G76" s="18"/>
      <c r="H76" s="18"/>
      <c r="I76" s="18"/>
      <c r="J76" s="18"/>
    </row>
    <row r="77" spans="1:10">
      <c r="A77" s="18" t="str">
        <f t="shared" si="1"/>
        <v/>
      </c>
      <c r="B77" s="18"/>
      <c r="C77" s="18"/>
      <c r="F77" s="25"/>
      <c r="G77" s="18"/>
      <c r="H77" s="18"/>
      <c r="I77" s="18"/>
      <c r="J77" s="18"/>
    </row>
    <row r="78" spans="1:10">
      <c r="A78" s="18" t="str">
        <f t="shared" si="1"/>
        <v/>
      </c>
      <c r="B78" s="18"/>
      <c r="C78" s="18"/>
      <c r="F78" s="25"/>
      <c r="G78" s="18"/>
      <c r="H78" s="18"/>
      <c r="I78" s="18"/>
      <c r="J78" s="18"/>
    </row>
    <row r="79" spans="1:10">
      <c r="A79" s="18" t="str">
        <f t="shared" si="1"/>
        <v/>
      </c>
      <c r="B79" s="18"/>
      <c r="C79" s="18"/>
      <c r="F79" s="25"/>
      <c r="G79" s="18"/>
      <c r="H79" s="18"/>
      <c r="I79" s="18"/>
      <c r="J79" s="18"/>
    </row>
    <row r="80" spans="1:10">
      <c r="A80" s="18" t="str">
        <f t="shared" si="1"/>
        <v/>
      </c>
      <c r="B80" s="18"/>
      <c r="C80" s="18"/>
      <c r="F80" s="25"/>
      <c r="G80" s="18"/>
      <c r="H80" s="18"/>
      <c r="I80" s="18"/>
      <c r="J80" s="18"/>
    </row>
    <row r="81" spans="1:10">
      <c r="A81" s="18" t="str">
        <f t="shared" si="1"/>
        <v/>
      </c>
      <c r="B81" s="18"/>
      <c r="C81" s="18"/>
      <c r="F81" s="25"/>
      <c r="G81" s="18"/>
      <c r="H81" s="18"/>
      <c r="I81" s="18"/>
      <c r="J81" s="18"/>
    </row>
    <row r="82" spans="1:10">
      <c r="A82" s="18" t="str">
        <f t="shared" si="1"/>
        <v/>
      </c>
      <c r="B82" s="18"/>
      <c r="C82" s="18"/>
      <c r="F82" s="25"/>
      <c r="G82" s="18"/>
      <c r="H82" s="18"/>
      <c r="I82" s="18"/>
      <c r="J82" s="18"/>
    </row>
    <row r="83" spans="1:10">
      <c r="A83" s="18" t="str">
        <f t="shared" si="1"/>
        <v/>
      </c>
      <c r="B83" s="18"/>
      <c r="C83" s="18"/>
      <c r="F83" s="25"/>
      <c r="G83" s="18"/>
      <c r="H83" s="18"/>
      <c r="I83" s="18"/>
      <c r="J83" s="18"/>
    </row>
    <row r="84" spans="1:10">
      <c r="A84" s="18" t="str">
        <f t="shared" si="1"/>
        <v/>
      </c>
      <c r="B84" s="18"/>
      <c r="C84" s="18"/>
      <c r="F84" s="25"/>
      <c r="G84" s="18"/>
      <c r="H84" s="18"/>
      <c r="I84" s="18"/>
      <c r="J84" s="18"/>
    </row>
    <row r="85" spans="1:10">
      <c r="A85" s="18" t="str">
        <f t="shared" si="1"/>
        <v/>
      </c>
      <c r="B85" s="18"/>
      <c r="C85" s="18"/>
      <c r="F85" s="25"/>
      <c r="G85" s="18"/>
      <c r="H85" s="18"/>
      <c r="I85" s="18"/>
      <c r="J85" s="18"/>
    </row>
    <row r="86" spans="1:10">
      <c r="A86" s="18" t="str">
        <f t="shared" si="1"/>
        <v/>
      </c>
      <c r="B86" s="18"/>
      <c r="C86" s="18"/>
      <c r="F86" s="25"/>
      <c r="G86" s="18"/>
      <c r="H86" s="18"/>
      <c r="I86" s="18"/>
      <c r="J86" s="18"/>
    </row>
    <row r="87" spans="1:10">
      <c r="A87" s="18" t="str">
        <f t="shared" si="1"/>
        <v/>
      </c>
      <c r="B87" s="18"/>
      <c r="C87" s="18"/>
      <c r="F87" s="25"/>
      <c r="G87" s="18"/>
      <c r="H87" s="18"/>
      <c r="I87" s="18"/>
      <c r="J87" s="18"/>
    </row>
    <row r="88" spans="1:10">
      <c r="A88" s="18" t="str">
        <f t="shared" si="1"/>
        <v/>
      </c>
      <c r="B88" s="18"/>
      <c r="C88" s="18"/>
      <c r="F88" s="25"/>
      <c r="G88" s="18"/>
      <c r="H88" s="18"/>
      <c r="I88" s="18"/>
      <c r="J88" s="18"/>
    </row>
    <row r="89" spans="1:10">
      <c r="A89" s="18" t="str">
        <f t="shared" si="1"/>
        <v/>
      </c>
      <c r="B89" s="18"/>
      <c r="C89" s="18"/>
      <c r="F89" s="25"/>
      <c r="G89" s="18"/>
      <c r="H89" s="18"/>
      <c r="I89" s="18"/>
      <c r="J89" s="18"/>
    </row>
    <row r="90" spans="1:10">
      <c r="A90" s="18" t="str">
        <f t="shared" si="1"/>
        <v/>
      </c>
      <c r="B90" s="18"/>
      <c r="C90" s="18"/>
      <c r="F90" s="25"/>
      <c r="G90" s="18"/>
      <c r="H90" s="18"/>
      <c r="I90" s="18"/>
      <c r="J90" s="18"/>
    </row>
    <row r="91" spans="1:10">
      <c r="A91" s="18" t="str">
        <f t="shared" si="1"/>
        <v/>
      </c>
      <c r="B91" s="18"/>
      <c r="C91" s="18"/>
      <c r="F91" s="25"/>
      <c r="G91" s="18"/>
      <c r="H91" s="18"/>
      <c r="I91" s="18"/>
      <c r="J91" s="18"/>
    </row>
    <row r="92" spans="1:10">
      <c r="A92" s="18" t="str">
        <f t="shared" si="1"/>
        <v/>
      </c>
      <c r="B92" s="18"/>
      <c r="C92" s="18"/>
      <c r="F92" s="25"/>
      <c r="G92" s="18"/>
      <c r="H92" s="18"/>
      <c r="I92" s="18"/>
      <c r="J92" s="18"/>
    </row>
    <row r="93" spans="1:10">
      <c r="A93" s="18" t="str">
        <f t="shared" si="1"/>
        <v/>
      </c>
      <c r="B93" s="18"/>
      <c r="C93" s="18"/>
      <c r="F93" s="25"/>
      <c r="G93" s="18"/>
      <c r="H93" s="18"/>
      <c r="I93" s="18"/>
      <c r="J93" s="18"/>
    </row>
    <row r="94" spans="1:10">
      <c r="A94" s="18" t="str">
        <f t="shared" si="1"/>
        <v/>
      </c>
      <c r="B94" s="18"/>
      <c r="C94" s="18"/>
      <c r="F94" s="25"/>
      <c r="G94" s="18"/>
      <c r="H94" s="18"/>
      <c r="I94" s="18"/>
      <c r="J94" s="18"/>
    </row>
    <row r="95" spans="1:10">
      <c r="A95" s="18" t="str">
        <f t="shared" si="1"/>
        <v/>
      </c>
      <c r="B95" s="18"/>
      <c r="C95" s="18"/>
      <c r="F95" s="25"/>
      <c r="G95" s="18"/>
      <c r="H95" s="18"/>
      <c r="I95" s="18"/>
      <c r="J95" s="18"/>
    </row>
    <row r="96" spans="1:10">
      <c r="A96" s="18" t="str">
        <f t="shared" si="1"/>
        <v/>
      </c>
      <c r="B96" s="18"/>
      <c r="C96" s="18"/>
      <c r="F96" s="25"/>
      <c r="G96" s="18"/>
      <c r="H96" s="18"/>
      <c r="I96" s="18"/>
      <c r="J96" s="18"/>
    </row>
    <row r="97" spans="1:10">
      <c r="A97" s="18" t="str">
        <f t="shared" si="1"/>
        <v/>
      </c>
      <c r="B97" s="18"/>
      <c r="C97" s="18"/>
      <c r="F97" s="25"/>
      <c r="G97" s="18"/>
      <c r="H97" s="18"/>
      <c r="I97" s="18"/>
      <c r="J97" s="18"/>
    </row>
    <row r="98" spans="1:10">
      <c r="A98" s="18" t="str">
        <f t="shared" si="1"/>
        <v/>
      </c>
      <c r="B98" s="18"/>
      <c r="C98" s="18"/>
      <c r="F98" s="25"/>
      <c r="G98" s="18"/>
      <c r="H98" s="18"/>
      <c r="I98" s="18"/>
      <c r="J98" s="18"/>
    </row>
    <row r="99" spans="1:10">
      <c r="A99" s="18" t="str">
        <f t="shared" si="1"/>
        <v/>
      </c>
      <c r="B99" s="18"/>
      <c r="C99" s="18"/>
      <c r="F99" s="25"/>
      <c r="G99" s="18"/>
      <c r="H99" s="18"/>
      <c r="I99" s="18"/>
      <c r="J99" s="18"/>
    </row>
    <row r="100" spans="1:10">
      <c r="A100" s="18" t="str">
        <f t="shared" si="1"/>
        <v/>
      </c>
      <c r="B100" s="18"/>
      <c r="C100" s="18"/>
      <c r="F100" s="25"/>
      <c r="G100" s="18"/>
      <c r="H100" s="18"/>
      <c r="I100" s="18"/>
      <c r="J100" s="18"/>
    </row>
    <row r="101" spans="1:10">
      <c r="A101" s="18" t="str">
        <f t="shared" si="1"/>
        <v/>
      </c>
      <c r="B101" s="18"/>
      <c r="C101" s="18"/>
      <c r="F101" s="25"/>
      <c r="G101" s="18"/>
      <c r="H101" s="18"/>
      <c r="I101" s="18"/>
      <c r="J101" s="18"/>
    </row>
    <row r="102" spans="1:10">
      <c r="A102" s="18" t="str">
        <f t="shared" si="1"/>
        <v/>
      </c>
      <c r="B102" s="18"/>
      <c r="C102" s="18"/>
      <c r="F102" s="25"/>
      <c r="G102" s="18"/>
      <c r="H102" s="18"/>
      <c r="I102" s="18"/>
      <c r="J102" s="18"/>
    </row>
    <row r="103" spans="1:10">
      <c r="A103" s="18" t="str">
        <f t="shared" si="1"/>
        <v/>
      </c>
      <c r="B103" s="18"/>
      <c r="C103" s="18"/>
      <c r="F103" s="25"/>
      <c r="G103" s="18"/>
      <c r="H103" s="18"/>
      <c r="I103" s="18"/>
      <c r="J103" s="18"/>
    </row>
    <row r="104" spans="1:10">
      <c r="A104" s="18" t="str">
        <f t="shared" si="1"/>
        <v/>
      </c>
      <c r="B104" s="18"/>
      <c r="C104" s="18"/>
      <c r="F104" s="25"/>
      <c r="G104" s="18"/>
      <c r="H104" s="18"/>
      <c r="I104" s="18"/>
      <c r="J104" s="18"/>
    </row>
    <row r="105" spans="1:10">
      <c r="A105" s="18" t="str">
        <f t="shared" si="1"/>
        <v/>
      </c>
      <c r="B105" s="18"/>
      <c r="C105" s="18"/>
      <c r="F105" s="25"/>
      <c r="G105" s="18"/>
      <c r="H105" s="18"/>
      <c r="I105" s="18"/>
      <c r="J105" s="18"/>
    </row>
    <row r="106" spans="1:10">
      <c r="A106" s="18" t="str">
        <f t="shared" si="1"/>
        <v/>
      </c>
      <c r="B106" s="18"/>
      <c r="C106" s="18"/>
      <c r="F106" s="25"/>
      <c r="G106" s="18"/>
      <c r="H106" s="18"/>
      <c r="I106" s="18"/>
      <c r="J106" s="18"/>
    </row>
    <row r="107" spans="1:10">
      <c r="A107" s="18" t="str">
        <f t="shared" si="1"/>
        <v/>
      </c>
      <c r="B107" s="18"/>
      <c r="C107" s="18"/>
      <c r="F107" s="25"/>
      <c r="G107" s="18"/>
      <c r="H107" s="18"/>
      <c r="I107" s="18"/>
      <c r="J107" s="18"/>
    </row>
    <row r="108" spans="1:10">
      <c r="A108" s="18" t="str">
        <f t="shared" si="1"/>
        <v/>
      </c>
      <c r="B108" s="18"/>
      <c r="C108" s="18"/>
      <c r="F108" s="25"/>
      <c r="G108" s="18"/>
      <c r="H108" s="18"/>
      <c r="I108" s="18"/>
      <c r="J108" s="18"/>
    </row>
    <row r="109" spans="1:10">
      <c r="A109" s="18" t="str">
        <f t="shared" si="1"/>
        <v/>
      </c>
      <c r="B109" s="18"/>
      <c r="C109" s="18"/>
      <c r="F109" s="25"/>
      <c r="G109" s="18"/>
      <c r="H109" s="18"/>
      <c r="I109" s="18"/>
      <c r="J109" s="18"/>
    </row>
    <row r="110" spans="1:10">
      <c r="A110" s="18" t="str">
        <f t="shared" si="1"/>
        <v/>
      </c>
      <c r="B110" s="18"/>
      <c r="C110" s="18"/>
      <c r="F110" s="25"/>
      <c r="G110" s="18"/>
      <c r="H110" s="18"/>
      <c r="I110" s="18"/>
      <c r="J110" s="18"/>
    </row>
    <row r="111" spans="1:10">
      <c r="A111" s="18" t="str">
        <f t="shared" si="1"/>
        <v/>
      </c>
      <c r="B111" s="18"/>
      <c r="C111" s="18"/>
      <c r="F111" s="25"/>
      <c r="G111" s="18"/>
      <c r="H111" s="18"/>
      <c r="I111" s="18"/>
      <c r="J111" s="18"/>
    </row>
    <row r="112" spans="1:10">
      <c r="A112" s="18" t="str">
        <f t="shared" si="1"/>
        <v/>
      </c>
      <c r="B112" s="18"/>
      <c r="C112" s="18"/>
      <c r="F112" s="25"/>
      <c r="G112" s="18"/>
      <c r="H112" s="18"/>
      <c r="I112" s="18"/>
      <c r="J112" s="18"/>
    </row>
    <row r="113" spans="1:10">
      <c r="A113" s="18" t="str">
        <f t="shared" si="1"/>
        <v/>
      </c>
      <c r="B113" s="18"/>
      <c r="C113" s="18"/>
      <c r="F113" s="25"/>
      <c r="G113" s="18"/>
      <c r="H113" s="18"/>
      <c r="I113" s="18"/>
      <c r="J113" s="18"/>
    </row>
    <row r="114" spans="1:10">
      <c r="A114" s="18" t="str">
        <f t="shared" si="1"/>
        <v/>
      </c>
      <c r="B114" s="18"/>
      <c r="C114" s="18"/>
      <c r="F114" s="25"/>
      <c r="G114" s="18"/>
      <c r="H114" s="18"/>
      <c r="I114" s="18"/>
      <c r="J114" s="18"/>
    </row>
    <row r="115" spans="1:10">
      <c r="A115" s="18" t="str">
        <f t="shared" si="1"/>
        <v/>
      </c>
      <c r="B115" s="18"/>
      <c r="C115" s="18"/>
      <c r="F115" s="25"/>
      <c r="G115" s="18"/>
      <c r="H115" s="18"/>
      <c r="I115" s="18"/>
      <c r="J115" s="18"/>
    </row>
    <row r="116" spans="1:10">
      <c r="A116" s="18" t="str">
        <f t="shared" si="1"/>
        <v/>
      </c>
      <c r="B116" s="18"/>
      <c r="C116" s="18"/>
      <c r="F116" s="25"/>
      <c r="G116" s="18"/>
      <c r="H116" s="18"/>
      <c r="I116" s="18"/>
      <c r="J116" s="18"/>
    </row>
    <row r="117" spans="1:10">
      <c r="A117" s="18" t="str">
        <f t="shared" si="1"/>
        <v/>
      </c>
      <c r="B117" s="18"/>
      <c r="C117" s="18"/>
      <c r="F117" s="25"/>
      <c r="G117" s="18"/>
      <c r="H117" s="18"/>
      <c r="I117" s="18"/>
      <c r="J117" s="18"/>
    </row>
    <row r="118" spans="1:10">
      <c r="A118" s="18" t="str">
        <f t="shared" si="1"/>
        <v/>
      </c>
      <c r="B118" s="18"/>
      <c r="C118" s="18"/>
      <c r="F118" s="25"/>
      <c r="G118" s="18"/>
      <c r="H118" s="18"/>
      <c r="I118" s="18"/>
      <c r="J118" s="18"/>
    </row>
    <row r="119" spans="1:10">
      <c r="A119" s="18" t="str">
        <f t="shared" si="1"/>
        <v/>
      </c>
      <c r="B119" s="18"/>
      <c r="C119" s="18"/>
      <c r="F119" s="25"/>
      <c r="G119" s="18"/>
      <c r="H119" s="18"/>
      <c r="I119" s="18"/>
      <c r="J119" s="18"/>
    </row>
    <row r="120" spans="1:10">
      <c r="A120" s="18" t="str">
        <f t="shared" si="1"/>
        <v/>
      </c>
      <c r="B120" s="18"/>
      <c r="C120" s="18"/>
      <c r="F120" s="25"/>
      <c r="G120" s="18"/>
      <c r="H120" s="18"/>
      <c r="I120" s="18"/>
      <c r="J120" s="18"/>
    </row>
    <row r="121" spans="1:10">
      <c r="A121" s="18" t="str">
        <f t="shared" si="1"/>
        <v/>
      </c>
      <c r="B121" s="18"/>
      <c r="C121" s="18"/>
      <c r="F121" s="25"/>
      <c r="G121" s="18"/>
      <c r="H121" s="18"/>
      <c r="I121" s="18"/>
      <c r="J121" s="18"/>
    </row>
    <row r="122" spans="1:10">
      <c r="A122" s="18" t="str">
        <f t="shared" si="1"/>
        <v/>
      </c>
      <c r="B122" s="18"/>
      <c r="C122" s="18"/>
      <c r="F122" s="25"/>
      <c r="G122" s="18"/>
      <c r="H122" s="18"/>
      <c r="I122" s="18"/>
      <c r="J122" s="18"/>
    </row>
    <row r="123" spans="1:10">
      <c r="A123" s="18" t="str">
        <f t="shared" si="1"/>
        <v/>
      </c>
      <c r="B123" s="18"/>
      <c r="C123" s="18"/>
      <c r="F123" s="25"/>
      <c r="G123" s="18"/>
      <c r="H123" s="18"/>
      <c r="I123" s="18"/>
      <c r="J123" s="18"/>
    </row>
    <row r="124" spans="1:10">
      <c r="A124" s="18" t="str">
        <f t="shared" si="1"/>
        <v/>
      </c>
      <c r="B124" s="18"/>
      <c r="C124" s="18"/>
      <c r="F124" s="25"/>
      <c r="G124" s="18"/>
      <c r="H124" s="18"/>
      <c r="I124" s="18"/>
      <c r="J124" s="18"/>
    </row>
    <row r="125" spans="1:10">
      <c r="A125" s="18" t="str">
        <f t="shared" si="1"/>
        <v/>
      </c>
      <c r="B125" s="18"/>
      <c r="C125" s="18"/>
      <c r="F125" s="25"/>
      <c r="G125" s="18"/>
      <c r="H125" s="18"/>
      <c r="I125" s="18"/>
      <c r="J125" s="18"/>
    </row>
    <row r="126" spans="1:10">
      <c r="A126" s="18" t="str">
        <f t="shared" si="1"/>
        <v/>
      </c>
      <c r="B126" s="18"/>
      <c r="C126" s="18"/>
      <c r="F126" s="25"/>
      <c r="G126" s="18"/>
      <c r="H126" s="18"/>
      <c r="I126" s="18"/>
      <c r="J126" s="18"/>
    </row>
    <row r="127" spans="1:10">
      <c r="A127" s="18" t="str">
        <f t="shared" si="1"/>
        <v/>
      </c>
      <c r="B127" s="18"/>
      <c r="C127" s="18"/>
      <c r="F127" s="25"/>
      <c r="G127" s="18"/>
      <c r="H127" s="18"/>
      <c r="I127" s="18"/>
      <c r="J127" s="18"/>
    </row>
    <row r="128" spans="1:10">
      <c r="A128" s="18" t="str">
        <f t="shared" si="1"/>
        <v/>
      </c>
      <c r="B128" s="18"/>
      <c r="C128" s="18"/>
      <c r="F128" s="25"/>
      <c r="G128" s="18"/>
      <c r="H128" s="18"/>
      <c r="I128" s="18"/>
      <c r="J128" s="18"/>
    </row>
    <row r="129" spans="1:10">
      <c r="A129" s="18" t="str">
        <f t="shared" si="1"/>
        <v/>
      </c>
      <c r="B129" s="18"/>
      <c r="C129" s="18"/>
      <c r="F129" s="25"/>
      <c r="G129" s="18"/>
      <c r="H129" s="18"/>
      <c r="I129" s="18"/>
      <c r="J129" s="18"/>
    </row>
    <row r="130" spans="1:10">
      <c r="A130" s="18" t="str">
        <f t="shared" ref="A130:A193" si="2">IF(C130="","",ROW()-1)</f>
        <v/>
      </c>
      <c r="B130" s="18"/>
      <c r="C130" s="18"/>
      <c r="F130" s="25"/>
      <c r="G130" s="18"/>
      <c r="H130" s="18"/>
      <c r="I130" s="18"/>
      <c r="J130" s="18"/>
    </row>
    <row r="131" spans="1:10">
      <c r="A131" s="18" t="str">
        <f t="shared" si="2"/>
        <v/>
      </c>
      <c r="B131" s="18"/>
      <c r="C131" s="18"/>
      <c r="F131" s="25"/>
      <c r="G131" s="18"/>
      <c r="H131" s="18"/>
      <c r="I131" s="18"/>
      <c r="J131" s="18"/>
    </row>
    <row r="132" spans="1:10">
      <c r="A132" s="18" t="str">
        <f t="shared" si="2"/>
        <v/>
      </c>
      <c r="B132" s="18"/>
      <c r="C132" s="18"/>
      <c r="F132" s="25"/>
      <c r="G132" s="18"/>
      <c r="H132" s="18"/>
      <c r="I132" s="18"/>
      <c r="J132" s="18"/>
    </row>
    <row r="133" spans="1:10">
      <c r="A133" s="18" t="str">
        <f t="shared" si="2"/>
        <v/>
      </c>
      <c r="B133" s="18"/>
      <c r="C133" s="18"/>
      <c r="F133" s="25"/>
      <c r="G133" s="18"/>
      <c r="H133" s="18"/>
      <c r="I133" s="18"/>
      <c r="J133" s="18"/>
    </row>
    <row r="134" spans="1:10">
      <c r="A134" s="18" t="str">
        <f t="shared" si="2"/>
        <v/>
      </c>
      <c r="B134" s="18"/>
      <c r="C134" s="18"/>
      <c r="F134" s="25"/>
      <c r="G134" s="18"/>
      <c r="H134" s="18"/>
      <c r="I134" s="18"/>
      <c r="J134" s="18"/>
    </row>
    <row r="135" spans="1:10">
      <c r="A135" s="18" t="str">
        <f t="shared" si="2"/>
        <v/>
      </c>
      <c r="B135" s="18"/>
      <c r="C135" s="18"/>
      <c r="F135" s="25"/>
      <c r="G135" s="18"/>
      <c r="H135" s="18"/>
      <c r="I135" s="18"/>
      <c r="J135" s="18"/>
    </row>
    <row r="136" spans="1:10">
      <c r="A136" s="18" t="str">
        <f t="shared" si="2"/>
        <v/>
      </c>
      <c r="B136" s="18"/>
      <c r="C136" s="18"/>
      <c r="F136" s="25"/>
      <c r="G136" s="18"/>
      <c r="H136" s="18"/>
      <c r="I136" s="18"/>
      <c r="J136" s="18"/>
    </row>
    <row r="137" spans="1:10">
      <c r="A137" s="18" t="str">
        <f t="shared" si="2"/>
        <v/>
      </c>
      <c r="B137" s="18"/>
      <c r="C137" s="18"/>
      <c r="F137" s="25"/>
      <c r="G137" s="18"/>
      <c r="H137" s="18"/>
      <c r="I137" s="18"/>
      <c r="J137" s="18"/>
    </row>
    <row r="138" spans="1:10">
      <c r="A138" s="18" t="str">
        <f t="shared" si="2"/>
        <v/>
      </c>
      <c r="B138" s="18"/>
      <c r="C138" s="18"/>
      <c r="F138" s="25"/>
      <c r="G138" s="18"/>
      <c r="H138" s="18"/>
      <c r="I138" s="18"/>
      <c r="J138" s="18"/>
    </row>
    <row r="139" spans="1:10">
      <c r="A139" s="18" t="str">
        <f t="shared" si="2"/>
        <v/>
      </c>
      <c r="B139" s="18"/>
      <c r="C139" s="18"/>
      <c r="F139" s="25"/>
      <c r="G139" s="18"/>
      <c r="H139" s="18"/>
      <c r="I139" s="18"/>
      <c r="J139" s="18"/>
    </row>
    <row r="140" spans="1:10">
      <c r="A140" s="18" t="str">
        <f t="shared" si="2"/>
        <v/>
      </c>
      <c r="B140" s="18"/>
      <c r="C140" s="18"/>
      <c r="F140" s="25"/>
      <c r="G140" s="18"/>
      <c r="H140" s="18"/>
      <c r="I140" s="18"/>
      <c r="J140" s="18"/>
    </row>
    <row r="141" spans="1:10">
      <c r="A141" s="18" t="str">
        <f t="shared" si="2"/>
        <v/>
      </c>
      <c r="B141" s="18"/>
      <c r="C141" s="18"/>
      <c r="F141" s="25"/>
      <c r="G141" s="18"/>
      <c r="H141" s="18"/>
      <c r="I141" s="18"/>
      <c r="J141" s="18"/>
    </row>
    <row r="142" spans="1:10">
      <c r="A142" s="18" t="str">
        <f t="shared" si="2"/>
        <v/>
      </c>
      <c r="B142" s="18"/>
      <c r="C142" s="18"/>
      <c r="F142" s="25"/>
      <c r="G142" s="18"/>
      <c r="H142" s="18"/>
      <c r="I142" s="18"/>
      <c r="J142" s="18"/>
    </row>
    <row r="143" spans="1:10">
      <c r="A143" s="18" t="str">
        <f t="shared" si="2"/>
        <v/>
      </c>
      <c r="B143" s="18"/>
      <c r="C143" s="18"/>
      <c r="F143" s="25"/>
      <c r="G143" s="18"/>
      <c r="H143" s="18"/>
      <c r="I143" s="18"/>
      <c r="J143" s="18"/>
    </row>
    <row r="144" spans="1:10">
      <c r="A144" s="18" t="str">
        <f t="shared" si="2"/>
        <v/>
      </c>
      <c r="B144" s="18"/>
      <c r="C144" s="18"/>
      <c r="F144" s="25"/>
      <c r="G144" s="18"/>
      <c r="H144" s="18"/>
      <c r="I144" s="18"/>
      <c r="J144" s="18"/>
    </row>
    <row r="145" spans="1:10">
      <c r="A145" s="18" t="str">
        <f t="shared" si="2"/>
        <v/>
      </c>
      <c r="B145" s="18"/>
      <c r="C145" s="18"/>
      <c r="F145" s="25"/>
      <c r="G145" s="18"/>
      <c r="H145" s="18"/>
      <c r="I145" s="18"/>
      <c r="J145" s="18"/>
    </row>
    <row r="146" spans="1:10">
      <c r="A146" s="18" t="str">
        <f t="shared" si="2"/>
        <v/>
      </c>
      <c r="B146" s="18"/>
      <c r="C146" s="18"/>
      <c r="F146" s="25"/>
      <c r="G146" s="18"/>
      <c r="H146" s="18"/>
      <c r="I146" s="18"/>
      <c r="J146" s="18"/>
    </row>
    <row r="147" spans="1:10">
      <c r="A147" s="18" t="str">
        <f t="shared" si="2"/>
        <v/>
      </c>
      <c r="B147" s="18"/>
      <c r="C147" s="18"/>
      <c r="F147" s="25"/>
      <c r="G147" s="18"/>
      <c r="H147" s="18"/>
      <c r="I147" s="18"/>
      <c r="J147" s="18"/>
    </row>
    <row r="148" spans="1:10">
      <c r="A148" s="18" t="str">
        <f t="shared" si="2"/>
        <v/>
      </c>
      <c r="B148" s="18"/>
      <c r="C148" s="18"/>
      <c r="F148" s="25"/>
      <c r="G148" s="18"/>
      <c r="H148" s="18"/>
      <c r="I148" s="18"/>
      <c r="J148" s="18"/>
    </row>
    <row r="149" spans="1:10">
      <c r="A149" s="18" t="str">
        <f t="shared" si="2"/>
        <v/>
      </c>
      <c r="B149" s="18"/>
      <c r="C149" s="18"/>
      <c r="F149" s="25"/>
      <c r="G149" s="18"/>
      <c r="H149" s="18"/>
      <c r="I149" s="18"/>
      <c r="J149" s="18"/>
    </row>
    <row r="150" spans="1:10">
      <c r="A150" s="18" t="str">
        <f t="shared" si="2"/>
        <v/>
      </c>
      <c r="B150" s="18"/>
      <c r="C150" s="18"/>
      <c r="F150" s="25"/>
      <c r="G150" s="18"/>
      <c r="H150" s="18"/>
      <c r="I150" s="18"/>
      <c r="J150" s="18"/>
    </row>
    <row r="151" spans="1:10">
      <c r="A151" s="18" t="str">
        <f t="shared" si="2"/>
        <v/>
      </c>
      <c r="B151" s="18"/>
      <c r="C151" s="18"/>
      <c r="F151" s="25"/>
      <c r="G151" s="18"/>
      <c r="H151" s="18"/>
      <c r="I151" s="18"/>
      <c r="J151" s="18"/>
    </row>
    <row r="152" spans="1:10">
      <c r="A152" s="18" t="str">
        <f t="shared" si="2"/>
        <v/>
      </c>
      <c r="B152" s="18"/>
      <c r="C152" s="18"/>
      <c r="F152" s="25"/>
      <c r="G152" s="18"/>
      <c r="H152" s="18"/>
      <c r="I152" s="18"/>
      <c r="J152" s="18"/>
    </row>
    <row r="153" spans="1:10">
      <c r="A153" s="18" t="str">
        <f t="shared" si="2"/>
        <v/>
      </c>
      <c r="B153" s="18"/>
      <c r="C153" s="18"/>
      <c r="F153" s="25"/>
      <c r="G153" s="18"/>
      <c r="H153" s="18"/>
      <c r="I153" s="18"/>
      <c r="J153" s="18"/>
    </row>
    <row r="154" spans="1:10">
      <c r="A154" s="18" t="str">
        <f t="shared" si="2"/>
        <v/>
      </c>
      <c r="B154" s="18"/>
      <c r="C154" s="18"/>
      <c r="F154" s="25"/>
      <c r="G154" s="18"/>
      <c r="H154" s="18"/>
      <c r="I154" s="18"/>
      <c r="J154" s="18"/>
    </row>
    <row r="155" spans="1:10">
      <c r="A155" s="18" t="str">
        <f t="shared" si="2"/>
        <v/>
      </c>
      <c r="B155" s="18"/>
      <c r="C155" s="18"/>
      <c r="F155" s="25"/>
      <c r="G155" s="18"/>
      <c r="H155" s="18"/>
      <c r="I155" s="18"/>
      <c r="J155" s="18"/>
    </row>
    <row r="156" spans="1:10">
      <c r="A156" s="18" t="str">
        <f t="shared" si="2"/>
        <v/>
      </c>
      <c r="B156" s="18"/>
      <c r="C156" s="18"/>
      <c r="F156" s="25"/>
      <c r="G156" s="18"/>
      <c r="H156" s="18"/>
      <c r="I156" s="18"/>
      <c r="J156" s="18"/>
    </row>
    <row r="157" spans="1:10">
      <c r="A157" s="18" t="str">
        <f t="shared" si="2"/>
        <v/>
      </c>
      <c r="B157" s="18"/>
      <c r="C157" s="18"/>
      <c r="F157" s="25"/>
      <c r="G157" s="18"/>
      <c r="H157" s="18"/>
      <c r="I157" s="18"/>
      <c r="J157" s="18"/>
    </row>
    <row r="158" spans="1:10">
      <c r="A158" s="18" t="str">
        <f t="shared" si="2"/>
        <v/>
      </c>
      <c r="B158" s="18"/>
      <c r="C158" s="18"/>
      <c r="F158" s="25"/>
      <c r="G158" s="18"/>
      <c r="H158" s="18"/>
      <c r="I158" s="18"/>
      <c r="J158" s="18"/>
    </row>
    <row r="159" spans="1:10">
      <c r="A159" s="18" t="str">
        <f t="shared" si="2"/>
        <v/>
      </c>
      <c r="B159" s="18"/>
      <c r="C159" s="18"/>
      <c r="F159" s="25"/>
      <c r="G159" s="18"/>
      <c r="H159" s="18"/>
      <c r="I159" s="18"/>
      <c r="J159" s="18"/>
    </row>
    <row r="160" spans="1:10">
      <c r="A160" s="18" t="str">
        <f t="shared" si="2"/>
        <v/>
      </c>
      <c r="B160" s="18"/>
      <c r="C160" s="18"/>
      <c r="F160" s="25"/>
      <c r="G160" s="18"/>
      <c r="H160" s="18"/>
      <c r="I160" s="18"/>
      <c r="J160" s="18"/>
    </row>
    <row r="161" spans="1:10">
      <c r="A161" s="18" t="str">
        <f t="shared" si="2"/>
        <v/>
      </c>
      <c r="B161" s="18"/>
      <c r="C161" s="18"/>
      <c r="F161" s="25"/>
      <c r="G161" s="18"/>
      <c r="H161" s="18"/>
      <c r="I161" s="18"/>
      <c r="J161" s="18"/>
    </row>
    <row r="162" spans="1:10">
      <c r="A162" s="18" t="str">
        <f t="shared" si="2"/>
        <v/>
      </c>
      <c r="B162" s="18"/>
      <c r="C162" s="18"/>
      <c r="F162" s="25"/>
      <c r="G162" s="18"/>
      <c r="H162" s="18"/>
      <c r="I162" s="18"/>
      <c r="J162" s="18"/>
    </row>
    <row r="163" spans="1:10">
      <c r="A163" s="18" t="str">
        <f t="shared" si="2"/>
        <v/>
      </c>
      <c r="B163" s="18"/>
      <c r="C163" s="18"/>
      <c r="F163" s="25"/>
      <c r="G163" s="18"/>
      <c r="H163" s="18"/>
      <c r="I163" s="18"/>
      <c r="J163" s="18"/>
    </row>
    <row r="164" spans="1:10">
      <c r="A164" s="18" t="str">
        <f t="shared" si="2"/>
        <v/>
      </c>
      <c r="B164" s="18"/>
      <c r="C164" s="18"/>
      <c r="F164" s="25"/>
      <c r="G164" s="18"/>
      <c r="H164" s="18"/>
      <c r="I164" s="18"/>
      <c r="J164" s="18"/>
    </row>
    <row r="165" spans="1:10">
      <c r="A165" s="18" t="str">
        <f t="shared" si="2"/>
        <v/>
      </c>
      <c r="B165" s="18"/>
      <c r="C165" s="18"/>
      <c r="F165" s="25"/>
      <c r="G165" s="18"/>
      <c r="H165" s="18"/>
      <c r="I165" s="18"/>
      <c r="J165" s="18"/>
    </row>
    <row r="166" spans="1:10">
      <c r="A166" s="18" t="str">
        <f t="shared" si="2"/>
        <v/>
      </c>
      <c r="B166" s="18"/>
      <c r="C166" s="18"/>
      <c r="F166" s="25"/>
      <c r="G166" s="18"/>
      <c r="H166" s="18"/>
      <c r="I166" s="18"/>
      <c r="J166" s="18"/>
    </row>
    <row r="167" spans="1:10">
      <c r="A167" s="18" t="str">
        <f t="shared" si="2"/>
        <v/>
      </c>
      <c r="B167" s="18"/>
      <c r="C167" s="18"/>
      <c r="F167" s="25"/>
      <c r="G167" s="18"/>
      <c r="H167" s="18"/>
      <c r="I167" s="18"/>
      <c r="J167" s="18"/>
    </row>
    <row r="168" spans="1:10">
      <c r="A168" s="18" t="str">
        <f t="shared" si="2"/>
        <v/>
      </c>
      <c r="B168" s="18"/>
      <c r="C168" s="18"/>
      <c r="F168" s="25"/>
      <c r="G168" s="18"/>
      <c r="H168" s="18"/>
      <c r="I168" s="18"/>
      <c r="J168" s="18"/>
    </row>
    <row r="169" spans="1:10">
      <c r="A169" s="18" t="str">
        <f t="shared" si="2"/>
        <v/>
      </c>
      <c r="B169" s="18"/>
      <c r="C169" s="18"/>
      <c r="F169" s="25"/>
      <c r="G169" s="18"/>
      <c r="H169" s="18"/>
      <c r="I169" s="18"/>
      <c r="J169" s="18"/>
    </row>
    <row r="170" spans="1:10">
      <c r="A170" s="18" t="str">
        <f t="shared" si="2"/>
        <v/>
      </c>
      <c r="B170" s="18"/>
      <c r="C170" s="18"/>
      <c r="F170" s="25"/>
      <c r="G170" s="18"/>
      <c r="H170" s="18"/>
      <c r="I170" s="18"/>
      <c r="J170" s="18"/>
    </row>
    <row r="171" spans="1:10">
      <c r="A171" s="18" t="str">
        <f t="shared" si="2"/>
        <v/>
      </c>
      <c r="B171" s="18"/>
      <c r="C171" s="18"/>
      <c r="F171" s="25"/>
      <c r="G171" s="18"/>
      <c r="H171" s="18"/>
      <c r="I171" s="18"/>
      <c r="J171" s="18"/>
    </row>
    <row r="172" spans="1:10">
      <c r="A172" s="18" t="str">
        <f t="shared" si="2"/>
        <v/>
      </c>
      <c r="B172" s="18"/>
      <c r="C172" s="18"/>
      <c r="F172" s="25"/>
      <c r="G172" s="18"/>
      <c r="H172" s="18"/>
      <c r="I172" s="18"/>
      <c r="J172" s="18"/>
    </row>
    <row r="173" spans="1:10">
      <c r="A173" s="18" t="str">
        <f t="shared" si="2"/>
        <v/>
      </c>
      <c r="B173" s="18"/>
      <c r="C173" s="18"/>
      <c r="F173" s="25"/>
      <c r="G173" s="18"/>
      <c r="H173" s="18"/>
      <c r="I173" s="18"/>
      <c r="J173" s="18"/>
    </row>
    <row r="174" spans="1:10">
      <c r="A174" s="18" t="str">
        <f t="shared" si="2"/>
        <v/>
      </c>
      <c r="B174" s="18"/>
      <c r="C174" s="18"/>
      <c r="F174" s="25"/>
      <c r="G174" s="18"/>
      <c r="H174" s="18"/>
      <c r="I174" s="18"/>
      <c r="J174" s="18"/>
    </row>
    <row r="175" spans="1:10">
      <c r="A175" s="18" t="str">
        <f t="shared" si="2"/>
        <v/>
      </c>
      <c r="B175" s="18"/>
      <c r="C175" s="18"/>
      <c r="F175" s="25"/>
      <c r="G175" s="18"/>
      <c r="H175" s="18"/>
      <c r="I175" s="18"/>
      <c r="J175" s="18"/>
    </row>
    <row r="176" spans="1:10">
      <c r="A176" s="18" t="str">
        <f t="shared" si="2"/>
        <v/>
      </c>
      <c r="B176" s="18"/>
      <c r="C176" s="18"/>
      <c r="F176" s="25"/>
      <c r="G176" s="18"/>
      <c r="H176" s="18"/>
      <c r="I176" s="18"/>
      <c r="J176" s="18"/>
    </row>
    <row r="177" spans="1:10">
      <c r="A177" s="18" t="str">
        <f t="shared" si="2"/>
        <v/>
      </c>
      <c r="B177" s="18"/>
      <c r="C177" s="18"/>
      <c r="F177" s="25"/>
      <c r="G177" s="18"/>
      <c r="H177" s="18"/>
      <c r="I177" s="18"/>
      <c r="J177" s="18"/>
    </row>
    <row r="178" spans="1:10">
      <c r="A178" s="18" t="str">
        <f t="shared" si="2"/>
        <v/>
      </c>
      <c r="B178" s="18"/>
      <c r="C178" s="18"/>
      <c r="F178" s="25"/>
      <c r="G178" s="18"/>
      <c r="H178" s="18"/>
      <c r="I178" s="18"/>
      <c r="J178" s="18"/>
    </row>
    <row r="179" spans="1:10">
      <c r="A179" s="18" t="str">
        <f t="shared" si="2"/>
        <v/>
      </c>
      <c r="B179" s="18"/>
      <c r="C179" s="18"/>
      <c r="F179" s="25"/>
      <c r="G179" s="18"/>
      <c r="H179" s="18"/>
      <c r="I179" s="18"/>
      <c r="J179" s="18"/>
    </row>
    <row r="180" spans="1:10">
      <c r="A180" s="18" t="str">
        <f t="shared" si="2"/>
        <v/>
      </c>
      <c r="B180" s="18"/>
      <c r="C180" s="18"/>
      <c r="F180" s="25"/>
      <c r="G180" s="18"/>
      <c r="H180" s="18"/>
      <c r="I180" s="18"/>
      <c r="J180" s="18"/>
    </row>
    <row r="181" spans="1:10">
      <c r="A181" s="18" t="str">
        <f t="shared" si="2"/>
        <v/>
      </c>
      <c r="B181" s="18"/>
      <c r="C181" s="18"/>
      <c r="F181" s="25"/>
      <c r="G181" s="18"/>
      <c r="H181" s="18"/>
      <c r="I181" s="18"/>
      <c r="J181" s="18"/>
    </row>
    <row r="182" spans="1:10">
      <c r="A182" s="18" t="str">
        <f t="shared" si="2"/>
        <v/>
      </c>
      <c r="B182" s="18"/>
      <c r="C182" s="18"/>
      <c r="F182" s="25"/>
      <c r="G182" s="18"/>
      <c r="H182" s="18"/>
      <c r="I182" s="18"/>
      <c r="J182" s="18"/>
    </row>
    <row r="183" spans="1:10">
      <c r="A183" s="18" t="str">
        <f t="shared" si="2"/>
        <v/>
      </c>
      <c r="B183" s="18"/>
      <c r="C183" s="18"/>
      <c r="F183" s="25"/>
      <c r="G183" s="18"/>
      <c r="H183" s="18"/>
      <c r="I183" s="18"/>
      <c r="J183" s="18"/>
    </row>
    <row r="184" spans="1:10">
      <c r="A184" s="18" t="str">
        <f t="shared" si="2"/>
        <v/>
      </c>
      <c r="B184" s="18"/>
      <c r="C184" s="18"/>
      <c r="F184" s="25"/>
      <c r="G184" s="18"/>
      <c r="H184" s="18"/>
      <c r="I184" s="18"/>
      <c r="J184" s="18"/>
    </row>
    <row r="185" spans="1:10">
      <c r="A185" s="18" t="str">
        <f t="shared" si="2"/>
        <v/>
      </c>
      <c r="B185" s="18"/>
      <c r="C185" s="18"/>
      <c r="F185" s="25"/>
      <c r="G185" s="18"/>
      <c r="H185" s="18"/>
      <c r="I185" s="18"/>
      <c r="J185" s="18"/>
    </row>
    <row r="186" spans="1:10">
      <c r="A186" s="18" t="str">
        <f t="shared" si="2"/>
        <v/>
      </c>
      <c r="B186" s="18"/>
      <c r="C186" s="18"/>
      <c r="F186" s="25"/>
      <c r="G186" s="18"/>
      <c r="H186" s="18"/>
      <c r="I186" s="18"/>
      <c r="J186" s="18"/>
    </row>
    <row r="187" spans="1:10">
      <c r="A187" s="18" t="str">
        <f t="shared" si="2"/>
        <v/>
      </c>
      <c r="B187" s="18"/>
      <c r="C187" s="18"/>
      <c r="F187" s="25"/>
      <c r="G187" s="18"/>
      <c r="H187" s="18"/>
      <c r="I187" s="18"/>
      <c r="J187" s="18"/>
    </row>
    <row r="188" spans="1:10">
      <c r="A188" s="18" t="str">
        <f t="shared" si="2"/>
        <v/>
      </c>
      <c r="B188" s="18"/>
      <c r="C188" s="18"/>
      <c r="F188" s="25"/>
      <c r="G188" s="18"/>
      <c r="H188" s="18"/>
      <c r="I188" s="18"/>
      <c r="J188" s="18"/>
    </row>
    <row r="189" spans="1:10">
      <c r="A189" s="18" t="str">
        <f t="shared" si="2"/>
        <v/>
      </c>
      <c r="B189" s="18"/>
      <c r="C189" s="18"/>
      <c r="F189" s="25"/>
      <c r="G189" s="18"/>
      <c r="H189" s="18"/>
      <c r="I189" s="18"/>
      <c r="J189" s="18"/>
    </row>
    <row r="190" spans="1:10">
      <c r="A190" s="18" t="str">
        <f t="shared" si="2"/>
        <v/>
      </c>
      <c r="B190" s="18"/>
      <c r="C190" s="18"/>
      <c r="F190" s="25"/>
      <c r="G190" s="18"/>
      <c r="H190" s="18"/>
      <c r="I190" s="18"/>
      <c r="J190" s="18"/>
    </row>
    <row r="191" spans="1:10">
      <c r="A191" s="18" t="str">
        <f t="shared" si="2"/>
        <v/>
      </c>
      <c r="B191" s="18"/>
      <c r="C191" s="18"/>
      <c r="F191" s="25"/>
      <c r="G191" s="18"/>
      <c r="H191" s="18"/>
      <c r="I191" s="18"/>
      <c r="J191" s="18"/>
    </row>
    <row r="192" spans="1:10">
      <c r="A192" s="18" t="str">
        <f t="shared" si="2"/>
        <v/>
      </c>
      <c r="B192" s="18"/>
      <c r="C192" s="18"/>
      <c r="F192" s="25"/>
      <c r="G192" s="18"/>
      <c r="H192" s="18"/>
      <c r="I192" s="18"/>
      <c r="J192" s="18"/>
    </row>
    <row r="193" spans="1:10">
      <c r="A193" s="18" t="str">
        <f t="shared" si="2"/>
        <v/>
      </c>
      <c r="B193" s="18"/>
      <c r="C193" s="18"/>
      <c r="F193" s="25"/>
      <c r="G193" s="18"/>
      <c r="H193" s="18"/>
      <c r="I193" s="18"/>
      <c r="J193" s="18"/>
    </row>
    <row r="194" spans="1:10">
      <c r="A194" s="18" t="str">
        <f t="shared" ref="A194:A257" si="3">IF(C194="","",ROW()-1)</f>
        <v/>
      </c>
      <c r="B194" s="18"/>
      <c r="C194" s="18"/>
      <c r="F194" s="25"/>
      <c r="G194" s="18"/>
      <c r="H194" s="18"/>
      <c r="I194" s="18"/>
      <c r="J194" s="18"/>
    </row>
    <row r="195" spans="1:10">
      <c r="A195" s="18" t="str">
        <f t="shared" si="3"/>
        <v/>
      </c>
      <c r="B195" s="18"/>
      <c r="C195" s="18"/>
      <c r="F195" s="25"/>
      <c r="G195" s="18"/>
      <c r="H195" s="18"/>
      <c r="I195" s="18"/>
      <c r="J195" s="18"/>
    </row>
    <row r="196" spans="1:10">
      <c r="A196" s="18" t="str">
        <f t="shared" si="3"/>
        <v/>
      </c>
      <c r="B196" s="18"/>
      <c r="C196" s="18"/>
      <c r="F196" s="25"/>
      <c r="G196" s="18"/>
      <c r="H196" s="18"/>
      <c r="I196" s="18"/>
      <c r="J196" s="18"/>
    </row>
    <row r="197" spans="1:10">
      <c r="A197" s="18" t="str">
        <f t="shared" si="3"/>
        <v/>
      </c>
      <c r="B197" s="18"/>
      <c r="C197" s="18"/>
      <c r="F197" s="25"/>
      <c r="G197" s="18"/>
      <c r="H197" s="18"/>
      <c r="I197" s="18"/>
      <c r="J197" s="18"/>
    </row>
    <row r="198" spans="1:10">
      <c r="A198" s="18" t="str">
        <f t="shared" si="3"/>
        <v/>
      </c>
      <c r="B198" s="18"/>
      <c r="C198" s="18"/>
      <c r="F198" s="25"/>
      <c r="G198" s="18"/>
      <c r="H198" s="18"/>
      <c r="I198" s="18"/>
      <c r="J198" s="18"/>
    </row>
    <row r="199" spans="1:10">
      <c r="A199" s="18" t="str">
        <f t="shared" si="3"/>
        <v/>
      </c>
      <c r="B199" s="18"/>
      <c r="C199" s="18"/>
      <c r="F199" s="25"/>
      <c r="G199" s="18"/>
      <c r="H199" s="18"/>
      <c r="I199" s="18"/>
      <c r="J199" s="18"/>
    </row>
    <row r="200" spans="1:10">
      <c r="A200" s="18" t="str">
        <f t="shared" si="3"/>
        <v/>
      </c>
      <c r="B200" s="18"/>
      <c r="C200" s="18"/>
      <c r="F200" s="25"/>
      <c r="G200" s="18"/>
      <c r="H200" s="18"/>
      <c r="I200" s="18"/>
      <c r="J200" s="18"/>
    </row>
    <row r="201" spans="1:10">
      <c r="A201" s="18" t="str">
        <f t="shared" si="3"/>
        <v/>
      </c>
      <c r="B201" s="18"/>
      <c r="C201" s="18"/>
      <c r="F201" s="25"/>
      <c r="G201" s="18"/>
      <c r="H201" s="18"/>
      <c r="I201" s="18"/>
      <c r="J201" s="18"/>
    </row>
    <row r="202" spans="1:10">
      <c r="A202" s="18" t="str">
        <f t="shared" si="3"/>
        <v/>
      </c>
      <c r="B202" s="18"/>
      <c r="C202" s="18"/>
      <c r="F202" s="25"/>
      <c r="G202" s="18"/>
      <c r="H202" s="18"/>
      <c r="I202" s="18"/>
      <c r="J202" s="18"/>
    </row>
    <row r="203" spans="1:10">
      <c r="A203" s="18" t="str">
        <f t="shared" si="3"/>
        <v/>
      </c>
      <c r="B203" s="18"/>
      <c r="C203" s="18"/>
      <c r="F203" s="25"/>
      <c r="G203" s="18"/>
      <c r="H203" s="18"/>
      <c r="I203" s="18"/>
      <c r="J203" s="18"/>
    </row>
    <row r="204" spans="1:10">
      <c r="A204" s="18" t="str">
        <f t="shared" si="3"/>
        <v/>
      </c>
      <c r="B204" s="18"/>
      <c r="C204" s="18"/>
      <c r="F204" s="25"/>
      <c r="G204" s="18"/>
      <c r="H204" s="18"/>
      <c r="I204" s="18"/>
      <c r="J204" s="18"/>
    </row>
    <row r="205" spans="1:10">
      <c r="A205" s="18" t="str">
        <f t="shared" si="3"/>
        <v/>
      </c>
      <c r="B205" s="18"/>
      <c r="C205" s="18"/>
      <c r="F205" s="25"/>
      <c r="G205" s="18"/>
      <c r="H205" s="18"/>
      <c r="I205" s="18"/>
      <c r="J205" s="18"/>
    </row>
    <row r="206" spans="1:10">
      <c r="A206" s="18" t="str">
        <f t="shared" si="3"/>
        <v/>
      </c>
      <c r="B206" s="18"/>
      <c r="C206" s="18"/>
      <c r="F206" s="25"/>
      <c r="G206" s="18"/>
      <c r="H206" s="18"/>
      <c r="I206" s="18"/>
      <c r="J206" s="18"/>
    </row>
    <row r="207" spans="1:10">
      <c r="A207" s="18" t="str">
        <f t="shared" si="3"/>
        <v/>
      </c>
      <c r="B207" s="18"/>
      <c r="C207" s="18"/>
      <c r="F207" s="25"/>
      <c r="G207" s="18"/>
      <c r="H207" s="18"/>
      <c r="I207" s="18"/>
      <c r="J207" s="18"/>
    </row>
    <row r="208" spans="1:10">
      <c r="A208" s="18" t="str">
        <f t="shared" si="3"/>
        <v/>
      </c>
      <c r="B208" s="18"/>
      <c r="C208" s="18"/>
      <c r="F208" s="25"/>
      <c r="G208" s="18"/>
      <c r="H208" s="18"/>
      <c r="I208" s="18"/>
      <c r="J208" s="18"/>
    </row>
    <row r="209" spans="1:10">
      <c r="A209" s="18" t="str">
        <f t="shared" si="3"/>
        <v/>
      </c>
      <c r="B209" s="18"/>
      <c r="C209" s="18"/>
      <c r="F209" s="25"/>
      <c r="G209" s="18"/>
      <c r="H209" s="18"/>
      <c r="I209" s="18"/>
      <c r="J209" s="18"/>
    </row>
    <row r="210" spans="1:10">
      <c r="A210" s="18" t="str">
        <f t="shared" si="3"/>
        <v/>
      </c>
      <c r="B210" s="18"/>
      <c r="C210" s="18"/>
      <c r="F210" s="25"/>
      <c r="G210" s="18"/>
      <c r="H210" s="18"/>
      <c r="I210" s="18"/>
      <c r="J210" s="18"/>
    </row>
    <row r="211" spans="1:10">
      <c r="A211" s="18" t="str">
        <f t="shared" si="3"/>
        <v/>
      </c>
      <c r="B211" s="18"/>
      <c r="C211" s="18"/>
      <c r="F211" s="25"/>
      <c r="G211" s="18"/>
      <c r="H211" s="18"/>
      <c r="I211" s="18"/>
      <c r="J211" s="18"/>
    </row>
    <row r="212" spans="1:10">
      <c r="A212" s="18" t="str">
        <f t="shared" si="3"/>
        <v/>
      </c>
      <c r="B212" s="18"/>
      <c r="C212" s="18"/>
      <c r="F212" s="25"/>
      <c r="G212" s="18"/>
      <c r="H212" s="18"/>
      <c r="I212" s="18"/>
      <c r="J212" s="18"/>
    </row>
    <row r="213" spans="1:10">
      <c r="A213" s="18" t="str">
        <f t="shared" si="3"/>
        <v/>
      </c>
      <c r="B213" s="18"/>
      <c r="C213" s="18"/>
      <c r="F213" s="25"/>
      <c r="G213" s="18"/>
      <c r="H213" s="18"/>
      <c r="I213" s="18"/>
      <c r="J213" s="18"/>
    </row>
    <row r="214" spans="1:10">
      <c r="A214" s="18" t="str">
        <f t="shared" si="3"/>
        <v/>
      </c>
      <c r="B214" s="18"/>
      <c r="C214" s="18"/>
      <c r="F214" s="25"/>
      <c r="G214" s="18"/>
      <c r="H214" s="18"/>
      <c r="I214" s="18"/>
      <c r="J214" s="18"/>
    </row>
    <row r="215" spans="1:10">
      <c r="A215" s="18" t="str">
        <f t="shared" si="3"/>
        <v/>
      </c>
      <c r="B215" s="18"/>
      <c r="C215" s="18"/>
      <c r="F215" s="25"/>
      <c r="G215" s="18"/>
      <c r="H215" s="18"/>
      <c r="I215" s="18"/>
      <c r="J215" s="18"/>
    </row>
    <row r="216" spans="1:10">
      <c r="A216" s="18" t="str">
        <f t="shared" si="3"/>
        <v/>
      </c>
      <c r="B216" s="18"/>
      <c r="C216" s="18"/>
      <c r="F216" s="25"/>
      <c r="G216" s="18"/>
      <c r="H216" s="18"/>
      <c r="I216" s="18"/>
      <c r="J216" s="18"/>
    </row>
    <row r="217" spans="1:10">
      <c r="A217" s="18" t="str">
        <f t="shared" si="3"/>
        <v/>
      </c>
      <c r="B217" s="18"/>
      <c r="C217" s="18"/>
      <c r="F217" s="25"/>
      <c r="G217" s="18"/>
      <c r="H217" s="18"/>
      <c r="I217" s="18"/>
      <c r="J217" s="18"/>
    </row>
    <row r="218" spans="1:10">
      <c r="A218" s="18" t="str">
        <f t="shared" si="3"/>
        <v/>
      </c>
      <c r="B218" s="18"/>
      <c r="C218" s="18"/>
      <c r="F218" s="25"/>
      <c r="G218" s="18"/>
      <c r="H218" s="18"/>
      <c r="I218" s="18"/>
      <c r="J218" s="18"/>
    </row>
    <row r="219" spans="1:10">
      <c r="A219" s="18" t="str">
        <f t="shared" si="3"/>
        <v/>
      </c>
      <c r="B219" s="18"/>
      <c r="C219" s="18"/>
      <c r="F219" s="25"/>
      <c r="G219" s="18"/>
      <c r="H219" s="18"/>
      <c r="I219" s="18"/>
      <c r="J219" s="18"/>
    </row>
    <row r="220" spans="1:10">
      <c r="A220" s="18" t="str">
        <f t="shared" si="3"/>
        <v/>
      </c>
      <c r="B220" s="18"/>
      <c r="C220" s="18"/>
      <c r="F220" s="25"/>
      <c r="G220" s="18"/>
      <c r="H220" s="18"/>
      <c r="I220" s="18"/>
      <c r="J220" s="18"/>
    </row>
    <row r="221" spans="1:10">
      <c r="A221" s="18" t="str">
        <f t="shared" si="3"/>
        <v/>
      </c>
      <c r="B221" s="18"/>
      <c r="C221" s="18"/>
      <c r="F221" s="25"/>
      <c r="G221" s="18"/>
      <c r="H221" s="18"/>
      <c r="I221" s="18"/>
      <c r="J221" s="18"/>
    </row>
    <row r="222" spans="1:10">
      <c r="A222" s="18" t="str">
        <f t="shared" si="3"/>
        <v/>
      </c>
      <c r="B222" s="18"/>
      <c r="C222" s="18"/>
      <c r="F222" s="25"/>
      <c r="G222" s="18"/>
      <c r="H222" s="18"/>
      <c r="I222" s="18"/>
      <c r="J222" s="18"/>
    </row>
    <row r="223" spans="1:10">
      <c r="A223" s="18" t="str">
        <f t="shared" si="3"/>
        <v/>
      </c>
      <c r="B223" s="18"/>
      <c r="C223" s="18"/>
      <c r="F223" s="25"/>
      <c r="G223" s="18"/>
      <c r="H223" s="18"/>
      <c r="I223" s="18"/>
      <c r="J223" s="18"/>
    </row>
    <row r="224" spans="1:10">
      <c r="A224" s="18" t="str">
        <f t="shared" si="3"/>
        <v/>
      </c>
      <c r="B224" s="18"/>
      <c r="C224" s="18"/>
      <c r="F224" s="25"/>
      <c r="G224" s="18"/>
      <c r="H224" s="18"/>
      <c r="I224" s="18"/>
      <c r="J224" s="18"/>
    </row>
    <row r="225" spans="1:10">
      <c r="A225" s="18" t="str">
        <f t="shared" si="3"/>
        <v/>
      </c>
      <c r="B225" s="18"/>
      <c r="C225" s="18"/>
      <c r="F225" s="25"/>
      <c r="G225" s="18"/>
      <c r="H225" s="18"/>
      <c r="I225" s="18"/>
      <c r="J225" s="18"/>
    </row>
    <row r="226" spans="1:10">
      <c r="A226" s="18" t="str">
        <f t="shared" si="3"/>
        <v/>
      </c>
      <c r="B226" s="18"/>
      <c r="C226" s="18"/>
      <c r="F226" s="25"/>
      <c r="G226" s="18"/>
      <c r="H226" s="18"/>
      <c r="I226" s="18"/>
      <c r="J226" s="18"/>
    </row>
    <row r="227" spans="1:10">
      <c r="A227" s="18" t="str">
        <f t="shared" si="3"/>
        <v/>
      </c>
      <c r="B227" s="18"/>
      <c r="C227" s="18"/>
      <c r="F227" s="25"/>
      <c r="G227" s="18"/>
      <c r="H227" s="18"/>
      <c r="I227" s="18"/>
      <c r="J227" s="18"/>
    </row>
    <row r="228" spans="1:10">
      <c r="A228" s="18" t="str">
        <f t="shared" si="3"/>
        <v/>
      </c>
      <c r="B228" s="18"/>
      <c r="C228" s="18"/>
      <c r="F228" s="25"/>
      <c r="G228" s="18"/>
      <c r="H228" s="18"/>
      <c r="I228" s="18"/>
      <c r="J228" s="18"/>
    </row>
    <row r="229" spans="1:10">
      <c r="A229" s="18" t="str">
        <f t="shared" si="3"/>
        <v/>
      </c>
      <c r="B229" s="18"/>
      <c r="C229" s="18"/>
      <c r="F229" s="25"/>
      <c r="G229" s="18"/>
      <c r="H229" s="18"/>
      <c r="I229" s="18"/>
      <c r="J229" s="18"/>
    </row>
    <row r="230" spans="1:10">
      <c r="A230" s="18" t="str">
        <f t="shared" si="3"/>
        <v/>
      </c>
      <c r="B230" s="18"/>
      <c r="C230" s="18"/>
      <c r="F230" s="25"/>
      <c r="G230" s="18"/>
      <c r="H230" s="18"/>
      <c r="I230" s="18"/>
      <c r="J230" s="18"/>
    </row>
    <row r="231" spans="1:10">
      <c r="A231" s="18" t="str">
        <f t="shared" si="3"/>
        <v/>
      </c>
      <c r="B231" s="18"/>
      <c r="C231" s="18"/>
      <c r="F231" s="25"/>
      <c r="G231" s="18"/>
      <c r="H231" s="18"/>
      <c r="I231" s="18"/>
      <c r="J231" s="18"/>
    </row>
    <row r="232" spans="1:10">
      <c r="A232" s="18" t="str">
        <f t="shared" si="3"/>
        <v/>
      </c>
      <c r="B232" s="18"/>
      <c r="C232" s="18"/>
      <c r="F232" s="25"/>
      <c r="G232" s="18"/>
      <c r="H232" s="18"/>
      <c r="I232" s="18"/>
      <c r="J232" s="18"/>
    </row>
    <row r="233" spans="1:10">
      <c r="A233" s="18" t="str">
        <f t="shared" si="3"/>
        <v/>
      </c>
      <c r="B233" s="18"/>
      <c r="C233" s="18"/>
      <c r="F233" s="25"/>
      <c r="G233" s="18"/>
      <c r="H233" s="18"/>
      <c r="I233" s="18"/>
      <c r="J233" s="18"/>
    </row>
    <row r="234" spans="1:10">
      <c r="A234" s="18" t="str">
        <f t="shared" si="3"/>
        <v/>
      </c>
      <c r="B234" s="18"/>
      <c r="C234" s="18"/>
      <c r="F234" s="25"/>
      <c r="G234" s="18"/>
      <c r="H234" s="18"/>
      <c r="I234" s="18"/>
      <c r="J234" s="18"/>
    </row>
    <row r="235" spans="1:10">
      <c r="A235" s="18" t="str">
        <f t="shared" si="3"/>
        <v/>
      </c>
      <c r="B235" s="18"/>
      <c r="C235" s="18"/>
      <c r="F235" s="25"/>
      <c r="G235" s="18"/>
      <c r="H235" s="18"/>
      <c r="I235" s="18"/>
      <c r="J235" s="18"/>
    </row>
    <row r="236" spans="1:10">
      <c r="A236" s="18" t="str">
        <f t="shared" si="3"/>
        <v/>
      </c>
      <c r="B236" s="18"/>
      <c r="C236" s="18"/>
      <c r="F236" s="25"/>
      <c r="G236" s="18"/>
      <c r="H236" s="18"/>
      <c r="I236" s="18"/>
      <c r="J236" s="18"/>
    </row>
    <row r="237" spans="1:10">
      <c r="A237" s="18" t="str">
        <f t="shared" si="3"/>
        <v/>
      </c>
      <c r="B237" s="18"/>
      <c r="C237" s="18"/>
      <c r="F237" s="25"/>
      <c r="G237" s="18"/>
      <c r="H237" s="18"/>
      <c r="I237" s="18"/>
      <c r="J237" s="18"/>
    </row>
    <row r="238" spans="1:10">
      <c r="A238" s="18" t="str">
        <f t="shared" si="3"/>
        <v/>
      </c>
      <c r="B238" s="18"/>
      <c r="C238" s="18"/>
      <c r="F238" s="25"/>
      <c r="G238" s="18"/>
      <c r="H238" s="18"/>
      <c r="I238" s="18"/>
      <c r="J238" s="18"/>
    </row>
    <row r="239" spans="1:10">
      <c r="A239" s="18" t="str">
        <f t="shared" si="3"/>
        <v/>
      </c>
      <c r="B239" s="18"/>
      <c r="C239" s="18"/>
      <c r="F239" s="25"/>
      <c r="G239" s="18"/>
      <c r="H239" s="18"/>
      <c r="I239" s="18"/>
      <c r="J239" s="18"/>
    </row>
    <row r="240" spans="1:10">
      <c r="A240" s="18" t="str">
        <f t="shared" si="3"/>
        <v/>
      </c>
      <c r="B240" s="18"/>
      <c r="C240" s="18"/>
      <c r="F240" s="25"/>
      <c r="G240" s="18"/>
      <c r="H240" s="18"/>
      <c r="I240" s="18"/>
      <c r="J240" s="18"/>
    </row>
    <row r="241" spans="1:10">
      <c r="A241" s="18" t="str">
        <f t="shared" si="3"/>
        <v/>
      </c>
      <c r="B241" s="18"/>
      <c r="C241" s="18"/>
      <c r="F241" s="25"/>
      <c r="G241" s="18"/>
      <c r="H241" s="18"/>
      <c r="I241" s="18"/>
      <c r="J241" s="18"/>
    </row>
    <row r="242" spans="1:10">
      <c r="A242" s="18" t="str">
        <f t="shared" si="3"/>
        <v/>
      </c>
      <c r="B242" s="18"/>
      <c r="C242" s="18"/>
      <c r="F242" s="25"/>
      <c r="G242" s="18"/>
      <c r="H242" s="18"/>
      <c r="I242" s="18"/>
      <c r="J242" s="18"/>
    </row>
    <row r="243" spans="1:10">
      <c r="A243" s="18" t="str">
        <f t="shared" si="3"/>
        <v/>
      </c>
      <c r="B243" s="18"/>
      <c r="C243" s="18"/>
      <c r="F243" s="25"/>
      <c r="G243" s="18"/>
      <c r="H243" s="18"/>
      <c r="I243" s="18"/>
      <c r="J243" s="18"/>
    </row>
    <row r="244" spans="1:10">
      <c r="A244" s="18" t="str">
        <f t="shared" si="3"/>
        <v/>
      </c>
      <c r="B244" s="18"/>
      <c r="C244" s="18"/>
      <c r="F244" s="25"/>
      <c r="G244" s="18"/>
      <c r="H244" s="18"/>
      <c r="I244" s="18"/>
      <c r="J244" s="18"/>
    </row>
    <row r="245" spans="1:10">
      <c r="A245" s="18" t="str">
        <f t="shared" si="3"/>
        <v/>
      </c>
      <c r="B245" s="18"/>
      <c r="C245" s="18"/>
      <c r="F245" s="25"/>
      <c r="G245" s="18"/>
      <c r="H245" s="18"/>
      <c r="I245" s="18"/>
      <c r="J245" s="18"/>
    </row>
    <row r="246" spans="1:10">
      <c r="A246" s="18" t="str">
        <f t="shared" si="3"/>
        <v/>
      </c>
      <c r="B246" s="18"/>
      <c r="C246" s="18"/>
      <c r="F246" s="25"/>
      <c r="G246" s="18"/>
      <c r="H246" s="18"/>
      <c r="I246" s="18"/>
      <c r="J246" s="18"/>
    </row>
    <row r="247" spans="1:10">
      <c r="A247" s="18" t="str">
        <f t="shared" si="3"/>
        <v/>
      </c>
      <c r="B247" s="18"/>
      <c r="C247" s="18"/>
      <c r="F247" s="25"/>
      <c r="G247" s="18"/>
      <c r="H247" s="18"/>
      <c r="I247" s="18"/>
      <c r="J247" s="18"/>
    </row>
    <row r="248" spans="1:10">
      <c r="A248" s="18" t="str">
        <f t="shared" si="3"/>
        <v/>
      </c>
      <c r="B248" s="18"/>
      <c r="C248" s="18"/>
      <c r="F248" s="25"/>
      <c r="G248" s="18"/>
      <c r="H248" s="18"/>
      <c r="I248" s="18"/>
      <c r="J248" s="18"/>
    </row>
    <row r="249" spans="1:10">
      <c r="A249" s="18" t="str">
        <f t="shared" si="3"/>
        <v/>
      </c>
      <c r="B249" s="18"/>
      <c r="C249" s="18"/>
      <c r="F249" s="25"/>
      <c r="G249" s="18"/>
      <c r="H249" s="18"/>
      <c r="I249" s="18"/>
      <c r="J249" s="18"/>
    </row>
    <row r="250" spans="1:10">
      <c r="A250" s="18" t="str">
        <f t="shared" si="3"/>
        <v/>
      </c>
      <c r="B250" s="18"/>
      <c r="C250" s="18"/>
      <c r="F250" s="25"/>
      <c r="G250" s="18"/>
      <c r="H250" s="18"/>
      <c r="I250" s="18"/>
      <c r="J250" s="18"/>
    </row>
    <row r="251" spans="1:10">
      <c r="A251" s="18" t="str">
        <f t="shared" si="3"/>
        <v/>
      </c>
      <c r="B251" s="18"/>
      <c r="C251" s="18"/>
      <c r="F251" s="25"/>
      <c r="G251" s="18"/>
      <c r="H251" s="18"/>
      <c r="I251" s="18"/>
      <c r="J251" s="18"/>
    </row>
    <row r="252" spans="1:10">
      <c r="A252" s="18" t="str">
        <f t="shared" si="3"/>
        <v/>
      </c>
      <c r="B252" s="18"/>
      <c r="C252" s="18"/>
      <c r="F252" s="25"/>
      <c r="G252" s="18"/>
      <c r="H252" s="18"/>
      <c r="I252" s="18"/>
      <c r="J252" s="18"/>
    </row>
    <row r="253" spans="1:10">
      <c r="A253" s="18" t="str">
        <f t="shared" si="3"/>
        <v/>
      </c>
      <c r="B253" s="18"/>
      <c r="C253" s="18"/>
      <c r="F253" s="25"/>
      <c r="G253" s="18"/>
      <c r="H253" s="18"/>
      <c r="I253" s="18"/>
      <c r="J253" s="18"/>
    </row>
    <row r="254" spans="1:10">
      <c r="A254" s="18" t="str">
        <f t="shared" si="3"/>
        <v/>
      </c>
      <c r="B254" s="18"/>
      <c r="C254" s="18"/>
      <c r="F254" s="25"/>
      <c r="G254" s="18"/>
      <c r="H254" s="18"/>
      <c r="I254" s="18"/>
      <c r="J254" s="18"/>
    </row>
    <row r="255" spans="1:10">
      <c r="A255" s="18" t="str">
        <f t="shared" si="3"/>
        <v/>
      </c>
      <c r="B255" s="18"/>
      <c r="C255" s="18"/>
      <c r="F255" s="25"/>
      <c r="G255" s="18"/>
      <c r="H255" s="18"/>
      <c r="I255" s="18"/>
      <c r="J255" s="18"/>
    </row>
    <row r="256" spans="1:10">
      <c r="A256" s="18" t="str">
        <f t="shared" si="3"/>
        <v/>
      </c>
      <c r="B256" s="18"/>
      <c r="C256" s="18"/>
      <c r="F256" s="25"/>
      <c r="G256" s="18"/>
      <c r="H256" s="18"/>
      <c r="I256" s="18"/>
      <c r="J256" s="18"/>
    </row>
    <row r="257" spans="1:10">
      <c r="A257" s="18" t="str">
        <f t="shared" si="3"/>
        <v/>
      </c>
      <c r="B257" s="18"/>
      <c r="C257" s="18"/>
      <c r="F257" s="25"/>
      <c r="G257" s="18"/>
      <c r="H257" s="18"/>
      <c r="I257" s="18"/>
      <c r="J257" s="18"/>
    </row>
    <row r="258" spans="1:10">
      <c r="A258" s="18" t="str">
        <f t="shared" ref="A258:A321" si="4">IF(C258="","",ROW()-1)</f>
        <v/>
      </c>
      <c r="B258" s="18"/>
      <c r="C258" s="18"/>
      <c r="F258" s="25"/>
      <c r="G258" s="18"/>
      <c r="H258" s="18"/>
      <c r="I258" s="18"/>
      <c r="J258" s="18"/>
    </row>
    <row r="259" spans="1:10">
      <c r="A259" s="18" t="str">
        <f t="shared" si="4"/>
        <v/>
      </c>
      <c r="B259" s="18"/>
      <c r="C259" s="18"/>
      <c r="F259" s="25"/>
      <c r="G259" s="18"/>
      <c r="H259" s="18"/>
      <c r="I259" s="18"/>
      <c r="J259" s="18"/>
    </row>
    <row r="260" spans="1:10">
      <c r="A260" s="18" t="str">
        <f t="shared" si="4"/>
        <v/>
      </c>
      <c r="B260" s="18"/>
      <c r="C260" s="18"/>
      <c r="F260" s="25"/>
      <c r="G260" s="18"/>
      <c r="H260" s="18"/>
      <c r="I260" s="18"/>
      <c r="J260" s="18"/>
    </row>
    <row r="261" spans="1:10">
      <c r="A261" s="18" t="str">
        <f t="shared" si="4"/>
        <v/>
      </c>
      <c r="B261" s="18"/>
      <c r="C261" s="18"/>
      <c r="F261" s="25"/>
      <c r="G261" s="18"/>
      <c r="H261" s="18"/>
      <c r="I261" s="18"/>
      <c r="J261" s="18"/>
    </row>
    <row r="262" spans="1:10">
      <c r="A262" s="18" t="str">
        <f t="shared" si="4"/>
        <v/>
      </c>
      <c r="B262" s="18"/>
      <c r="C262" s="18"/>
      <c r="F262" s="25"/>
      <c r="G262" s="18"/>
      <c r="H262" s="18"/>
      <c r="I262" s="18"/>
      <c r="J262" s="18"/>
    </row>
    <row r="263" spans="1:10">
      <c r="A263" s="18" t="str">
        <f t="shared" si="4"/>
        <v/>
      </c>
      <c r="B263" s="18"/>
      <c r="C263" s="18"/>
      <c r="F263" s="25"/>
      <c r="G263" s="18"/>
      <c r="H263" s="18"/>
      <c r="I263" s="18"/>
      <c r="J263" s="18"/>
    </row>
    <row r="264" spans="1:10">
      <c r="A264" s="18" t="str">
        <f t="shared" si="4"/>
        <v/>
      </c>
      <c r="B264" s="18"/>
      <c r="C264" s="18"/>
      <c r="F264" s="25"/>
      <c r="G264" s="18"/>
      <c r="H264" s="18"/>
      <c r="I264" s="18"/>
      <c r="J264" s="18"/>
    </row>
    <row r="265" spans="1:10">
      <c r="A265" s="18" t="str">
        <f t="shared" si="4"/>
        <v/>
      </c>
      <c r="B265" s="18"/>
      <c r="C265" s="18"/>
      <c r="F265" s="25"/>
      <c r="G265" s="18"/>
      <c r="H265" s="18"/>
      <c r="I265" s="18"/>
      <c r="J265" s="18"/>
    </row>
    <row r="266" spans="1:10">
      <c r="A266" s="18" t="str">
        <f t="shared" si="4"/>
        <v/>
      </c>
      <c r="B266" s="18"/>
      <c r="C266" s="18"/>
      <c r="F266" s="25"/>
      <c r="G266" s="18"/>
      <c r="H266" s="18"/>
      <c r="I266" s="18"/>
      <c r="J266" s="18"/>
    </row>
    <row r="267" spans="1:10">
      <c r="A267" s="18" t="str">
        <f t="shared" si="4"/>
        <v/>
      </c>
      <c r="B267" s="18"/>
      <c r="C267" s="18"/>
      <c r="F267" s="25"/>
      <c r="G267" s="18"/>
      <c r="H267" s="18"/>
      <c r="I267" s="18"/>
      <c r="J267" s="18"/>
    </row>
    <row r="268" spans="1:10">
      <c r="A268" s="18" t="str">
        <f t="shared" si="4"/>
        <v/>
      </c>
      <c r="B268" s="18"/>
      <c r="C268" s="18"/>
      <c r="F268" s="25"/>
      <c r="G268" s="18"/>
      <c r="H268" s="18"/>
      <c r="I268" s="18"/>
      <c r="J268" s="18"/>
    </row>
    <row r="269" spans="1:10">
      <c r="A269" s="18" t="str">
        <f t="shared" si="4"/>
        <v/>
      </c>
      <c r="B269" s="18"/>
      <c r="C269" s="18"/>
      <c r="F269" s="25"/>
      <c r="G269" s="18"/>
      <c r="H269" s="18"/>
      <c r="I269" s="18"/>
      <c r="J269" s="18"/>
    </row>
    <row r="270" spans="1:10">
      <c r="A270" s="18" t="str">
        <f t="shared" si="4"/>
        <v/>
      </c>
      <c r="B270" s="18"/>
      <c r="C270" s="18"/>
      <c r="F270" s="25"/>
      <c r="G270" s="18"/>
      <c r="H270" s="18"/>
      <c r="I270" s="18"/>
      <c r="J270" s="18"/>
    </row>
    <row r="271" spans="1:10">
      <c r="A271" s="18" t="str">
        <f t="shared" si="4"/>
        <v/>
      </c>
      <c r="B271" s="18"/>
      <c r="C271" s="18"/>
      <c r="F271" s="25"/>
      <c r="G271" s="18"/>
      <c r="H271" s="18"/>
      <c r="I271" s="18"/>
      <c r="J271" s="18"/>
    </row>
    <row r="272" spans="1:10">
      <c r="A272" s="18" t="str">
        <f t="shared" si="4"/>
        <v/>
      </c>
      <c r="B272" s="18"/>
      <c r="C272" s="18"/>
      <c r="F272" s="25"/>
      <c r="G272" s="18"/>
      <c r="H272" s="18"/>
      <c r="I272" s="18"/>
      <c r="J272" s="18"/>
    </row>
    <row r="273" spans="1:10">
      <c r="A273" s="18" t="str">
        <f t="shared" si="4"/>
        <v/>
      </c>
      <c r="B273" s="18"/>
      <c r="C273" s="18"/>
      <c r="F273" s="25"/>
      <c r="G273" s="18"/>
      <c r="H273" s="18"/>
      <c r="I273" s="18"/>
      <c r="J273" s="18"/>
    </row>
    <row r="274" spans="1:10">
      <c r="A274" s="18" t="str">
        <f t="shared" si="4"/>
        <v/>
      </c>
      <c r="B274" s="18"/>
      <c r="C274" s="18"/>
      <c r="F274" s="25"/>
      <c r="G274" s="18"/>
      <c r="H274" s="18"/>
      <c r="I274" s="18"/>
      <c r="J274" s="18"/>
    </row>
    <row r="275" spans="1:10">
      <c r="A275" s="18" t="str">
        <f t="shared" si="4"/>
        <v/>
      </c>
      <c r="B275" s="18"/>
      <c r="C275" s="18"/>
      <c r="F275" s="25"/>
      <c r="G275" s="18"/>
      <c r="H275" s="18"/>
      <c r="I275" s="18"/>
      <c r="J275" s="18"/>
    </row>
    <row r="276" spans="1:10">
      <c r="A276" s="18" t="str">
        <f t="shared" si="4"/>
        <v/>
      </c>
      <c r="B276" s="18"/>
      <c r="C276" s="18"/>
      <c r="F276" s="25"/>
      <c r="G276" s="18"/>
      <c r="H276" s="18"/>
      <c r="I276" s="18"/>
      <c r="J276" s="18"/>
    </row>
    <row r="277" spans="1:10">
      <c r="A277" s="18" t="str">
        <f t="shared" si="4"/>
        <v/>
      </c>
      <c r="B277" s="18"/>
      <c r="C277" s="18"/>
      <c r="F277" s="25"/>
      <c r="G277" s="18"/>
      <c r="H277" s="18"/>
      <c r="I277" s="18"/>
      <c r="J277" s="18"/>
    </row>
    <row r="278" spans="1:10">
      <c r="A278" s="18" t="str">
        <f t="shared" si="4"/>
        <v/>
      </c>
      <c r="B278" s="18"/>
      <c r="C278" s="18"/>
      <c r="F278" s="25"/>
      <c r="G278" s="18"/>
      <c r="H278" s="18"/>
      <c r="I278" s="18"/>
      <c r="J278" s="18"/>
    </row>
    <row r="279" spans="1:10">
      <c r="A279" s="18" t="str">
        <f t="shared" si="4"/>
        <v/>
      </c>
      <c r="B279" s="18"/>
      <c r="C279" s="18"/>
      <c r="F279" s="25"/>
      <c r="G279" s="18"/>
      <c r="H279" s="18"/>
      <c r="I279" s="18"/>
      <c r="J279" s="18"/>
    </row>
    <row r="280" spans="1:10">
      <c r="A280" s="18" t="str">
        <f t="shared" si="4"/>
        <v/>
      </c>
      <c r="B280" s="18"/>
      <c r="C280" s="18"/>
      <c r="F280" s="25"/>
      <c r="G280" s="18"/>
      <c r="H280" s="18"/>
      <c r="I280" s="18"/>
      <c r="J280" s="18"/>
    </row>
    <row r="281" spans="1:10">
      <c r="A281" s="18" t="str">
        <f t="shared" si="4"/>
        <v/>
      </c>
      <c r="B281" s="18"/>
      <c r="C281" s="18"/>
      <c r="F281" s="25"/>
      <c r="G281" s="18"/>
      <c r="H281" s="18"/>
      <c r="I281" s="18"/>
      <c r="J281" s="18"/>
    </row>
    <row r="282" spans="1:10">
      <c r="A282" s="18" t="str">
        <f t="shared" si="4"/>
        <v/>
      </c>
      <c r="B282" s="18"/>
      <c r="C282" s="18"/>
      <c r="F282" s="25"/>
      <c r="G282" s="18"/>
      <c r="H282" s="18"/>
      <c r="I282" s="18"/>
      <c r="J282" s="18"/>
    </row>
    <row r="283" spans="1:10">
      <c r="A283" s="18" t="str">
        <f t="shared" si="4"/>
        <v/>
      </c>
      <c r="B283" s="18"/>
      <c r="C283" s="18"/>
      <c r="F283" s="25"/>
      <c r="G283" s="18"/>
      <c r="H283" s="18"/>
      <c r="I283" s="18"/>
      <c r="J283" s="18"/>
    </row>
    <row r="284" spans="1:10">
      <c r="A284" s="18" t="str">
        <f t="shared" si="4"/>
        <v/>
      </c>
      <c r="B284" s="18"/>
      <c r="C284" s="18"/>
      <c r="F284" s="25"/>
      <c r="G284" s="18"/>
      <c r="H284" s="18"/>
      <c r="I284" s="18"/>
      <c r="J284" s="18"/>
    </row>
    <row r="285" spans="1:10">
      <c r="A285" s="18" t="str">
        <f t="shared" si="4"/>
        <v/>
      </c>
      <c r="B285" s="18"/>
      <c r="C285" s="18"/>
      <c r="F285" s="25"/>
      <c r="G285" s="18"/>
      <c r="H285" s="18"/>
      <c r="I285" s="18"/>
      <c r="J285" s="18"/>
    </row>
    <row r="286" spans="1:10">
      <c r="A286" s="18" t="str">
        <f t="shared" si="4"/>
        <v/>
      </c>
      <c r="B286" s="18"/>
      <c r="C286" s="18"/>
      <c r="F286" s="25"/>
      <c r="G286" s="18"/>
      <c r="H286" s="18"/>
      <c r="I286" s="18"/>
      <c r="J286" s="18"/>
    </row>
    <row r="287" spans="1:10">
      <c r="A287" s="18" t="str">
        <f t="shared" si="4"/>
        <v/>
      </c>
      <c r="B287" s="18"/>
      <c r="C287" s="18"/>
      <c r="F287" s="25"/>
      <c r="G287" s="18"/>
      <c r="H287" s="18"/>
      <c r="I287" s="18"/>
      <c r="J287" s="18"/>
    </row>
    <row r="288" spans="1:10">
      <c r="A288" s="18" t="str">
        <f t="shared" si="4"/>
        <v/>
      </c>
      <c r="B288" s="18"/>
      <c r="C288" s="18"/>
      <c r="F288" s="25"/>
      <c r="G288" s="18"/>
      <c r="H288" s="18"/>
      <c r="I288" s="18"/>
      <c r="J288" s="18"/>
    </row>
    <row r="289" spans="1:10">
      <c r="A289" s="18" t="str">
        <f t="shared" si="4"/>
        <v/>
      </c>
      <c r="B289" s="18"/>
      <c r="C289" s="18"/>
      <c r="F289" s="25"/>
      <c r="G289" s="18"/>
      <c r="H289" s="18"/>
      <c r="I289" s="18"/>
      <c r="J289" s="18"/>
    </row>
    <row r="290" spans="1:10">
      <c r="A290" s="18" t="str">
        <f t="shared" si="4"/>
        <v/>
      </c>
      <c r="B290" s="18"/>
      <c r="C290" s="18"/>
      <c r="F290" s="25"/>
      <c r="G290" s="18"/>
      <c r="H290" s="18"/>
      <c r="I290" s="18"/>
      <c r="J290" s="18"/>
    </row>
    <row r="291" spans="1:10">
      <c r="A291" s="18" t="str">
        <f t="shared" si="4"/>
        <v/>
      </c>
      <c r="B291" s="18"/>
      <c r="C291" s="18"/>
      <c r="F291" s="25"/>
      <c r="G291" s="18"/>
      <c r="H291" s="18"/>
      <c r="I291" s="18"/>
      <c r="J291" s="18"/>
    </row>
    <row r="292" spans="1:10">
      <c r="A292" s="18" t="str">
        <f t="shared" si="4"/>
        <v/>
      </c>
      <c r="B292" s="18"/>
      <c r="C292" s="18"/>
      <c r="F292" s="25"/>
      <c r="G292" s="18"/>
      <c r="H292" s="18"/>
      <c r="I292" s="18"/>
      <c r="J292" s="18"/>
    </row>
    <row r="293" spans="1:10">
      <c r="A293" s="18" t="str">
        <f t="shared" si="4"/>
        <v/>
      </c>
      <c r="B293" s="18"/>
      <c r="C293" s="18"/>
      <c r="F293" s="25"/>
      <c r="G293" s="18"/>
      <c r="H293" s="18"/>
      <c r="I293" s="18"/>
      <c r="J293" s="18"/>
    </row>
    <row r="294" spans="1:10">
      <c r="A294" s="18" t="str">
        <f t="shared" si="4"/>
        <v/>
      </c>
      <c r="B294" s="18"/>
      <c r="C294" s="18"/>
      <c r="F294" s="25"/>
      <c r="G294" s="18"/>
      <c r="H294" s="18"/>
      <c r="I294" s="18"/>
      <c r="J294" s="18"/>
    </row>
    <row r="295" spans="1:10">
      <c r="A295" s="18" t="str">
        <f t="shared" si="4"/>
        <v/>
      </c>
      <c r="B295" s="18"/>
      <c r="C295" s="18"/>
      <c r="F295" s="25"/>
      <c r="G295" s="18"/>
      <c r="H295" s="18"/>
      <c r="I295" s="18"/>
      <c r="J295" s="18"/>
    </row>
    <row r="296" spans="1:10">
      <c r="A296" s="18" t="str">
        <f t="shared" si="4"/>
        <v/>
      </c>
      <c r="B296" s="18"/>
      <c r="C296" s="18"/>
      <c r="F296" s="25"/>
      <c r="G296" s="18"/>
      <c r="H296" s="18"/>
      <c r="I296" s="18"/>
      <c r="J296" s="18"/>
    </row>
    <row r="297" spans="1:10">
      <c r="A297" s="18" t="str">
        <f t="shared" si="4"/>
        <v/>
      </c>
      <c r="B297" s="18"/>
      <c r="C297" s="18"/>
      <c r="F297" s="25"/>
      <c r="G297" s="18"/>
      <c r="H297" s="18"/>
      <c r="I297" s="18"/>
      <c r="J297" s="18"/>
    </row>
    <row r="298" spans="1:10">
      <c r="A298" s="18" t="str">
        <f t="shared" si="4"/>
        <v/>
      </c>
      <c r="B298" s="18"/>
      <c r="C298" s="18"/>
      <c r="F298" s="25"/>
      <c r="G298" s="18"/>
      <c r="H298" s="18"/>
      <c r="I298" s="18"/>
      <c r="J298" s="18"/>
    </row>
    <row r="299" spans="1:10">
      <c r="A299" s="18" t="str">
        <f t="shared" si="4"/>
        <v/>
      </c>
      <c r="B299" s="18"/>
      <c r="C299" s="18"/>
      <c r="F299" s="25"/>
      <c r="G299" s="18"/>
      <c r="H299" s="18"/>
      <c r="I299" s="18"/>
      <c r="J299" s="18"/>
    </row>
    <row r="300" spans="1:10">
      <c r="A300" s="18" t="str">
        <f t="shared" si="4"/>
        <v/>
      </c>
      <c r="B300" s="18"/>
      <c r="C300" s="18"/>
      <c r="F300" s="25"/>
      <c r="G300" s="18"/>
      <c r="H300" s="18"/>
      <c r="I300" s="18"/>
      <c r="J300" s="18"/>
    </row>
    <row r="301" spans="1:10">
      <c r="A301" s="18" t="str">
        <f t="shared" si="4"/>
        <v/>
      </c>
      <c r="B301" s="18"/>
      <c r="C301" s="18"/>
      <c r="F301" s="25"/>
      <c r="G301" s="18"/>
      <c r="H301" s="18"/>
      <c r="I301" s="18"/>
      <c r="J301" s="18"/>
    </row>
    <row r="302" spans="1:10">
      <c r="A302" s="18" t="str">
        <f t="shared" si="4"/>
        <v/>
      </c>
      <c r="B302" s="18"/>
      <c r="C302" s="18"/>
      <c r="F302" s="25"/>
      <c r="G302" s="18"/>
      <c r="H302" s="18"/>
      <c r="I302" s="18"/>
      <c r="J302" s="18"/>
    </row>
    <row r="303" spans="1:10">
      <c r="A303" s="18" t="str">
        <f t="shared" si="4"/>
        <v/>
      </c>
      <c r="B303" s="18"/>
      <c r="C303" s="18"/>
      <c r="F303" s="25"/>
      <c r="G303" s="18"/>
      <c r="H303" s="18"/>
      <c r="I303" s="18"/>
      <c r="J303" s="18"/>
    </row>
    <row r="304" spans="1:10">
      <c r="A304" s="18" t="str">
        <f t="shared" si="4"/>
        <v/>
      </c>
      <c r="B304" s="18"/>
      <c r="C304" s="18"/>
      <c r="F304" s="25"/>
      <c r="G304" s="18"/>
      <c r="H304" s="18"/>
      <c r="I304" s="18"/>
      <c r="J304" s="18"/>
    </row>
    <row r="305" spans="1:10">
      <c r="A305" s="18" t="str">
        <f t="shared" si="4"/>
        <v/>
      </c>
      <c r="B305" s="18"/>
      <c r="C305" s="18"/>
      <c r="F305" s="25"/>
      <c r="G305" s="18"/>
      <c r="H305" s="18"/>
      <c r="I305" s="18"/>
      <c r="J305" s="18"/>
    </row>
    <row r="306" spans="1:10">
      <c r="A306" s="18" t="str">
        <f t="shared" si="4"/>
        <v/>
      </c>
      <c r="B306" s="18"/>
      <c r="C306" s="18"/>
      <c r="F306" s="25"/>
      <c r="G306" s="18"/>
      <c r="H306" s="18"/>
      <c r="I306" s="18"/>
      <c r="J306" s="18"/>
    </row>
    <row r="307" spans="1:10">
      <c r="A307" s="18" t="str">
        <f t="shared" si="4"/>
        <v/>
      </c>
      <c r="B307" s="18"/>
      <c r="C307" s="18"/>
      <c r="F307" s="25"/>
      <c r="G307" s="18"/>
      <c r="H307" s="18"/>
      <c r="I307" s="18"/>
      <c r="J307" s="18"/>
    </row>
    <row r="308" spans="1:10">
      <c r="A308" s="18" t="str">
        <f t="shared" si="4"/>
        <v/>
      </c>
      <c r="B308" s="18"/>
      <c r="C308" s="18"/>
      <c r="F308" s="25"/>
      <c r="G308" s="18"/>
      <c r="H308" s="18"/>
      <c r="I308" s="18"/>
      <c r="J308" s="18"/>
    </row>
    <row r="309" spans="1:10">
      <c r="A309" s="18" t="str">
        <f t="shared" si="4"/>
        <v/>
      </c>
      <c r="B309" s="18"/>
      <c r="C309" s="18"/>
      <c r="F309" s="25"/>
      <c r="G309" s="18"/>
      <c r="H309" s="18"/>
      <c r="I309" s="18"/>
      <c r="J309" s="18"/>
    </row>
    <row r="310" spans="1:10">
      <c r="A310" s="18" t="str">
        <f t="shared" si="4"/>
        <v/>
      </c>
      <c r="B310" s="18"/>
      <c r="C310" s="18"/>
      <c r="F310" s="25"/>
      <c r="G310" s="18"/>
      <c r="H310" s="18"/>
      <c r="I310" s="18"/>
      <c r="J310" s="18"/>
    </row>
    <row r="311" spans="1:10">
      <c r="A311" s="18" t="str">
        <f t="shared" si="4"/>
        <v/>
      </c>
      <c r="B311" s="18"/>
      <c r="C311" s="18"/>
      <c r="F311" s="25"/>
      <c r="G311" s="18"/>
      <c r="H311" s="18"/>
      <c r="I311" s="18"/>
      <c r="J311" s="18"/>
    </row>
    <row r="312" spans="1:10">
      <c r="A312" s="18" t="str">
        <f t="shared" si="4"/>
        <v/>
      </c>
      <c r="B312" s="18"/>
      <c r="C312" s="18"/>
      <c r="F312" s="25"/>
      <c r="G312" s="18"/>
      <c r="H312" s="18"/>
      <c r="I312" s="18"/>
      <c r="J312" s="18"/>
    </row>
    <row r="313" spans="1:10">
      <c r="A313" s="18" t="str">
        <f t="shared" si="4"/>
        <v/>
      </c>
      <c r="B313" s="18"/>
      <c r="C313" s="18"/>
      <c r="F313" s="25"/>
      <c r="G313" s="18"/>
      <c r="H313" s="18"/>
      <c r="I313" s="18"/>
      <c r="J313" s="18"/>
    </row>
    <row r="314" spans="1:10">
      <c r="A314" s="18" t="str">
        <f t="shared" si="4"/>
        <v/>
      </c>
      <c r="B314" s="18"/>
      <c r="C314" s="18"/>
      <c r="F314" s="25"/>
      <c r="G314" s="18"/>
      <c r="H314" s="18"/>
      <c r="I314" s="18"/>
      <c r="J314" s="18"/>
    </row>
    <row r="315" spans="1:10">
      <c r="A315" s="18" t="str">
        <f t="shared" si="4"/>
        <v/>
      </c>
      <c r="B315" s="18"/>
      <c r="C315" s="18"/>
      <c r="F315" s="25"/>
      <c r="G315" s="18"/>
      <c r="H315" s="18"/>
      <c r="I315" s="18"/>
      <c r="J315" s="18"/>
    </row>
    <row r="316" spans="1:10">
      <c r="A316" s="18" t="str">
        <f t="shared" si="4"/>
        <v/>
      </c>
      <c r="B316" s="18"/>
      <c r="C316" s="18"/>
      <c r="F316" s="25"/>
      <c r="G316" s="18"/>
      <c r="H316" s="18"/>
      <c r="I316" s="18"/>
      <c r="J316" s="18"/>
    </row>
    <row r="317" spans="1:10">
      <c r="A317" s="18" t="str">
        <f t="shared" si="4"/>
        <v/>
      </c>
      <c r="B317" s="18"/>
      <c r="C317" s="18"/>
      <c r="F317" s="25"/>
      <c r="G317" s="18"/>
      <c r="H317" s="18"/>
      <c r="I317" s="18"/>
      <c r="J317" s="18"/>
    </row>
    <row r="318" spans="1:10">
      <c r="A318" s="18" t="str">
        <f t="shared" si="4"/>
        <v/>
      </c>
      <c r="B318" s="18"/>
      <c r="C318" s="18"/>
      <c r="F318" s="25"/>
      <c r="G318" s="18"/>
      <c r="H318" s="18"/>
      <c r="I318" s="18"/>
      <c r="J318" s="18"/>
    </row>
    <row r="319" spans="1:10">
      <c r="A319" s="18" t="str">
        <f t="shared" si="4"/>
        <v/>
      </c>
      <c r="B319" s="18"/>
      <c r="C319" s="18"/>
      <c r="F319" s="25"/>
      <c r="G319" s="18"/>
      <c r="H319" s="18"/>
      <c r="I319" s="18"/>
      <c r="J319" s="18"/>
    </row>
    <row r="320" spans="1:10">
      <c r="A320" s="18" t="str">
        <f t="shared" si="4"/>
        <v/>
      </c>
      <c r="B320" s="18"/>
      <c r="C320" s="18"/>
      <c r="F320" s="25"/>
      <c r="G320" s="18"/>
      <c r="H320" s="18"/>
      <c r="I320" s="18"/>
      <c r="J320" s="18"/>
    </row>
    <row r="321" spans="1:10">
      <c r="A321" s="18" t="str">
        <f t="shared" si="4"/>
        <v/>
      </c>
      <c r="B321" s="18"/>
      <c r="C321" s="18"/>
      <c r="F321" s="25"/>
      <c r="G321" s="18"/>
      <c r="H321" s="18"/>
      <c r="I321" s="18"/>
      <c r="J321" s="18"/>
    </row>
    <row r="322" spans="1:10">
      <c r="A322" s="18" t="str">
        <f t="shared" ref="A322:A385" si="5">IF(C322="","",ROW()-1)</f>
        <v/>
      </c>
      <c r="B322" s="18"/>
      <c r="C322" s="18"/>
      <c r="F322" s="25"/>
      <c r="G322" s="18"/>
      <c r="H322" s="18"/>
      <c r="I322" s="18"/>
      <c r="J322" s="18"/>
    </row>
    <row r="323" spans="1:10">
      <c r="A323" s="18" t="str">
        <f t="shared" si="5"/>
        <v/>
      </c>
      <c r="B323" s="18"/>
      <c r="C323" s="18"/>
      <c r="F323" s="25"/>
      <c r="G323" s="18"/>
      <c r="H323" s="18"/>
      <c r="I323" s="18"/>
      <c r="J323" s="18"/>
    </row>
    <row r="324" spans="1:10">
      <c r="A324" s="18" t="str">
        <f t="shared" si="5"/>
        <v/>
      </c>
      <c r="B324" s="18"/>
      <c r="C324" s="18"/>
      <c r="F324" s="25"/>
      <c r="G324" s="18"/>
      <c r="H324" s="18"/>
      <c r="I324" s="18"/>
      <c r="J324" s="18"/>
    </row>
    <row r="325" spans="1:10">
      <c r="A325" s="18" t="str">
        <f t="shared" si="5"/>
        <v/>
      </c>
      <c r="B325" s="18"/>
      <c r="C325" s="18"/>
      <c r="F325" s="25"/>
      <c r="G325" s="18"/>
      <c r="H325" s="18"/>
      <c r="I325" s="18"/>
      <c r="J325" s="18"/>
    </row>
    <row r="326" spans="1:10">
      <c r="A326" s="18" t="str">
        <f t="shared" si="5"/>
        <v/>
      </c>
      <c r="B326" s="18"/>
      <c r="C326" s="18"/>
      <c r="F326" s="25"/>
      <c r="G326" s="18"/>
      <c r="H326" s="18"/>
      <c r="I326" s="18"/>
      <c r="J326" s="18"/>
    </row>
    <row r="327" spans="1:10">
      <c r="A327" s="18" t="str">
        <f t="shared" si="5"/>
        <v/>
      </c>
      <c r="B327" s="18"/>
      <c r="C327" s="18"/>
      <c r="F327" s="25"/>
      <c r="G327" s="18"/>
      <c r="H327" s="18"/>
      <c r="I327" s="18"/>
      <c r="J327" s="18"/>
    </row>
    <row r="328" spans="1:10">
      <c r="A328" s="18" t="str">
        <f t="shared" si="5"/>
        <v/>
      </c>
      <c r="B328" s="18"/>
      <c r="C328" s="18"/>
      <c r="F328" s="25"/>
      <c r="G328" s="18"/>
      <c r="H328" s="18"/>
      <c r="I328" s="18"/>
      <c r="J328" s="18"/>
    </row>
    <row r="329" spans="1:10">
      <c r="A329" s="18" t="str">
        <f t="shared" si="5"/>
        <v/>
      </c>
      <c r="B329" s="18"/>
      <c r="C329" s="18"/>
      <c r="F329" s="25"/>
      <c r="G329" s="18"/>
      <c r="H329" s="18"/>
      <c r="I329" s="18"/>
      <c r="J329" s="18"/>
    </row>
    <row r="330" spans="1:10">
      <c r="A330" s="18" t="str">
        <f t="shared" si="5"/>
        <v/>
      </c>
      <c r="B330" s="18"/>
      <c r="C330" s="18"/>
      <c r="F330" s="25"/>
      <c r="G330" s="18"/>
      <c r="H330" s="18"/>
      <c r="I330" s="18"/>
      <c r="J330" s="18"/>
    </row>
    <row r="331" spans="1:10">
      <c r="A331" s="18" t="str">
        <f t="shared" si="5"/>
        <v/>
      </c>
      <c r="B331" s="18"/>
      <c r="C331" s="18"/>
      <c r="F331" s="25"/>
      <c r="G331" s="18"/>
      <c r="H331" s="18"/>
      <c r="I331" s="18"/>
      <c r="J331" s="18"/>
    </row>
    <row r="332" spans="1:10">
      <c r="A332" s="18" t="str">
        <f t="shared" si="5"/>
        <v/>
      </c>
      <c r="B332" s="18"/>
      <c r="C332" s="18"/>
      <c r="F332" s="25"/>
      <c r="G332" s="18"/>
      <c r="H332" s="18"/>
      <c r="I332" s="18"/>
      <c r="J332" s="18"/>
    </row>
    <row r="333" spans="1:10">
      <c r="A333" s="18" t="str">
        <f t="shared" si="5"/>
        <v/>
      </c>
      <c r="B333" s="18"/>
      <c r="C333" s="18"/>
      <c r="F333" s="25"/>
      <c r="G333" s="18"/>
      <c r="H333" s="18"/>
      <c r="I333" s="18"/>
      <c r="J333" s="18"/>
    </row>
    <row r="334" spans="1:10">
      <c r="A334" s="18" t="str">
        <f t="shared" si="5"/>
        <v/>
      </c>
      <c r="B334" s="18"/>
      <c r="C334" s="18"/>
      <c r="F334" s="25"/>
      <c r="G334" s="18"/>
      <c r="H334" s="18"/>
      <c r="I334" s="18"/>
      <c r="J334" s="18"/>
    </row>
    <row r="335" spans="1:10">
      <c r="A335" s="18" t="str">
        <f t="shared" si="5"/>
        <v/>
      </c>
      <c r="B335" s="18"/>
      <c r="C335" s="18"/>
      <c r="F335" s="25"/>
      <c r="G335" s="18"/>
      <c r="H335" s="18"/>
      <c r="I335" s="18"/>
      <c r="J335" s="18"/>
    </row>
    <row r="336" spans="1:10">
      <c r="A336" s="18" t="str">
        <f t="shared" si="5"/>
        <v/>
      </c>
      <c r="B336" s="18"/>
      <c r="C336" s="18"/>
      <c r="F336" s="25"/>
      <c r="G336" s="18"/>
      <c r="H336" s="18"/>
      <c r="I336" s="18"/>
      <c r="J336" s="18"/>
    </row>
    <row r="337" spans="1:10">
      <c r="A337" s="18" t="str">
        <f t="shared" si="5"/>
        <v/>
      </c>
      <c r="B337" s="18"/>
      <c r="C337" s="18"/>
      <c r="F337" s="25"/>
      <c r="G337" s="18"/>
      <c r="H337" s="18"/>
      <c r="I337" s="18"/>
      <c r="J337" s="18"/>
    </row>
    <row r="338" spans="1:10">
      <c r="A338" s="18" t="str">
        <f t="shared" si="5"/>
        <v/>
      </c>
      <c r="B338" s="18"/>
      <c r="C338" s="18"/>
      <c r="F338" s="25"/>
      <c r="G338" s="18"/>
      <c r="H338" s="18"/>
      <c r="I338" s="18"/>
      <c r="J338" s="18"/>
    </row>
    <row r="339" spans="1:10">
      <c r="A339" s="18" t="str">
        <f t="shared" si="5"/>
        <v/>
      </c>
      <c r="B339" s="18"/>
      <c r="C339" s="18"/>
      <c r="F339" s="25"/>
      <c r="G339" s="18"/>
      <c r="H339" s="18"/>
      <c r="I339" s="18"/>
      <c r="J339" s="18"/>
    </row>
    <row r="340" spans="1:10">
      <c r="A340" s="18" t="str">
        <f t="shared" si="5"/>
        <v/>
      </c>
      <c r="B340" s="18"/>
      <c r="C340" s="18"/>
      <c r="F340" s="25"/>
      <c r="G340" s="18"/>
      <c r="H340" s="18"/>
      <c r="I340" s="18"/>
      <c r="J340" s="18"/>
    </row>
    <row r="341" spans="1:10">
      <c r="A341" s="18" t="str">
        <f t="shared" si="5"/>
        <v/>
      </c>
      <c r="B341" s="18"/>
      <c r="C341" s="18"/>
      <c r="F341" s="25"/>
      <c r="G341" s="18"/>
      <c r="H341" s="18"/>
      <c r="I341" s="18"/>
      <c r="J341" s="18"/>
    </row>
    <row r="342" spans="1:10">
      <c r="A342" s="18" t="str">
        <f t="shared" si="5"/>
        <v/>
      </c>
      <c r="B342" s="18"/>
      <c r="C342" s="18"/>
      <c r="F342" s="25"/>
      <c r="G342" s="18"/>
      <c r="H342" s="18"/>
      <c r="I342" s="18"/>
      <c r="J342" s="18"/>
    </row>
    <row r="343" spans="1:10">
      <c r="A343" s="18" t="str">
        <f t="shared" si="5"/>
        <v/>
      </c>
      <c r="B343" s="18"/>
      <c r="C343" s="18"/>
      <c r="F343" s="25"/>
      <c r="G343" s="18"/>
      <c r="H343" s="18"/>
      <c r="I343" s="18"/>
      <c r="J343" s="18"/>
    </row>
    <row r="344" spans="1:10">
      <c r="A344" s="18" t="str">
        <f t="shared" si="5"/>
        <v/>
      </c>
      <c r="B344" s="18"/>
      <c r="C344" s="18"/>
      <c r="F344" s="25"/>
      <c r="G344" s="18"/>
      <c r="H344" s="18"/>
      <c r="I344" s="18"/>
      <c r="J344" s="18"/>
    </row>
    <row r="345" spans="1:10">
      <c r="A345" s="18" t="str">
        <f t="shared" si="5"/>
        <v/>
      </c>
      <c r="B345" s="18"/>
      <c r="C345" s="18"/>
      <c r="F345" s="25"/>
      <c r="G345" s="18"/>
      <c r="H345" s="18"/>
      <c r="I345" s="18"/>
      <c r="J345" s="18"/>
    </row>
    <row r="346" spans="1:10">
      <c r="A346" s="18" t="str">
        <f t="shared" si="5"/>
        <v/>
      </c>
      <c r="B346" s="18"/>
      <c r="C346" s="18"/>
      <c r="F346" s="25"/>
      <c r="G346" s="18"/>
      <c r="H346" s="18"/>
      <c r="I346" s="18"/>
      <c r="J346" s="18"/>
    </row>
    <row r="347" spans="1:10">
      <c r="A347" s="18" t="str">
        <f t="shared" si="5"/>
        <v/>
      </c>
      <c r="B347" s="18"/>
      <c r="C347" s="18"/>
      <c r="F347" s="25"/>
      <c r="G347" s="18"/>
      <c r="H347" s="18"/>
      <c r="I347" s="18"/>
      <c r="J347" s="18"/>
    </row>
    <row r="348" spans="1:10">
      <c r="A348" s="18" t="str">
        <f t="shared" si="5"/>
        <v/>
      </c>
      <c r="B348" s="18"/>
      <c r="C348" s="18"/>
      <c r="F348" s="25"/>
      <c r="G348" s="18"/>
      <c r="H348" s="18"/>
      <c r="I348" s="18"/>
      <c r="J348" s="18"/>
    </row>
    <row r="349" spans="1:10">
      <c r="A349" s="18" t="str">
        <f t="shared" si="5"/>
        <v/>
      </c>
      <c r="B349" s="18"/>
      <c r="C349" s="18"/>
      <c r="F349" s="25"/>
      <c r="G349" s="18"/>
      <c r="H349" s="18"/>
      <c r="I349" s="18"/>
      <c r="J349" s="18"/>
    </row>
    <row r="350" spans="1:10">
      <c r="A350" s="18" t="str">
        <f t="shared" si="5"/>
        <v/>
      </c>
      <c r="B350" s="18"/>
      <c r="C350" s="18"/>
      <c r="F350" s="25"/>
      <c r="G350" s="18"/>
      <c r="H350" s="18"/>
      <c r="I350" s="18"/>
      <c r="J350" s="18"/>
    </row>
    <row r="351" spans="1:10">
      <c r="A351" s="18" t="str">
        <f t="shared" si="5"/>
        <v/>
      </c>
      <c r="B351" s="18"/>
      <c r="C351" s="18"/>
      <c r="F351" s="25"/>
      <c r="G351" s="18"/>
      <c r="H351" s="18"/>
      <c r="I351" s="18"/>
      <c r="J351" s="18"/>
    </row>
    <row r="352" spans="1:10">
      <c r="A352" s="18" t="str">
        <f t="shared" si="5"/>
        <v/>
      </c>
      <c r="B352" s="18"/>
      <c r="C352" s="18"/>
      <c r="F352" s="25"/>
      <c r="G352" s="18"/>
      <c r="H352" s="18"/>
      <c r="I352" s="18"/>
      <c r="J352" s="18"/>
    </row>
    <row r="353" spans="1:10">
      <c r="A353" s="18" t="str">
        <f t="shared" si="5"/>
        <v/>
      </c>
      <c r="B353" s="18"/>
      <c r="C353" s="18"/>
      <c r="F353" s="25"/>
      <c r="G353" s="18"/>
      <c r="H353" s="18"/>
      <c r="I353" s="18"/>
      <c r="J353" s="18"/>
    </row>
    <row r="354" spans="1:10">
      <c r="A354" s="18" t="str">
        <f t="shared" si="5"/>
        <v/>
      </c>
      <c r="B354" s="18"/>
      <c r="C354" s="18"/>
      <c r="F354" s="25"/>
      <c r="G354" s="18"/>
      <c r="H354" s="18"/>
      <c r="I354" s="18"/>
      <c r="J354" s="18"/>
    </row>
    <row r="355" spans="1:10">
      <c r="A355" s="18" t="str">
        <f t="shared" si="5"/>
        <v/>
      </c>
      <c r="B355" s="18"/>
      <c r="C355" s="18"/>
      <c r="F355" s="25"/>
      <c r="G355" s="18"/>
      <c r="H355" s="18"/>
      <c r="I355" s="18"/>
      <c r="J355" s="18"/>
    </row>
    <row r="356" spans="1:10">
      <c r="A356" s="18" t="str">
        <f t="shared" si="5"/>
        <v/>
      </c>
      <c r="B356" s="18"/>
      <c r="C356" s="18"/>
      <c r="F356" s="25"/>
      <c r="G356" s="18"/>
      <c r="H356" s="18"/>
      <c r="I356" s="18"/>
      <c r="J356" s="18"/>
    </row>
    <row r="357" spans="1:10">
      <c r="A357" s="18" t="str">
        <f t="shared" si="5"/>
        <v/>
      </c>
      <c r="B357" s="18"/>
      <c r="C357" s="18"/>
      <c r="F357" s="25"/>
      <c r="G357" s="18"/>
      <c r="H357" s="18"/>
      <c r="I357" s="18"/>
      <c r="J357" s="18"/>
    </row>
    <row r="358" spans="1:10">
      <c r="A358" s="18" t="str">
        <f t="shared" si="5"/>
        <v/>
      </c>
      <c r="B358" s="18"/>
      <c r="C358" s="18"/>
      <c r="F358" s="25"/>
      <c r="G358" s="18"/>
      <c r="H358" s="18"/>
      <c r="I358" s="18"/>
      <c r="J358" s="18"/>
    </row>
    <row r="359" spans="1:10">
      <c r="A359" s="18" t="str">
        <f t="shared" si="5"/>
        <v/>
      </c>
      <c r="B359" s="18"/>
      <c r="C359" s="18"/>
      <c r="F359" s="25"/>
      <c r="G359" s="18"/>
      <c r="H359" s="18"/>
      <c r="I359" s="18"/>
      <c r="J359" s="18"/>
    </row>
    <row r="360" spans="1:10">
      <c r="A360" s="18" t="str">
        <f t="shared" si="5"/>
        <v/>
      </c>
      <c r="B360" s="18"/>
      <c r="C360" s="18"/>
      <c r="F360" s="25"/>
      <c r="G360" s="18"/>
      <c r="H360" s="18"/>
      <c r="I360" s="18"/>
      <c r="J360" s="18"/>
    </row>
    <row r="361" spans="1:10">
      <c r="A361" s="18" t="str">
        <f t="shared" si="5"/>
        <v/>
      </c>
      <c r="B361" s="18"/>
      <c r="C361" s="18"/>
      <c r="F361" s="25"/>
      <c r="G361" s="18"/>
      <c r="H361" s="18"/>
      <c r="I361" s="18"/>
      <c r="J361" s="18"/>
    </row>
    <row r="362" spans="1:10">
      <c r="A362" s="18" t="str">
        <f t="shared" si="5"/>
        <v/>
      </c>
      <c r="B362" s="18"/>
      <c r="C362" s="18"/>
      <c r="F362" s="25"/>
      <c r="G362" s="18"/>
      <c r="H362" s="18"/>
      <c r="I362" s="18"/>
      <c r="J362" s="18"/>
    </row>
    <row r="363" spans="1:10">
      <c r="A363" s="18" t="str">
        <f t="shared" si="5"/>
        <v/>
      </c>
      <c r="B363" s="18"/>
      <c r="C363" s="18"/>
      <c r="F363" s="25"/>
      <c r="G363" s="18"/>
      <c r="H363" s="18"/>
      <c r="I363" s="18"/>
      <c r="J363" s="18"/>
    </row>
    <row r="364" spans="1:10">
      <c r="A364" s="18" t="str">
        <f t="shared" si="5"/>
        <v/>
      </c>
      <c r="B364" s="18"/>
      <c r="C364" s="18"/>
      <c r="F364" s="25"/>
      <c r="G364" s="18"/>
      <c r="H364" s="18"/>
      <c r="I364" s="18"/>
      <c r="J364" s="18"/>
    </row>
    <row r="365" spans="1:10">
      <c r="A365" s="18" t="str">
        <f t="shared" si="5"/>
        <v/>
      </c>
      <c r="B365" s="18"/>
      <c r="C365" s="18"/>
      <c r="F365" s="25"/>
      <c r="G365" s="18"/>
      <c r="H365" s="18"/>
      <c r="I365" s="18"/>
      <c r="J365" s="18"/>
    </row>
    <row r="366" spans="1:10">
      <c r="A366" s="18" t="str">
        <f t="shared" si="5"/>
        <v/>
      </c>
      <c r="B366" s="18"/>
      <c r="C366" s="18"/>
      <c r="F366" s="25"/>
      <c r="G366" s="18"/>
      <c r="H366" s="18"/>
      <c r="I366" s="18"/>
      <c r="J366" s="18"/>
    </row>
    <row r="367" spans="1:10">
      <c r="A367" s="18" t="str">
        <f t="shared" si="5"/>
        <v/>
      </c>
      <c r="B367" s="18"/>
      <c r="C367" s="18"/>
      <c r="F367" s="25"/>
      <c r="G367" s="18"/>
      <c r="H367" s="18"/>
      <c r="I367" s="18"/>
      <c r="J367" s="18"/>
    </row>
    <row r="368" spans="1:10">
      <c r="A368" s="18" t="str">
        <f t="shared" si="5"/>
        <v/>
      </c>
      <c r="B368" s="18"/>
      <c r="C368" s="18"/>
      <c r="F368" s="25"/>
      <c r="G368" s="18"/>
      <c r="H368" s="18"/>
      <c r="I368" s="18"/>
      <c r="J368" s="18"/>
    </row>
    <row r="369" spans="1:10">
      <c r="A369" s="18" t="str">
        <f t="shared" si="5"/>
        <v/>
      </c>
      <c r="B369" s="18"/>
      <c r="C369" s="18"/>
      <c r="F369" s="25"/>
      <c r="G369" s="18"/>
      <c r="H369" s="18"/>
      <c r="I369" s="18"/>
      <c r="J369" s="18"/>
    </row>
    <row r="370" spans="1:10">
      <c r="A370" s="18" t="str">
        <f t="shared" si="5"/>
        <v/>
      </c>
      <c r="B370" s="18"/>
      <c r="C370" s="18"/>
      <c r="F370" s="25"/>
      <c r="G370" s="18"/>
      <c r="H370" s="18"/>
      <c r="I370" s="18"/>
      <c r="J370" s="18"/>
    </row>
    <row r="371" spans="1:10">
      <c r="A371" s="18" t="str">
        <f t="shared" si="5"/>
        <v/>
      </c>
      <c r="B371" s="18"/>
      <c r="C371" s="18"/>
      <c r="F371" s="25"/>
      <c r="G371" s="18"/>
      <c r="H371" s="18"/>
      <c r="I371" s="18"/>
      <c r="J371" s="18"/>
    </row>
    <row r="372" spans="1:10">
      <c r="A372" s="18" t="str">
        <f t="shared" si="5"/>
        <v/>
      </c>
      <c r="B372" s="18"/>
      <c r="C372" s="18"/>
      <c r="F372" s="25"/>
      <c r="G372" s="18"/>
      <c r="H372" s="18"/>
      <c r="I372" s="18"/>
      <c r="J372" s="18"/>
    </row>
    <row r="373" spans="1:10">
      <c r="A373" s="18" t="str">
        <f t="shared" si="5"/>
        <v/>
      </c>
      <c r="B373" s="18"/>
      <c r="C373" s="18"/>
      <c r="F373" s="25"/>
      <c r="G373" s="18"/>
      <c r="H373" s="18"/>
      <c r="I373" s="18"/>
      <c r="J373" s="18"/>
    </row>
    <row r="374" spans="1:10">
      <c r="A374" s="18" t="str">
        <f t="shared" si="5"/>
        <v/>
      </c>
      <c r="B374" s="18"/>
      <c r="C374" s="18"/>
      <c r="F374" s="25"/>
      <c r="G374" s="18"/>
      <c r="H374" s="18"/>
      <c r="I374" s="18"/>
      <c r="J374" s="18"/>
    </row>
    <row r="375" spans="1:10">
      <c r="A375" s="18" t="str">
        <f t="shared" si="5"/>
        <v/>
      </c>
      <c r="B375" s="18"/>
      <c r="C375" s="18"/>
      <c r="F375" s="25"/>
      <c r="G375" s="18"/>
      <c r="H375" s="18"/>
      <c r="I375" s="18"/>
      <c r="J375" s="18"/>
    </row>
    <row r="376" spans="1:10">
      <c r="A376" s="18" t="str">
        <f t="shared" si="5"/>
        <v/>
      </c>
      <c r="B376" s="18"/>
      <c r="C376" s="18"/>
      <c r="F376" s="25"/>
      <c r="G376" s="18"/>
      <c r="H376" s="18"/>
      <c r="I376" s="18"/>
      <c r="J376" s="18"/>
    </row>
    <row r="377" spans="1:10">
      <c r="A377" s="18" t="str">
        <f t="shared" si="5"/>
        <v/>
      </c>
      <c r="B377" s="18"/>
      <c r="C377" s="18"/>
      <c r="F377" s="25"/>
      <c r="G377" s="18"/>
      <c r="H377" s="18"/>
      <c r="I377" s="18"/>
      <c r="J377" s="18"/>
    </row>
    <row r="378" spans="1:10">
      <c r="A378" s="18" t="str">
        <f t="shared" si="5"/>
        <v/>
      </c>
      <c r="B378" s="18"/>
      <c r="C378" s="18"/>
      <c r="F378" s="25"/>
      <c r="G378" s="18"/>
      <c r="H378" s="18"/>
      <c r="I378" s="18"/>
      <c r="J378" s="18"/>
    </row>
    <row r="379" spans="1:10">
      <c r="A379" s="18" t="str">
        <f t="shared" si="5"/>
        <v/>
      </c>
      <c r="B379" s="18"/>
      <c r="C379" s="18"/>
      <c r="F379" s="25"/>
      <c r="G379" s="18"/>
      <c r="H379" s="18"/>
      <c r="I379" s="18"/>
      <c r="J379" s="18"/>
    </row>
    <row r="380" spans="1:10">
      <c r="A380" s="18" t="str">
        <f t="shared" si="5"/>
        <v/>
      </c>
      <c r="B380" s="18"/>
      <c r="C380" s="18"/>
      <c r="F380" s="25"/>
      <c r="G380" s="18"/>
      <c r="H380" s="18"/>
      <c r="I380" s="18"/>
      <c r="J380" s="18"/>
    </row>
    <row r="381" spans="1:10">
      <c r="A381" s="18" t="str">
        <f t="shared" si="5"/>
        <v/>
      </c>
      <c r="B381" s="18"/>
      <c r="C381" s="18"/>
      <c r="F381" s="25"/>
      <c r="G381" s="18"/>
      <c r="H381" s="18"/>
      <c r="I381" s="18"/>
      <c r="J381" s="18"/>
    </row>
    <row r="382" spans="1:10">
      <c r="A382" s="18" t="str">
        <f t="shared" si="5"/>
        <v/>
      </c>
      <c r="B382" s="18"/>
      <c r="C382" s="18"/>
      <c r="F382" s="25"/>
      <c r="G382" s="18"/>
      <c r="H382" s="18"/>
      <c r="I382" s="18"/>
      <c r="J382" s="18"/>
    </row>
    <row r="383" spans="1:10">
      <c r="A383" s="18" t="str">
        <f t="shared" si="5"/>
        <v/>
      </c>
      <c r="B383" s="18"/>
      <c r="C383" s="18"/>
      <c r="F383" s="25"/>
      <c r="G383" s="18"/>
      <c r="H383" s="18"/>
      <c r="I383" s="18"/>
      <c r="J383" s="18"/>
    </row>
    <row r="384" spans="1:10">
      <c r="A384" s="18" t="str">
        <f t="shared" si="5"/>
        <v/>
      </c>
      <c r="B384" s="18"/>
      <c r="C384" s="18"/>
      <c r="F384" s="25"/>
      <c r="G384" s="18"/>
      <c r="H384" s="18"/>
      <c r="I384" s="18"/>
      <c r="J384" s="18"/>
    </row>
    <row r="385" spans="1:10">
      <c r="A385" s="18" t="str">
        <f t="shared" si="5"/>
        <v/>
      </c>
      <c r="B385" s="18"/>
      <c r="C385" s="18"/>
      <c r="F385" s="25"/>
      <c r="G385" s="18"/>
      <c r="H385" s="18"/>
      <c r="I385" s="18"/>
      <c r="J385" s="18"/>
    </row>
    <row r="386" spans="1:10">
      <c r="A386" s="18" t="str">
        <f t="shared" ref="A386:A449" si="6">IF(C386="","",ROW()-1)</f>
        <v/>
      </c>
      <c r="B386" s="18"/>
      <c r="C386" s="18"/>
      <c r="F386" s="25"/>
      <c r="G386" s="18"/>
      <c r="H386" s="18"/>
      <c r="I386" s="18"/>
      <c r="J386" s="18"/>
    </row>
    <row r="387" spans="1:10">
      <c r="A387" s="18" t="str">
        <f t="shared" si="6"/>
        <v/>
      </c>
      <c r="B387" s="18"/>
      <c r="C387" s="18"/>
      <c r="F387" s="25"/>
      <c r="G387" s="18"/>
      <c r="H387" s="18"/>
      <c r="I387" s="18"/>
      <c r="J387" s="18"/>
    </row>
    <row r="388" spans="1:10">
      <c r="A388" s="18" t="str">
        <f t="shared" si="6"/>
        <v/>
      </c>
      <c r="B388" s="18"/>
      <c r="C388" s="18"/>
      <c r="F388" s="25"/>
      <c r="G388" s="18"/>
      <c r="H388" s="18"/>
      <c r="I388" s="18"/>
      <c r="J388" s="18"/>
    </row>
    <row r="389" spans="1:10">
      <c r="A389" s="18" t="str">
        <f t="shared" si="6"/>
        <v/>
      </c>
      <c r="B389" s="18"/>
      <c r="C389" s="18"/>
      <c r="F389" s="25"/>
      <c r="G389" s="18"/>
      <c r="H389" s="18"/>
      <c r="I389" s="18"/>
      <c r="J389" s="18"/>
    </row>
    <row r="390" spans="1:10">
      <c r="A390" s="18" t="str">
        <f t="shared" si="6"/>
        <v/>
      </c>
      <c r="B390" s="18"/>
      <c r="C390" s="18"/>
      <c r="F390" s="25"/>
      <c r="G390" s="18"/>
      <c r="H390" s="18"/>
      <c r="I390" s="18"/>
      <c r="J390" s="18"/>
    </row>
    <row r="391" spans="1:10">
      <c r="A391" s="18" t="str">
        <f t="shared" si="6"/>
        <v/>
      </c>
      <c r="B391" s="18"/>
      <c r="C391" s="18"/>
      <c r="F391" s="25"/>
      <c r="G391" s="18"/>
      <c r="H391" s="18"/>
      <c r="I391" s="18"/>
      <c r="J391" s="18"/>
    </row>
    <row r="392" spans="1:10">
      <c r="A392" s="18" t="str">
        <f t="shared" si="6"/>
        <v/>
      </c>
      <c r="B392" s="18"/>
      <c r="C392" s="18"/>
      <c r="F392" s="25"/>
      <c r="G392" s="18"/>
      <c r="H392" s="18"/>
      <c r="I392" s="18"/>
      <c r="J392" s="18"/>
    </row>
    <row r="393" spans="1:10">
      <c r="A393" s="18" t="str">
        <f t="shared" si="6"/>
        <v/>
      </c>
      <c r="B393" s="18"/>
      <c r="C393" s="18"/>
      <c r="F393" s="25"/>
      <c r="G393" s="18"/>
      <c r="H393" s="18"/>
      <c r="I393" s="18"/>
      <c r="J393" s="18"/>
    </row>
    <row r="394" spans="1:10">
      <c r="A394" s="18" t="str">
        <f t="shared" si="6"/>
        <v/>
      </c>
      <c r="B394" s="18"/>
      <c r="C394" s="18"/>
      <c r="F394" s="25"/>
      <c r="G394" s="18"/>
      <c r="H394" s="18"/>
      <c r="I394" s="18"/>
      <c r="J394" s="18"/>
    </row>
    <row r="395" spans="1:10">
      <c r="A395" s="18" t="str">
        <f t="shared" si="6"/>
        <v/>
      </c>
      <c r="B395" s="18"/>
      <c r="C395" s="18"/>
      <c r="F395" s="25"/>
      <c r="G395" s="18"/>
      <c r="H395" s="18"/>
      <c r="I395" s="18"/>
      <c r="J395" s="18"/>
    </row>
    <row r="396" spans="1:10">
      <c r="A396" s="18" t="str">
        <f t="shared" si="6"/>
        <v/>
      </c>
      <c r="B396" s="18"/>
      <c r="C396" s="18"/>
      <c r="F396" s="25"/>
      <c r="G396" s="18"/>
      <c r="H396" s="18"/>
      <c r="I396" s="18"/>
      <c r="J396" s="18"/>
    </row>
    <row r="397" spans="1:10">
      <c r="A397" s="18" t="str">
        <f t="shared" si="6"/>
        <v/>
      </c>
      <c r="B397" s="18"/>
      <c r="C397" s="18"/>
      <c r="F397" s="25"/>
      <c r="G397" s="18"/>
      <c r="H397" s="18"/>
      <c r="I397" s="18"/>
      <c r="J397" s="18"/>
    </row>
    <row r="398" spans="1:10">
      <c r="A398" s="18" t="str">
        <f t="shared" si="6"/>
        <v/>
      </c>
      <c r="B398" s="18"/>
      <c r="C398" s="18"/>
      <c r="F398" s="25"/>
      <c r="G398" s="18"/>
      <c r="H398" s="18"/>
      <c r="I398" s="18"/>
      <c r="J398" s="18"/>
    </row>
    <row r="399" spans="1:10">
      <c r="A399" s="18" t="str">
        <f t="shared" si="6"/>
        <v/>
      </c>
      <c r="B399" s="18"/>
      <c r="C399" s="18"/>
      <c r="F399" s="25"/>
      <c r="G399" s="18"/>
      <c r="H399" s="18"/>
      <c r="I399" s="18"/>
      <c r="J399" s="18"/>
    </row>
    <row r="400" spans="1:10">
      <c r="A400" s="18" t="str">
        <f t="shared" si="6"/>
        <v/>
      </c>
      <c r="B400" s="18"/>
      <c r="C400" s="18"/>
      <c r="F400" s="25"/>
      <c r="G400" s="18"/>
      <c r="H400" s="18"/>
      <c r="I400" s="18"/>
      <c r="J400" s="18"/>
    </row>
    <row r="401" spans="1:10">
      <c r="A401" s="18" t="str">
        <f t="shared" si="6"/>
        <v/>
      </c>
      <c r="B401" s="18"/>
      <c r="C401" s="18"/>
      <c r="F401" s="25"/>
      <c r="G401" s="18"/>
      <c r="H401" s="18"/>
      <c r="I401" s="18"/>
      <c r="J401" s="18"/>
    </row>
    <row r="402" spans="1:10">
      <c r="A402" s="18" t="str">
        <f t="shared" si="6"/>
        <v/>
      </c>
      <c r="B402" s="18"/>
      <c r="C402" s="18"/>
      <c r="F402" s="25"/>
      <c r="G402" s="18"/>
      <c r="H402" s="18"/>
      <c r="I402" s="18"/>
      <c r="J402" s="18"/>
    </row>
    <row r="403" spans="1:10">
      <c r="A403" s="18" t="str">
        <f t="shared" si="6"/>
        <v/>
      </c>
      <c r="B403" s="18"/>
      <c r="C403" s="18"/>
      <c r="F403" s="25"/>
      <c r="G403" s="18"/>
      <c r="H403" s="18"/>
      <c r="I403" s="18"/>
      <c r="J403" s="18"/>
    </row>
    <row r="404" spans="1:10">
      <c r="A404" s="18" t="str">
        <f t="shared" si="6"/>
        <v/>
      </c>
      <c r="B404" s="18"/>
      <c r="C404" s="18"/>
      <c r="F404" s="25"/>
      <c r="G404" s="18"/>
      <c r="H404" s="18"/>
      <c r="I404" s="18"/>
      <c r="J404" s="18"/>
    </row>
    <row r="405" spans="1:10">
      <c r="A405" s="18" t="str">
        <f t="shared" si="6"/>
        <v/>
      </c>
      <c r="B405" s="18"/>
      <c r="C405" s="18"/>
      <c r="F405" s="25"/>
      <c r="G405" s="18"/>
      <c r="H405" s="18"/>
      <c r="I405" s="18"/>
      <c r="J405" s="18"/>
    </row>
    <row r="406" spans="1:10">
      <c r="A406" s="18" t="str">
        <f t="shared" si="6"/>
        <v/>
      </c>
      <c r="B406" s="18"/>
      <c r="C406" s="18"/>
      <c r="F406" s="25"/>
      <c r="G406" s="18"/>
      <c r="H406" s="18"/>
      <c r="I406" s="18"/>
      <c r="J406" s="18"/>
    </row>
    <row r="407" spans="1:10">
      <c r="A407" s="18" t="str">
        <f t="shared" si="6"/>
        <v/>
      </c>
      <c r="B407" s="18"/>
      <c r="C407" s="18"/>
      <c r="F407" s="25"/>
      <c r="G407" s="18"/>
      <c r="H407" s="18"/>
      <c r="I407" s="18"/>
      <c r="J407" s="18"/>
    </row>
    <row r="408" spans="1:10">
      <c r="A408" s="18" t="str">
        <f t="shared" si="6"/>
        <v/>
      </c>
      <c r="B408" s="18"/>
      <c r="C408" s="18"/>
      <c r="F408" s="25"/>
      <c r="G408" s="18"/>
      <c r="H408" s="18"/>
      <c r="I408" s="18"/>
      <c r="J408" s="18"/>
    </row>
    <row r="409" spans="1:10">
      <c r="A409" s="18" t="str">
        <f t="shared" si="6"/>
        <v/>
      </c>
      <c r="B409" s="18"/>
      <c r="C409" s="18"/>
      <c r="F409" s="25"/>
      <c r="G409" s="18"/>
      <c r="H409" s="18"/>
      <c r="I409" s="18"/>
      <c r="J409" s="18"/>
    </row>
    <row r="410" spans="1:10">
      <c r="A410" s="18" t="str">
        <f t="shared" si="6"/>
        <v/>
      </c>
      <c r="B410" s="18"/>
      <c r="C410" s="18"/>
      <c r="F410" s="25"/>
      <c r="G410" s="18"/>
      <c r="H410" s="18"/>
      <c r="I410" s="18"/>
      <c r="J410" s="18"/>
    </row>
    <row r="411" spans="1:10">
      <c r="A411" s="18" t="str">
        <f t="shared" si="6"/>
        <v/>
      </c>
      <c r="B411" s="18"/>
      <c r="C411" s="18"/>
      <c r="F411" s="25"/>
      <c r="G411" s="18"/>
      <c r="H411" s="18"/>
      <c r="I411" s="18"/>
      <c r="J411" s="18"/>
    </row>
    <row r="412" spans="1:10">
      <c r="A412" s="18" t="str">
        <f t="shared" si="6"/>
        <v/>
      </c>
      <c r="B412" s="18"/>
      <c r="C412" s="18"/>
      <c r="F412" s="25"/>
      <c r="G412" s="18"/>
      <c r="H412" s="18"/>
      <c r="I412" s="18"/>
      <c r="J412" s="18"/>
    </row>
    <row r="413" spans="1:10">
      <c r="A413" s="18" t="str">
        <f t="shared" si="6"/>
        <v/>
      </c>
      <c r="B413" s="18"/>
      <c r="C413" s="18"/>
      <c r="F413" s="25"/>
      <c r="G413" s="18"/>
      <c r="H413" s="18"/>
      <c r="I413" s="18"/>
      <c r="J413" s="18"/>
    </row>
    <row r="414" spans="1:10">
      <c r="A414" s="18" t="str">
        <f t="shared" si="6"/>
        <v/>
      </c>
      <c r="B414" s="18"/>
      <c r="C414" s="18"/>
      <c r="F414" s="25"/>
      <c r="G414" s="18"/>
      <c r="H414" s="18"/>
      <c r="I414" s="18"/>
      <c r="J414" s="18"/>
    </row>
    <row r="415" spans="1:10">
      <c r="A415" s="18" t="str">
        <f t="shared" si="6"/>
        <v/>
      </c>
      <c r="B415" s="18"/>
      <c r="C415" s="18"/>
      <c r="F415" s="25"/>
      <c r="G415" s="18"/>
      <c r="H415" s="18"/>
      <c r="I415" s="18"/>
      <c r="J415" s="18"/>
    </row>
    <row r="416" spans="1:10">
      <c r="A416" s="18" t="str">
        <f t="shared" si="6"/>
        <v/>
      </c>
      <c r="B416" s="18"/>
      <c r="C416" s="18"/>
      <c r="F416" s="25"/>
      <c r="G416" s="18"/>
      <c r="H416" s="18"/>
      <c r="I416" s="18"/>
      <c r="J416" s="18"/>
    </row>
    <row r="417" spans="1:10">
      <c r="A417" s="18" t="str">
        <f t="shared" si="6"/>
        <v/>
      </c>
      <c r="B417" s="18"/>
      <c r="C417" s="18"/>
      <c r="F417" s="25"/>
      <c r="G417" s="18"/>
      <c r="H417" s="18"/>
      <c r="I417" s="18"/>
      <c r="J417" s="18"/>
    </row>
    <row r="418" spans="1:10">
      <c r="A418" s="18" t="str">
        <f t="shared" si="6"/>
        <v/>
      </c>
      <c r="B418" s="18"/>
      <c r="C418" s="18"/>
      <c r="F418" s="25"/>
      <c r="G418" s="18"/>
      <c r="H418" s="18"/>
      <c r="I418" s="18"/>
      <c r="J418" s="18"/>
    </row>
    <row r="419" spans="1:10">
      <c r="A419" s="18" t="str">
        <f t="shared" si="6"/>
        <v/>
      </c>
      <c r="B419" s="18"/>
      <c r="C419" s="18"/>
      <c r="F419" s="25"/>
      <c r="G419" s="18"/>
      <c r="H419" s="18"/>
      <c r="I419" s="18"/>
      <c r="J419" s="18"/>
    </row>
    <row r="420" spans="1:10">
      <c r="A420" s="18" t="str">
        <f t="shared" si="6"/>
        <v/>
      </c>
      <c r="B420" s="18"/>
      <c r="C420" s="18"/>
      <c r="F420" s="25"/>
      <c r="G420" s="18"/>
      <c r="H420" s="18"/>
      <c r="I420" s="18"/>
      <c r="J420" s="18"/>
    </row>
    <row r="421" spans="1:10">
      <c r="A421" s="18" t="str">
        <f t="shared" si="6"/>
        <v/>
      </c>
      <c r="B421" s="18"/>
      <c r="C421" s="18"/>
      <c r="F421" s="25"/>
      <c r="G421" s="18"/>
      <c r="H421" s="18"/>
      <c r="I421" s="18"/>
      <c r="J421" s="18"/>
    </row>
    <row r="422" spans="1:10">
      <c r="A422" s="18" t="str">
        <f t="shared" si="6"/>
        <v/>
      </c>
      <c r="B422" s="18"/>
      <c r="C422" s="18"/>
      <c r="F422" s="25"/>
      <c r="G422" s="18"/>
      <c r="H422" s="18"/>
      <c r="I422" s="18"/>
      <c r="J422" s="18"/>
    </row>
    <row r="423" spans="1:10">
      <c r="A423" s="18" t="str">
        <f t="shared" si="6"/>
        <v/>
      </c>
      <c r="B423" s="18"/>
      <c r="C423" s="18"/>
      <c r="F423" s="25"/>
      <c r="G423" s="18"/>
      <c r="H423" s="18"/>
      <c r="I423" s="18"/>
      <c r="J423" s="18"/>
    </row>
    <row r="424" spans="1:10">
      <c r="A424" s="18" t="str">
        <f t="shared" si="6"/>
        <v/>
      </c>
      <c r="B424" s="18"/>
      <c r="C424" s="18"/>
      <c r="F424" s="25"/>
      <c r="G424" s="18"/>
      <c r="H424" s="18"/>
      <c r="I424" s="18"/>
      <c r="J424" s="18"/>
    </row>
    <row r="425" spans="1:10">
      <c r="A425" s="18" t="str">
        <f t="shared" si="6"/>
        <v/>
      </c>
      <c r="B425" s="18"/>
      <c r="C425" s="18"/>
      <c r="F425" s="25"/>
      <c r="G425" s="18"/>
      <c r="H425" s="18"/>
      <c r="I425" s="18"/>
      <c r="J425" s="18"/>
    </row>
    <row r="426" spans="1:10">
      <c r="A426" s="18" t="str">
        <f t="shared" si="6"/>
        <v/>
      </c>
      <c r="B426" s="18"/>
      <c r="C426" s="18"/>
      <c r="F426" s="25"/>
      <c r="G426" s="18"/>
      <c r="H426" s="18"/>
      <c r="I426" s="18"/>
      <c r="J426" s="18"/>
    </row>
    <row r="427" spans="1:10">
      <c r="A427" s="18" t="str">
        <f t="shared" si="6"/>
        <v/>
      </c>
      <c r="B427" s="18"/>
      <c r="C427" s="18"/>
      <c r="F427" s="25"/>
      <c r="G427" s="18"/>
      <c r="H427" s="18"/>
      <c r="I427" s="18"/>
      <c r="J427" s="18"/>
    </row>
    <row r="428" spans="1:10">
      <c r="A428" s="18" t="str">
        <f t="shared" si="6"/>
        <v/>
      </c>
      <c r="B428" s="18"/>
      <c r="C428" s="18"/>
      <c r="F428" s="25"/>
      <c r="G428" s="18"/>
      <c r="H428" s="18"/>
      <c r="I428" s="18"/>
      <c r="J428" s="18"/>
    </row>
    <row r="429" spans="1:10">
      <c r="A429" s="18" t="str">
        <f t="shared" si="6"/>
        <v/>
      </c>
      <c r="B429" s="18"/>
      <c r="C429" s="18"/>
      <c r="F429" s="25"/>
      <c r="G429" s="18"/>
      <c r="H429" s="18"/>
      <c r="I429" s="18"/>
      <c r="J429" s="18"/>
    </row>
    <row r="430" spans="1:10">
      <c r="A430" s="18" t="str">
        <f t="shared" si="6"/>
        <v/>
      </c>
      <c r="B430" s="18"/>
      <c r="C430" s="18"/>
      <c r="F430" s="25"/>
      <c r="G430" s="18"/>
      <c r="H430" s="18"/>
      <c r="I430" s="18"/>
      <c r="J430" s="18"/>
    </row>
    <row r="431" spans="1:10">
      <c r="A431" s="18" t="str">
        <f t="shared" si="6"/>
        <v/>
      </c>
      <c r="B431" s="18"/>
      <c r="C431" s="18"/>
      <c r="F431" s="25"/>
      <c r="G431" s="18"/>
      <c r="H431" s="18"/>
      <c r="I431" s="18"/>
      <c r="J431" s="18"/>
    </row>
    <row r="432" spans="1:10">
      <c r="A432" s="18" t="str">
        <f t="shared" si="6"/>
        <v/>
      </c>
      <c r="B432" s="18"/>
      <c r="C432" s="18"/>
      <c r="F432" s="25"/>
      <c r="G432" s="18"/>
      <c r="H432" s="18"/>
      <c r="I432" s="18"/>
      <c r="J432" s="18"/>
    </row>
    <row r="433" spans="1:10">
      <c r="A433" s="18" t="str">
        <f t="shared" si="6"/>
        <v/>
      </c>
      <c r="B433" s="18"/>
      <c r="C433" s="18"/>
      <c r="F433" s="25"/>
      <c r="G433" s="18"/>
      <c r="H433" s="18"/>
      <c r="I433" s="18"/>
      <c r="J433" s="18"/>
    </row>
    <row r="434" spans="1:10">
      <c r="A434" s="18" t="str">
        <f t="shared" si="6"/>
        <v/>
      </c>
      <c r="B434" s="18"/>
      <c r="C434" s="18"/>
      <c r="F434" s="25"/>
      <c r="G434" s="18"/>
      <c r="H434" s="18"/>
      <c r="I434" s="18"/>
      <c r="J434" s="18"/>
    </row>
    <row r="435" spans="1:10">
      <c r="A435" s="18" t="str">
        <f t="shared" si="6"/>
        <v/>
      </c>
      <c r="B435" s="18"/>
      <c r="C435" s="18"/>
      <c r="F435" s="25"/>
      <c r="G435" s="18"/>
      <c r="H435" s="18"/>
      <c r="I435" s="18"/>
      <c r="J435" s="18"/>
    </row>
    <row r="436" spans="1:10">
      <c r="A436" s="18" t="str">
        <f t="shared" si="6"/>
        <v/>
      </c>
      <c r="B436" s="18"/>
      <c r="C436" s="18"/>
      <c r="F436" s="25"/>
      <c r="G436" s="18"/>
      <c r="H436" s="18"/>
      <c r="I436" s="18"/>
      <c r="J436" s="18"/>
    </row>
    <row r="437" spans="1:10">
      <c r="A437" s="18" t="str">
        <f t="shared" si="6"/>
        <v/>
      </c>
      <c r="B437" s="18"/>
      <c r="C437" s="18"/>
      <c r="F437" s="25"/>
      <c r="G437" s="18"/>
      <c r="H437" s="18"/>
      <c r="I437" s="18"/>
      <c r="J437" s="18"/>
    </row>
    <row r="438" spans="1:10">
      <c r="A438" s="18" t="str">
        <f t="shared" si="6"/>
        <v/>
      </c>
      <c r="B438" s="18"/>
      <c r="C438" s="18"/>
      <c r="F438" s="25"/>
      <c r="G438" s="18"/>
      <c r="H438" s="18"/>
      <c r="I438" s="18"/>
      <c r="J438" s="18"/>
    </row>
    <row r="439" spans="1:10">
      <c r="A439" s="18" t="str">
        <f t="shared" si="6"/>
        <v/>
      </c>
      <c r="B439" s="18"/>
      <c r="C439" s="18"/>
      <c r="F439" s="25"/>
      <c r="G439" s="18"/>
      <c r="H439" s="18"/>
      <c r="I439" s="18"/>
      <c r="J439" s="18"/>
    </row>
    <row r="440" spans="1:10">
      <c r="A440" s="18" t="str">
        <f t="shared" si="6"/>
        <v/>
      </c>
      <c r="B440" s="18"/>
      <c r="C440" s="18"/>
      <c r="F440" s="25"/>
      <c r="G440" s="18"/>
      <c r="H440" s="18"/>
      <c r="I440" s="18"/>
      <c r="J440" s="18"/>
    </row>
    <row r="441" spans="1:10">
      <c r="A441" s="18" t="str">
        <f t="shared" si="6"/>
        <v/>
      </c>
      <c r="B441" s="18"/>
      <c r="C441" s="18"/>
      <c r="F441" s="25"/>
      <c r="G441" s="18"/>
      <c r="H441" s="18"/>
      <c r="I441" s="18"/>
      <c r="J441" s="18"/>
    </row>
    <row r="442" spans="1:10">
      <c r="A442" s="18" t="str">
        <f t="shared" si="6"/>
        <v/>
      </c>
      <c r="B442" s="18"/>
      <c r="C442" s="18"/>
      <c r="F442" s="25"/>
      <c r="G442" s="18"/>
      <c r="H442" s="18"/>
      <c r="I442" s="18"/>
      <c r="J442" s="18"/>
    </row>
    <row r="443" spans="1:10">
      <c r="A443" s="18" t="str">
        <f t="shared" si="6"/>
        <v/>
      </c>
      <c r="B443" s="18"/>
      <c r="C443" s="18"/>
      <c r="F443" s="25"/>
      <c r="G443" s="18"/>
      <c r="H443" s="18"/>
      <c r="I443" s="18"/>
      <c r="J443" s="18"/>
    </row>
    <row r="444" spans="1:10">
      <c r="A444" s="18" t="str">
        <f t="shared" si="6"/>
        <v/>
      </c>
      <c r="B444" s="18"/>
      <c r="C444" s="18"/>
      <c r="F444" s="25"/>
      <c r="G444" s="18"/>
      <c r="H444" s="18"/>
      <c r="I444" s="18"/>
      <c r="J444" s="18"/>
    </row>
    <row r="445" spans="1:10">
      <c r="A445" s="18" t="str">
        <f t="shared" si="6"/>
        <v/>
      </c>
      <c r="B445" s="18"/>
      <c r="C445" s="18"/>
      <c r="F445" s="25"/>
      <c r="G445" s="18"/>
      <c r="H445" s="18"/>
      <c r="I445" s="18"/>
      <c r="J445" s="18"/>
    </row>
    <row r="446" spans="1:10">
      <c r="A446" s="18" t="str">
        <f t="shared" si="6"/>
        <v/>
      </c>
      <c r="B446" s="18"/>
      <c r="C446" s="18"/>
      <c r="F446" s="25"/>
      <c r="G446" s="18"/>
      <c r="H446" s="18"/>
      <c r="I446" s="18"/>
      <c r="J446" s="18"/>
    </row>
    <row r="447" spans="1:10">
      <c r="A447" s="18" t="str">
        <f t="shared" si="6"/>
        <v/>
      </c>
      <c r="B447" s="18"/>
      <c r="C447" s="18"/>
      <c r="F447" s="25"/>
      <c r="G447" s="18"/>
      <c r="H447" s="18"/>
      <c r="I447" s="18"/>
      <c r="J447" s="18"/>
    </row>
    <row r="448" spans="1:10">
      <c r="A448" s="18" t="str">
        <f t="shared" si="6"/>
        <v/>
      </c>
      <c r="B448" s="18"/>
      <c r="C448" s="18"/>
      <c r="F448" s="25"/>
      <c r="G448" s="18"/>
      <c r="H448" s="18"/>
      <c r="I448" s="18"/>
      <c r="J448" s="18"/>
    </row>
    <row r="449" spans="1:10">
      <c r="A449" s="18" t="str">
        <f t="shared" si="6"/>
        <v/>
      </c>
      <c r="B449" s="18"/>
      <c r="C449" s="18"/>
      <c r="F449" s="25"/>
      <c r="G449" s="18"/>
      <c r="H449" s="18"/>
      <c r="I449" s="18"/>
      <c r="J449" s="18"/>
    </row>
    <row r="450" spans="1:10">
      <c r="A450" s="18" t="str">
        <f t="shared" ref="A450:A500" si="7">IF(C450="","",ROW()-1)</f>
        <v/>
      </c>
      <c r="B450" s="18"/>
      <c r="C450" s="18"/>
      <c r="F450" s="25"/>
      <c r="G450" s="18"/>
      <c r="H450" s="18"/>
      <c r="I450" s="18"/>
      <c r="J450" s="18"/>
    </row>
    <row r="451" spans="1:10">
      <c r="A451" s="18" t="str">
        <f t="shared" si="7"/>
        <v/>
      </c>
      <c r="B451" s="18"/>
      <c r="C451" s="18"/>
      <c r="F451" s="25"/>
      <c r="G451" s="18"/>
      <c r="H451" s="18"/>
      <c r="I451" s="18"/>
      <c r="J451" s="18"/>
    </row>
    <row r="452" spans="1:10">
      <c r="A452" s="18" t="str">
        <f t="shared" si="7"/>
        <v/>
      </c>
      <c r="B452" s="18"/>
      <c r="C452" s="18"/>
      <c r="F452" s="25"/>
      <c r="G452" s="18"/>
      <c r="H452" s="18"/>
      <c r="I452" s="18"/>
      <c r="J452" s="18"/>
    </row>
    <row r="453" spans="1:10">
      <c r="A453" s="18" t="str">
        <f t="shared" si="7"/>
        <v/>
      </c>
      <c r="B453" s="18"/>
      <c r="C453" s="18"/>
      <c r="F453" s="25"/>
      <c r="G453" s="18"/>
      <c r="H453" s="18"/>
      <c r="I453" s="18"/>
      <c r="J453" s="18"/>
    </row>
    <row r="454" spans="1:10">
      <c r="A454" s="18" t="str">
        <f t="shared" si="7"/>
        <v/>
      </c>
      <c r="B454" s="18"/>
      <c r="C454" s="18"/>
      <c r="F454" s="25"/>
      <c r="G454" s="18"/>
      <c r="H454" s="18"/>
      <c r="I454" s="18"/>
      <c r="J454" s="18"/>
    </row>
    <row r="455" spans="1:10">
      <c r="A455" s="18" t="str">
        <f t="shared" si="7"/>
        <v/>
      </c>
      <c r="B455" s="18"/>
      <c r="C455" s="18"/>
      <c r="F455" s="25"/>
      <c r="G455" s="18"/>
      <c r="H455" s="18"/>
      <c r="I455" s="18"/>
      <c r="J455" s="18"/>
    </row>
    <row r="456" spans="1:10">
      <c r="A456" s="18" t="str">
        <f t="shared" si="7"/>
        <v/>
      </c>
      <c r="B456" s="18"/>
      <c r="C456" s="18"/>
      <c r="F456" s="25"/>
      <c r="G456" s="18"/>
      <c r="H456" s="18"/>
      <c r="I456" s="18"/>
      <c r="J456" s="18"/>
    </row>
    <row r="457" spans="1:10">
      <c r="A457" s="18" t="str">
        <f t="shared" si="7"/>
        <v/>
      </c>
      <c r="B457" s="18"/>
      <c r="C457" s="18"/>
      <c r="F457" s="25"/>
      <c r="G457" s="18"/>
      <c r="H457" s="18"/>
      <c r="I457" s="18"/>
      <c r="J457" s="18"/>
    </row>
    <row r="458" spans="1:10">
      <c r="A458" s="18" t="str">
        <f t="shared" si="7"/>
        <v/>
      </c>
      <c r="B458" s="18"/>
      <c r="C458" s="18"/>
      <c r="F458" s="25"/>
      <c r="G458" s="18"/>
      <c r="H458" s="18"/>
      <c r="I458" s="18"/>
      <c r="J458" s="18"/>
    </row>
    <row r="459" spans="1:10">
      <c r="A459" s="18" t="str">
        <f t="shared" si="7"/>
        <v/>
      </c>
      <c r="B459" s="18"/>
      <c r="C459" s="18"/>
      <c r="F459" s="25"/>
      <c r="G459" s="18"/>
      <c r="H459" s="18"/>
      <c r="I459" s="18"/>
      <c r="J459" s="18"/>
    </row>
    <row r="460" spans="1:10">
      <c r="A460" s="18" t="str">
        <f t="shared" si="7"/>
        <v/>
      </c>
      <c r="B460" s="18"/>
      <c r="C460" s="18"/>
      <c r="F460" s="25"/>
      <c r="G460" s="18"/>
      <c r="H460" s="18"/>
      <c r="I460" s="18"/>
      <c r="J460" s="18"/>
    </row>
    <row r="461" spans="1:10">
      <c r="A461" s="18" t="str">
        <f t="shared" si="7"/>
        <v/>
      </c>
      <c r="B461" s="18"/>
      <c r="C461" s="18"/>
      <c r="F461" s="25"/>
      <c r="G461" s="18"/>
      <c r="H461" s="18"/>
      <c r="I461" s="18"/>
      <c r="J461" s="18"/>
    </row>
    <row r="462" spans="1:10">
      <c r="A462" s="18" t="str">
        <f t="shared" si="7"/>
        <v/>
      </c>
      <c r="B462" s="18"/>
      <c r="C462" s="18"/>
      <c r="F462" s="25"/>
      <c r="G462" s="18"/>
      <c r="H462" s="18"/>
      <c r="I462" s="18"/>
      <c r="J462" s="18"/>
    </row>
    <row r="463" spans="1:10">
      <c r="A463" s="18" t="str">
        <f t="shared" si="7"/>
        <v/>
      </c>
      <c r="B463" s="18"/>
      <c r="C463" s="18"/>
      <c r="F463" s="25"/>
      <c r="G463" s="18"/>
      <c r="H463" s="18"/>
      <c r="I463" s="18"/>
      <c r="J463" s="18"/>
    </row>
    <row r="464" spans="1:10">
      <c r="A464" s="18" t="str">
        <f t="shared" si="7"/>
        <v/>
      </c>
      <c r="B464" s="18"/>
      <c r="C464" s="18"/>
      <c r="F464" s="25"/>
      <c r="G464" s="18"/>
      <c r="H464" s="18"/>
      <c r="I464" s="18"/>
      <c r="J464" s="18"/>
    </row>
    <row r="465" spans="1:10">
      <c r="A465" s="18" t="str">
        <f t="shared" si="7"/>
        <v/>
      </c>
      <c r="B465" s="18"/>
      <c r="C465" s="18"/>
      <c r="F465" s="25"/>
      <c r="G465" s="18"/>
      <c r="H465" s="18"/>
      <c r="I465" s="18"/>
      <c r="J465" s="18"/>
    </row>
    <row r="466" spans="1:10">
      <c r="A466" s="18" t="str">
        <f t="shared" si="7"/>
        <v/>
      </c>
      <c r="B466" s="18"/>
      <c r="C466" s="18"/>
      <c r="F466" s="25"/>
      <c r="G466" s="18"/>
      <c r="H466" s="18"/>
      <c r="I466" s="18"/>
      <c r="J466" s="18"/>
    </row>
    <row r="467" spans="1:10">
      <c r="A467" s="18" t="str">
        <f t="shared" si="7"/>
        <v/>
      </c>
      <c r="B467" s="18"/>
      <c r="C467" s="18"/>
      <c r="F467" s="25"/>
      <c r="G467" s="18"/>
      <c r="H467" s="18"/>
      <c r="I467" s="18"/>
      <c r="J467" s="18"/>
    </row>
    <row r="468" spans="1:10">
      <c r="A468" s="18" t="str">
        <f t="shared" si="7"/>
        <v/>
      </c>
      <c r="B468" s="18"/>
      <c r="C468" s="18"/>
      <c r="F468" s="25"/>
      <c r="G468" s="18"/>
      <c r="H468" s="18"/>
      <c r="I468" s="18"/>
      <c r="J468" s="18"/>
    </row>
    <row r="469" spans="1:10">
      <c r="A469" s="18" t="str">
        <f t="shared" si="7"/>
        <v/>
      </c>
      <c r="B469" s="18"/>
      <c r="C469" s="18"/>
      <c r="F469" s="25"/>
      <c r="G469" s="18"/>
      <c r="H469" s="18"/>
      <c r="I469" s="18"/>
      <c r="J469" s="18"/>
    </row>
    <row r="470" spans="1:10">
      <c r="A470" s="18" t="str">
        <f t="shared" si="7"/>
        <v/>
      </c>
      <c r="B470" s="18"/>
      <c r="C470" s="18"/>
      <c r="F470" s="25"/>
      <c r="G470" s="18"/>
      <c r="H470" s="18"/>
      <c r="I470" s="18"/>
      <c r="J470" s="18"/>
    </row>
    <row r="471" spans="1:10">
      <c r="A471" s="18" t="str">
        <f t="shared" si="7"/>
        <v/>
      </c>
      <c r="B471" s="18"/>
      <c r="C471" s="18"/>
      <c r="F471" s="25"/>
      <c r="G471" s="18"/>
      <c r="H471" s="18"/>
      <c r="I471" s="18"/>
      <c r="J471" s="18"/>
    </row>
    <row r="472" spans="1:10">
      <c r="A472" s="18" t="str">
        <f t="shared" si="7"/>
        <v/>
      </c>
      <c r="B472" s="18"/>
      <c r="C472" s="18"/>
      <c r="F472" s="25"/>
      <c r="G472" s="18"/>
      <c r="H472" s="18"/>
      <c r="I472" s="18"/>
      <c r="J472" s="18"/>
    </row>
    <row r="473" spans="1:10">
      <c r="A473" s="18" t="str">
        <f t="shared" si="7"/>
        <v/>
      </c>
      <c r="B473" s="18"/>
      <c r="C473" s="18"/>
      <c r="F473" s="25"/>
      <c r="G473" s="18"/>
      <c r="H473" s="18"/>
      <c r="I473" s="18"/>
      <c r="J473" s="18"/>
    </row>
    <row r="474" spans="1:10">
      <c r="A474" s="18" t="str">
        <f t="shared" si="7"/>
        <v/>
      </c>
      <c r="B474" s="18"/>
      <c r="C474" s="18"/>
      <c r="F474" s="25"/>
      <c r="G474" s="18"/>
      <c r="H474" s="18"/>
      <c r="I474" s="18"/>
      <c r="J474" s="18"/>
    </row>
    <row r="475" spans="1:10">
      <c r="A475" s="18" t="str">
        <f t="shared" si="7"/>
        <v/>
      </c>
      <c r="B475" s="18"/>
      <c r="C475" s="18"/>
      <c r="F475" s="25"/>
      <c r="G475" s="18"/>
      <c r="H475" s="18"/>
      <c r="I475" s="18"/>
      <c r="J475" s="18"/>
    </row>
    <row r="476" spans="1:10">
      <c r="A476" s="18" t="str">
        <f t="shared" si="7"/>
        <v/>
      </c>
      <c r="B476" s="18"/>
      <c r="C476" s="18"/>
      <c r="F476" s="25"/>
      <c r="G476" s="18"/>
      <c r="H476" s="18"/>
      <c r="I476" s="18"/>
      <c r="J476" s="18"/>
    </row>
    <row r="477" spans="1:10">
      <c r="A477" s="18" t="str">
        <f t="shared" si="7"/>
        <v/>
      </c>
      <c r="B477" s="18"/>
      <c r="C477" s="18"/>
      <c r="F477" s="25"/>
      <c r="G477" s="18"/>
      <c r="H477" s="18"/>
      <c r="I477" s="18"/>
      <c r="J477" s="18"/>
    </row>
    <row r="478" spans="1:10">
      <c r="A478" s="18" t="str">
        <f t="shared" si="7"/>
        <v/>
      </c>
      <c r="B478" s="18"/>
      <c r="C478" s="18"/>
      <c r="F478" s="25"/>
      <c r="G478" s="18"/>
      <c r="H478" s="18"/>
      <c r="I478" s="18"/>
      <c r="J478" s="18"/>
    </row>
    <row r="479" spans="1:10">
      <c r="A479" s="18" t="str">
        <f t="shared" si="7"/>
        <v/>
      </c>
      <c r="B479" s="18"/>
      <c r="C479" s="18"/>
      <c r="F479" s="25"/>
      <c r="G479" s="18"/>
      <c r="H479" s="18"/>
      <c r="I479" s="18"/>
      <c r="J479" s="18"/>
    </row>
    <row r="480" spans="1:10">
      <c r="A480" s="18" t="str">
        <f t="shared" si="7"/>
        <v/>
      </c>
      <c r="B480" s="18"/>
      <c r="C480" s="18"/>
      <c r="F480" s="25"/>
      <c r="G480" s="18"/>
      <c r="H480" s="18"/>
      <c r="I480" s="18"/>
      <c r="J480" s="18"/>
    </row>
    <row r="481" spans="1:10">
      <c r="A481" s="18" t="str">
        <f t="shared" si="7"/>
        <v/>
      </c>
      <c r="B481" s="18"/>
      <c r="C481" s="18"/>
      <c r="F481" s="25"/>
      <c r="G481" s="18"/>
      <c r="H481" s="18"/>
      <c r="I481" s="18"/>
      <c r="J481" s="18"/>
    </row>
    <row r="482" spans="1:10">
      <c r="A482" s="18" t="str">
        <f t="shared" si="7"/>
        <v/>
      </c>
      <c r="B482" s="18"/>
      <c r="C482" s="18"/>
      <c r="F482" s="25"/>
      <c r="G482" s="18"/>
      <c r="H482" s="18"/>
      <c r="I482" s="18"/>
      <c r="J482" s="18"/>
    </row>
    <row r="483" spans="1:10">
      <c r="A483" s="18" t="str">
        <f t="shared" si="7"/>
        <v/>
      </c>
      <c r="B483" s="18"/>
      <c r="C483" s="18"/>
      <c r="F483" s="25"/>
      <c r="G483" s="18"/>
      <c r="H483" s="18"/>
      <c r="I483" s="18"/>
      <c r="J483" s="18"/>
    </row>
    <row r="484" spans="1:10">
      <c r="A484" s="18" t="str">
        <f t="shared" si="7"/>
        <v/>
      </c>
      <c r="B484" s="18"/>
      <c r="C484" s="18"/>
      <c r="F484" s="25"/>
      <c r="G484" s="18"/>
      <c r="H484" s="18"/>
      <c r="I484" s="18"/>
      <c r="J484" s="18"/>
    </row>
    <row r="485" spans="1:10">
      <c r="A485" s="18" t="str">
        <f t="shared" si="7"/>
        <v/>
      </c>
      <c r="B485" s="18"/>
      <c r="C485" s="18"/>
      <c r="F485" s="25"/>
      <c r="G485" s="18"/>
      <c r="H485" s="18"/>
      <c r="I485" s="18"/>
      <c r="J485" s="18"/>
    </row>
    <row r="486" spans="1:10">
      <c r="A486" s="18" t="str">
        <f t="shared" si="7"/>
        <v/>
      </c>
      <c r="B486" s="18"/>
      <c r="C486" s="18"/>
      <c r="F486" s="25"/>
      <c r="G486" s="18"/>
      <c r="H486" s="18"/>
      <c r="I486" s="18"/>
      <c r="J486" s="18"/>
    </row>
    <row r="487" spans="1:10">
      <c r="A487" s="18" t="str">
        <f t="shared" si="7"/>
        <v/>
      </c>
      <c r="B487" s="18"/>
      <c r="C487" s="18"/>
      <c r="F487" s="25"/>
      <c r="G487" s="18"/>
      <c r="H487" s="18"/>
      <c r="I487" s="18"/>
      <c r="J487" s="18"/>
    </row>
    <row r="488" spans="1:10">
      <c r="A488" s="18" t="str">
        <f t="shared" si="7"/>
        <v/>
      </c>
      <c r="B488" s="18"/>
      <c r="C488" s="18"/>
      <c r="F488" s="25"/>
      <c r="G488" s="18"/>
      <c r="H488" s="18"/>
      <c r="I488" s="18"/>
      <c r="J488" s="18"/>
    </row>
    <row r="489" spans="1:10">
      <c r="A489" s="18" t="str">
        <f t="shared" si="7"/>
        <v/>
      </c>
      <c r="B489" s="18"/>
      <c r="C489" s="18"/>
      <c r="F489" s="25"/>
      <c r="G489" s="18"/>
      <c r="H489" s="18"/>
      <c r="I489" s="18"/>
      <c r="J489" s="18"/>
    </row>
    <row r="490" spans="1:10">
      <c r="A490" s="18" t="str">
        <f t="shared" si="7"/>
        <v/>
      </c>
      <c r="B490" s="18"/>
      <c r="C490" s="18"/>
      <c r="F490" s="25"/>
      <c r="G490" s="18"/>
      <c r="H490" s="18"/>
      <c r="I490" s="18"/>
      <c r="J490" s="18"/>
    </row>
    <row r="491" spans="1:10">
      <c r="A491" s="18" t="str">
        <f t="shared" si="7"/>
        <v/>
      </c>
      <c r="B491" s="18"/>
      <c r="C491" s="18"/>
      <c r="F491" s="25"/>
      <c r="G491" s="18"/>
      <c r="H491" s="18"/>
      <c r="I491" s="18"/>
      <c r="J491" s="18"/>
    </row>
    <row r="492" spans="1:10">
      <c r="A492" s="18" t="str">
        <f t="shared" si="7"/>
        <v/>
      </c>
      <c r="B492" s="18"/>
      <c r="C492" s="18"/>
      <c r="F492" s="25"/>
      <c r="G492" s="18"/>
      <c r="H492" s="18"/>
      <c r="I492" s="18"/>
      <c r="J492" s="18"/>
    </row>
    <row r="493" spans="1:10">
      <c r="A493" s="18" t="str">
        <f t="shared" si="7"/>
        <v/>
      </c>
      <c r="B493" s="18"/>
      <c r="C493" s="18"/>
      <c r="F493" s="25"/>
      <c r="G493" s="18"/>
      <c r="H493" s="18"/>
      <c r="I493" s="18"/>
      <c r="J493" s="18"/>
    </row>
    <row r="494" spans="1:10">
      <c r="A494" s="18" t="str">
        <f t="shared" si="7"/>
        <v/>
      </c>
      <c r="B494" s="18"/>
      <c r="C494" s="18"/>
      <c r="F494" s="25"/>
      <c r="G494" s="18"/>
      <c r="H494" s="18"/>
      <c r="I494" s="18"/>
      <c r="J494" s="18"/>
    </row>
    <row r="495" spans="1:10">
      <c r="A495" s="18" t="str">
        <f t="shared" si="7"/>
        <v/>
      </c>
      <c r="B495" s="18"/>
      <c r="C495" s="18"/>
      <c r="F495" s="25"/>
      <c r="G495" s="18"/>
      <c r="H495" s="18"/>
      <c r="I495" s="18"/>
      <c r="J495" s="18"/>
    </row>
    <row r="496" spans="1:10">
      <c r="A496" s="18" t="str">
        <f t="shared" si="7"/>
        <v/>
      </c>
      <c r="B496" s="18"/>
      <c r="C496" s="18"/>
      <c r="F496" s="25"/>
      <c r="G496" s="18"/>
      <c r="H496" s="18"/>
      <c r="I496" s="18"/>
      <c r="J496" s="18"/>
    </row>
    <row r="497" spans="1:10">
      <c r="A497" s="18" t="str">
        <f t="shared" si="7"/>
        <v/>
      </c>
      <c r="B497" s="18"/>
      <c r="C497" s="18"/>
      <c r="F497" s="25"/>
      <c r="G497" s="18"/>
      <c r="H497" s="18"/>
      <c r="I497" s="18"/>
      <c r="J497" s="18"/>
    </row>
    <row r="498" spans="1:10">
      <c r="A498" s="18" t="str">
        <f t="shared" si="7"/>
        <v/>
      </c>
      <c r="B498" s="18"/>
      <c r="C498" s="18"/>
      <c r="F498" s="25"/>
      <c r="G498" s="18"/>
      <c r="H498" s="18"/>
      <c r="I498" s="18"/>
      <c r="J498" s="18"/>
    </row>
    <row r="499" spans="1:10">
      <c r="A499" s="18" t="str">
        <f t="shared" si="7"/>
        <v/>
      </c>
      <c r="B499" s="18"/>
      <c r="C499" s="18"/>
      <c r="F499" s="25"/>
      <c r="G499" s="18"/>
      <c r="H499" s="18"/>
      <c r="I499" s="18"/>
      <c r="J499" s="18"/>
    </row>
    <row r="500" spans="1:10">
      <c r="A500" s="18" t="str">
        <f t="shared" si="7"/>
        <v/>
      </c>
      <c r="B500" s="18"/>
      <c r="C500" s="18"/>
      <c r="F500" s="25"/>
      <c r="G500" s="18"/>
      <c r="H500" s="18"/>
      <c r="I500" s="18"/>
      <c r="J500" s="18"/>
    </row>
  </sheetData>
  <phoneticPr fontId="16" type="noConversion"/>
  <dataValidations count="1">
    <dataValidation type="list" allowBlank="1" showInputMessage="1" showErrorMessage="1" sqref="B2:B500" xr:uid="{00000000-0002-0000-0200-000000000000}">
      <formula1>$I$1:$J$1</formula1>
    </dataValidation>
  </dataValidations>
  <hyperlinks>
    <hyperlink ref="D2" r:id="rId1" display="https://samsung.com/uk/offer/test-campaign-2026" xr:uid="{00000000-0004-0000-0200-000000000000}"/>
    <hyperlink ref="D3" r:id="rId2" display="https://samsung.com/uk/offer/test-campaign-2026-other" xr:uid="{00000000-0004-0000-0200-000001000000}"/>
    <hyperlink ref="D4" r:id="rId3" display="https://samsung.com/uk/offer/test-campaign-2026-another" xr:uid="{00000000-0004-0000-0200-000002000000}"/>
    <hyperlink ref="D5" r:id="rId4" display="https://samsung.com/uk/offer/test-campaign-2025" xr:uid="{00000000-0004-0000-0200-000003000000}"/>
    <hyperlink ref="D6" r:id="rId5" display="https://samsung.com/uk/offer/test-campaign-2025-other" xr:uid="{00000000-0004-0000-0200-000004000000}"/>
    <hyperlink ref="D7" r:id="rId6" display="https://samsung.com/uk/offer/test-campaign-2026" xr:uid="{00000000-0004-0000-0200-000005000000}"/>
    <hyperlink ref="D8" r:id="rId7" display="https://samsung.com/uk/offer/test-campaign-2026-other" xr:uid="{00000000-0004-0000-0200-000006000000}"/>
    <hyperlink ref="D10" r:id="rId8" display="https://samsung.com/uk/offer/test-campaign-2026" xr:uid="{00000000-0004-0000-0200-000007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J200"/>
  <sheetViews>
    <sheetView showGridLines="0" zoomScale="85" zoomScaleNormal="85" workbookViewId="0">
      <pane ySplit="4" topLeftCell="A5" activePane="bottomLeft" state="frozen"/>
      <selection pane="bottomLeft"/>
    </sheetView>
  </sheetViews>
  <sheetFormatPr defaultRowHeight="13.5"/>
  <cols>
    <col min="1" max="1" width="2.625" style="87" customWidth="1"/>
    <col min="2" max="2" width="9" style="87"/>
    <col min="3" max="4" width="11.625" style="87" bestFit="1" customWidth="1"/>
    <col min="5" max="5" width="5.625" style="88" bestFit="1" customWidth="1"/>
    <col min="6" max="8" width="11.625" style="87" bestFit="1" customWidth="1"/>
    <col min="9" max="9" width="5.25" style="88" bestFit="1" customWidth="1"/>
    <col min="10" max="10" width="9" style="87"/>
    <col min="11" max="12" width="11.625" style="87" bestFit="1" customWidth="1"/>
    <col min="13" max="13" width="5.625" style="88" bestFit="1" customWidth="1"/>
    <col min="14" max="14" width="13.625" style="87" customWidth="1"/>
    <col min="15" max="15" width="5.625" style="88" bestFit="1" customWidth="1"/>
    <col min="16" max="16" width="2.625" style="87" customWidth="1"/>
    <col min="17" max="17" width="8.75" style="87" bestFit="1" customWidth="1"/>
    <col min="18" max="19" width="11.625" style="87" bestFit="1" customWidth="1"/>
    <col min="20" max="20" width="5.625" style="87" bestFit="1" customWidth="1"/>
    <col min="21" max="21" width="14.125" style="87" bestFit="1" customWidth="1"/>
    <col min="22" max="22" width="2.625" style="87" customWidth="1"/>
    <col min="23" max="23" width="8.25" style="87" bestFit="1" customWidth="1"/>
    <col min="24" max="25" width="10.25" style="87" bestFit="1" customWidth="1"/>
    <col min="26" max="26" width="5.125" style="87" bestFit="1" customWidth="1"/>
    <col min="27" max="27" width="8.25" style="87" bestFit="1" customWidth="1"/>
    <col min="28" max="29" width="10.25" style="87" bestFit="1" customWidth="1"/>
    <col min="30" max="30" width="5.125" style="87" bestFit="1" customWidth="1"/>
    <col min="31" max="31" width="8.25" style="87" bestFit="1" customWidth="1"/>
    <col min="32" max="33" width="10.25" style="87" bestFit="1" customWidth="1"/>
    <col min="34" max="34" width="5.125" style="87" bestFit="1" customWidth="1"/>
    <col min="35" max="35" width="12.625" style="87" customWidth="1"/>
    <col min="36" max="36" width="5.125" style="87" bestFit="1" customWidth="1"/>
    <col min="37" max="16384" width="9" style="87"/>
  </cols>
  <sheetData>
    <row r="1" spans="2:36">
      <c r="D1" s="160" t="s">
        <v>47</v>
      </c>
      <c r="F1" s="95" t="str" cm="1">
        <f t="array" ref="F1">"*수기제거site: "&amp;IFERROR(_xlfn.TEXTJOIN(", ",1,_xlfn._xlws.FILTER(MASTER!G5:G200,MASTER!J5:J200="O")),"없음")</f>
        <v>*수기제거site: be_fr, hk_en</v>
      </c>
      <c r="R1" s="54" t="s">
        <v>0</v>
      </c>
      <c r="S1" s="53"/>
    </row>
    <row r="2" spans="2:36" ht="16.5">
      <c r="B2" s="136" t="s">
        <v>283</v>
      </c>
      <c r="C2" s="129"/>
      <c r="D2" s="169">
        <v>46082</v>
      </c>
      <c r="E2" s="130"/>
      <c r="F2" s="129"/>
      <c r="G2" s="129"/>
      <c r="H2" s="129"/>
      <c r="I2" s="131"/>
      <c r="J2" s="129"/>
      <c r="K2" s="132" t="s">
        <v>48</v>
      </c>
      <c r="L2" s="129"/>
      <c r="M2" s="131"/>
      <c r="N2" s="129"/>
      <c r="O2" s="131"/>
      <c r="Q2" s="136" t="s">
        <v>287</v>
      </c>
      <c r="R2" s="129"/>
      <c r="S2" s="129"/>
      <c r="T2" s="129"/>
      <c r="U2" s="129"/>
      <c r="W2" s="136" t="s">
        <v>284</v>
      </c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</row>
    <row r="3" spans="2:36">
      <c r="C3" s="160" t="s">
        <v>2</v>
      </c>
      <c r="D3" s="160" t="s">
        <v>2</v>
      </c>
      <c r="G3" s="160" t="s">
        <v>49</v>
      </c>
      <c r="H3" s="160" t="s">
        <v>49</v>
      </c>
      <c r="I3" s="161"/>
      <c r="J3" s="160"/>
      <c r="K3" s="160" t="s">
        <v>4</v>
      </c>
      <c r="L3" s="160" t="s">
        <v>4</v>
      </c>
      <c r="M3" s="161"/>
      <c r="N3" s="160" t="s">
        <v>4</v>
      </c>
      <c r="Q3" s="95" t="s">
        <v>285</v>
      </c>
      <c r="X3" s="160" t="s">
        <v>2</v>
      </c>
      <c r="Y3" s="160" t="s">
        <v>2</v>
      </c>
      <c r="Z3" s="88"/>
      <c r="AB3" s="160" t="s">
        <v>49</v>
      </c>
      <c r="AC3" s="160" t="s">
        <v>49</v>
      </c>
      <c r="AD3" s="161"/>
      <c r="AE3" s="160"/>
      <c r="AF3" s="160" t="s">
        <v>4</v>
      </c>
      <c r="AG3" s="160" t="s">
        <v>4</v>
      </c>
      <c r="AH3" s="161"/>
      <c r="AI3" s="160" t="s">
        <v>4</v>
      </c>
    </row>
    <row r="4" spans="2:36" s="166" customFormat="1" ht="32.1" customHeight="1" thickBot="1">
      <c r="B4" s="162" t="s">
        <v>302</v>
      </c>
      <c r="C4" s="163" t="s">
        <v>303</v>
      </c>
      <c r="D4" s="163" t="s">
        <v>304</v>
      </c>
      <c r="E4" s="164" t="s">
        <v>306</v>
      </c>
      <c r="F4" s="162" t="s">
        <v>302</v>
      </c>
      <c r="G4" s="163" t="s">
        <v>303</v>
      </c>
      <c r="H4" s="163" t="s">
        <v>304</v>
      </c>
      <c r="I4" s="164" t="s">
        <v>306</v>
      </c>
      <c r="J4" s="162" t="s">
        <v>302</v>
      </c>
      <c r="K4" s="163" t="s">
        <v>303</v>
      </c>
      <c r="L4" s="163" t="s">
        <v>304</v>
      </c>
      <c r="M4" s="164" t="s">
        <v>306</v>
      </c>
      <c r="N4" s="162" t="s">
        <v>305</v>
      </c>
      <c r="O4" s="165" t="s">
        <v>306</v>
      </c>
      <c r="Q4" s="162" t="s">
        <v>302</v>
      </c>
      <c r="R4" s="163" t="s">
        <v>303</v>
      </c>
      <c r="S4" s="163" t="s">
        <v>304</v>
      </c>
      <c r="T4" s="165" t="s">
        <v>306</v>
      </c>
      <c r="U4" s="167" t="s">
        <v>286</v>
      </c>
      <c r="V4" s="168"/>
      <c r="W4" s="162" t="s">
        <v>302</v>
      </c>
      <c r="X4" s="163" t="s">
        <v>303</v>
      </c>
      <c r="Y4" s="163" t="s">
        <v>304</v>
      </c>
      <c r="Z4" s="164" t="s">
        <v>306</v>
      </c>
      <c r="AA4" s="162" t="s">
        <v>302</v>
      </c>
      <c r="AB4" s="163" t="s">
        <v>303</v>
      </c>
      <c r="AC4" s="163" t="s">
        <v>304</v>
      </c>
      <c r="AD4" s="165" t="s">
        <v>306</v>
      </c>
      <c r="AE4" s="163" t="s">
        <v>302</v>
      </c>
      <c r="AF4" s="163" t="s">
        <v>303</v>
      </c>
      <c r="AG4" s="163" t="s">
        <v>304</v>
      </c>
      <c r="AH4" s="164" t="s">
        <v>306</v>
      </c>
      <c r="AI4" s="162" t="s">
        <v>305</v>
      </c>
      <c r="AJ4" s="165" t="s">
        <v>306</v>
      </c>
    </row>
    <row r="5" spans="2:36" ht="14.25" thickTop="1">
      <c r="B5" s="89" t="str" cm="1">
        <f t="array" ref="B5:D44">_xlfn._xlws.FILTER(_xlfn._xlws.FILTER(MASTER!AB5:AE201,MASTER!AE5:AE201&lt;&gt;""),{1,1,0,1})</f>
        <v>br</v>
      </c>
      <c r="C5" s="49">
        <v>46042</v>
      </c>
      <c r="D5" s="49">
        <v>46063</v>
      </c>
      <c r="E5" s="90">
        <f t="shared" ref="E5:E36" si="0">IF(C5="","",D5-C5+1)</f>
        <v>22</v>
      </c>
      <c r="F5" s="91" t="str">
        <f t="array" ref="F5:F200">B5:B200&amp;""</f>
        <v>br</v>
      </c>
      <c r="G5" s="92">
        <f t="shared" ref="G5:G36" si="1">IF(B5="","",C5-(D5-C5+1))</f>
        <v>46020</v>
      </c>
      <c r="H5" s="92">
        <f t="shared" ref="H5:H36" si="2">IF(B5="","",C5-1)</f>
        <v>46041</v>
      </c>
      <c r="I5" s="90">
        <f t="shared" ref="I5:I36" si="3">IF(G5="","",H5-G5+1)</f>
        <v>22</v>
      </c>
      <c r="J5" s="91" t="str">
        <f t="array" ref="J5:J200">F5:F200&amp;""</f>
        <v>br</v>
      </c>
      <c r="K5" s="92">
        <f>IF($J5="","",
IF(VLOOKUP($J5,MASTER!$G$5:$L$201,5,0)="",DATE(YEAR(G5)-1,MONTH(G5),DAY(G5)),
VLOOKUP($J5,MASTER!$G$5:$L$201,5,0)))</f>
        <v>45655</v>
      </c>
      <c r="L5" s="92">
        <f t="shared" ref="L5:L36" si="4">IF($J5="","",IF(O5&lt;&gt;I5,K5+(H5-G5),N5))</f>
        <v>45676</v>
      </c>
      <c r="M5" s="90">
        <f t="shared" ref="M5:M36" si="5">IF(K5="","",L5-K5+1)</f>
        <v>22</v>
      </c>
      <c r="N5" s="93">
        <f>IF($J5="","",
IF(VLOOKUP($J5,MASTER!$G$5:$L$201,6,0)="",DATE(YEAR(H5)-1,MONTH(H5),DAY(H5)),
VLOOKUP($J5,MASTER!$G$5:$L$201,6,0)))</f>
        <v>45676</v>
      </c>
      <c r="O5" s="96">
        <f t="shared" ref="O5:O36" si="6">IF(K5="","",N5-K5+1)</f>
        <v>22</v>
      </c>
      <c r="Q5" s="91" t="s">
        <v>28</v>
      </c>
      <c r="R5" s="92">
        <v>46073</v>
      </c>
      <c r="S5" s="92">
        <v>44988</v>
      </c>
      <c r="T5" s="96">
        <v>21</v>
      </c>
      <c r="U5" s="99" t="str" cm="1">
        <f t="array" ref="U5">IF(IFERROR(_xlfn._xlws.FILTER($D$5:$D$999,$B$5:$B$999=$Q5),"")&lt;=$S5,"마감","필요")</f>
        <v>필요</v>
      </c>
      <c r="V5" s="97"/>
      <c r="W5" s="89" t="str" cm="1">
        <f t="array" ref="W5:AJ46">_xlfn._xlws.FILTER(B5:O999,U5:U999="필요")</f>
        <v>br</v>
      </c>
      <c r="X5" s="49">
        <v>46042</v>
      </c>
      <c r="Y5" s="49">
        <v>46063</v>
      </c>
      <c r="Z5" s="90">
        <v>22</v>
      </c>
      <c r="AA5" s="91" t="str">
        <v>br</v>
      </c>
      <c r="AB5" s="92">
        <v>46020</v>
      </c>
      <c r="AC5" s="92">
        <v>46041</v>
      </c>
      <c r="AD5" s="90">
        <v>22</v>
      </c>
      <c r="AE5" s="91" t="str">
        <v>br</v>
      </c>
      <c r="AF5" s="92">
        <v>45655</v>
      </c>
      <c r="AG5" s="92">
        <v>45676</v>
      </c>
      <c r="AH5" s="90">
        <v>22</v>
      </c>
      <c r="AI5" s="93">
        <v>45676</v>
      </c>
      <c r="AJ5" s="96">
        <v>22</v>
      </c>
    </row>
    <row r="6" spans="2:36">
      <c r="B6" s="89" t="str">
        <v>cn</v>
      </c>
      <c r="C6" s="49">
        <v>46054</v>
      </c>
      <c r="D6" s="49">
        <v>46063</v>
      </c>
      <c r="E6" s="90">
        <f t="shared" si="0"/>
        <v>10</v>
      </c>
      <c r="F6" s="94" t="str">
        <v>cn</v>
      </c>
      <c r="G6" s="92">
        <f t="shared" si="1"/>
        <v>46044</v>
      </c>
      <c r="H6" s="92">
        <f t="shared" si="2"/>
        <v>46053</v>
      </c>
      <c r="I6" s="90">
        <f t="shared" si="3"/>
        <v>10</v>
      </c>
      <c r="J6" s="94" t="str">
        <v>cn</v>
      </c>
      <c r="K6" s="92">
        <f>IF($J6="","",
IF(VLOOKUP($J6,MASTER!$G$5:$L$201,5,0)="",DATE(YEAR(G6)-1,MONTH(G6),DAY(G6)),
VLOOKUP($J6,MASTER!$G$5:$L$201,5,0)))</f>
        <v>45679</v>
      </c>
      <c r="L6" s="92">
        <f t="shared" si="4"/>
        <v>45688</v>
      </c>
      <c r="M6" s="90">
        <f t="shared" si="5"/>
        <v>10</v>
      </c>
      <c r="N6" s="93">
        <f>IF($J6="","",
IF(VLOOKUP($J6,MASTER!$G$5:$L$201,6,0)="",DATE(YEAR(H6)-1,MONTH(H6),DAY(H6)),
VLOOKUP($J6,MASTER!$G$5:$L$201,6,0)))</f>
        <v>45688</v>
      </c>
      <c r="O6" s="96">
        <f t="shared" si="6"/>
        <v>10</v>
      </c>
      <c r="Q6" s="91" t="s">
        <v>23</v>
      </c>
      <c r="R6" s="92">
        <v>46174</v>
      </c>
      <c r="S6" s="92">
        <v>44988</v>
      </c>
      <c r="T6" s="96">
        <v>10</v>
      </c>
      <c r="U6" s="99" t="str" cm="1">
        <f t="array" ref="U6">IF(IFERROR(_xlfn._xlws.FILTER($D$5:$D$999,$B$5:$B$999=$Q6),"")&lt;=$S6,"마감","필요")</f>
        <v>필요</v>
      </c>
      <c r="V6" s="97"/>
      <c r="W6" s="89" t="str">
        <v>cn</v>
      </c>
      <c r="X6" s="49">
        <v>46054</v>
      </c>
      <c r="Y6" s="49">
        <v>46063</v>
      </c>
      <c r="Z6" s="90">
        <v>10</v>
      </c>
      <c r="AA6" s="94" t="str">
        <v>cn</v>
      </c>
      <c r="AB6" s="92">
        <v>46044</v>
      </c>
      <c r="AC6" s="92">
        <v>46053</v>
      </c>
      <c r="AD6" s="90">
        <v>10</v>
      </c>
      <c r="AE6" s="94" t="str">
        <v>cn</v>
      </c>
      <c r="AF6" s="92">
        <v>45679</v>
      </c>
      <c r="AG6" s="92">
        <v>45688</v>
      </c>
      <c r="AH6" s="90">
        <v>10</v>
      </c>
      <c r="AI6" s="93">
        <v>45688</v>
      </c>
      <c r="AJ6" s="96">
        <v>10</v>
      </c>
    </row>
    <row r="7" spans="2:36">
      <c r="B7" s="89" t="str">
        <v>fr</v>
      </c>
      <c r="C7" s="49">
        <v>46071</v>
      </c>
      <c r="D7" s="49">
        <v>46081</v>
      </c>
      <c r="E7" s="90">
        <f t="shared" si="0"/>
        <v>11</v>
      </c>
      <c r="F7" s="91" t="str">
        <v>fr</v>
      </c>
      <c r="G7" s="92">
        <f t="shared" si="1"/>
        <v>46060</v>
      </c>
      <c r="H7" s="92">
        <f t="shared" si="2"/>
        <v>46070</v>
      </c>
      <c r="I7" s="90">
        <f t="shared" si="3"/>
        <v>11</v>
      </c>
      <c r="J7" s="94" t="str">
        <v>fr</v>
      </c>
      <c r="K7" s="92">
        <f>IF($J7="","",
IF(VLOOKUP($J7,MASTER!$G$5:$L$201,5,0)="",DATE(YEAR(G7)-1,MONTH(G7),DAY(G7)),
VLOOKUP($J7,MASTER!$G$5:$L$201,5,0)))</f>
        <v>45795</v>
      </c>
      <c r="L7" s="92">
        <f t="shared" si="4"/>
        <v>45805</v>
      </c>
      <c r="M7" s="90">
        <f t="shared" si="5"/>
        <v>11</v>
      </c>
      <c r="N7" s="93">
        <f>IF($J7="","",
IF(VLOOKUP($J7,MASTER!$G$5:$L$201,6,0)="",DATE(YEAR(H7)-1,MONTH(H7),DAY(H7)),
VLOOKUP($J7,MASTER!$G$5:$L$201,6,0)))</f>
        <v>45808</v>
      </c>
      <c r="O7" s="96">
        <f t="shared" si="6"/>
        <v>14</v>
      </c>
      <c r="Q7" s="91" t="s">
        <v>24</v>
      </c>
      <c r="R7" s="92">
        <v>46062</v>
      </c>
      <c r="S7" s="92">
        <v>44988</v>
      </c>
      <c r="T7" s="96">
        <v>32</v>
      </c>
      <c r="U7" s="99" t="str" cm="1">
        <f t="array" ref="U7">IF(IFERROR(_xlfn._xlws.FILTER($D$5:$D$999,$B$5:$B$999=$Q7),"")&lt;=$S7,"마감","필요")</f>
        <v>필요</v>
      </c>
      <c r="V7" s="97"/>
      <c r="W7" s="89" t="str">
        <v>fr</v>
      </c>
      <c r="X7" s="49">
        <v>46071</v>
      </c>
      <c r="Y7" s="49">
        <v>46081</v>
      </c>
      <c r="Z7" s="90">
        <v>11</v>
      </c>
      <c r="AA7" s="91" t="str">
        <v>fr</v>
      </c>
      <c r="AB7" s="92">
        <v>46060</v>
      </c>
      <c r="AC7" s="92">
        <v>46070</v>
      </c>
      <c r="AD7" s="90">
        <v>11</v>
      </c>
      <c r="AE7" s="94" t="str">
        <v>fr</v>
      </c>
      <c r="AF7" s="92">
        <v>45795</v>
      </c>
      <c r="AG7" s="92">
        <v>45805</v>
      </c>
      <c r="AH7" s="90">
        <v>11</v>
      </c>
      <c r="AI7" s="93">
        <v>45808</v>
      </c>
      <c r="AJ7" s="96">
        <v>14</v>
      </c>
    </row>
    <row r="8" spans="2:36">
      <c r="B8" s="89" t="str">
        <v>mx</v>
      </c>
      <c r="C8" s="49">
        <v>46042</v>
      </c>
      <c r="D8" s="49">
        <v>46063</v>
      </c>
      <c r="E8" s="90">
        <f t="shared" si="0"/>
        <v>22</v>
      </c>
      <c r="F8" s="91" t="str">
        <v>mx</v>
      </c>
      <c r="G8" s="92">
        <f t="shared" si="1"/>
        <v>46020</v>
      </c>
      <c r="H8" s="92">
        <f t="shared" si="2"/>
        <v>46041</v>
      </c>
      <c r="I8" s="90">
        <f t="shared" si="3"/>
        <v>22</v>
      </c>
      <c r="J8" s="94" t="str">
        <v>mx</v>
      </c>
      <c r="K8" s="92">
        <f>IF($J8="","",
IF(VLOOKUP($J8,MASTER!$G$5:$L$201,5,0)="",DATE(YEAR(G8)-1,MONTH(G8),DAY(G8)),
VLOOKUP($J8,MASTER!$G$5:$L$201,5,0)))</f>
        <v>45767</v>
      </c>
      <c r="L8" s="92">
        <f t="shared" si="4"/>
        <v>45788</v>
      </c>
      <c r="M8" s="90">
        <f t="shared" si="5"/>
        <v>22</v>
      </c>
      <c r="N8" s="93">
        <f>IF($J8="","",
IF(VLOOKUP($J8,MASTER!$G$5:$L$201,6,0)="",DATE(YEAR(H8)-1,MONTH(H8),DAY(H8)),
VLOOKUP($J8,MASTER!$G$5:$L$201,6,0)))</f>
        <v>45790</v>
      </c>
      <c r="O8" s="96">
        <f t="shared" si="6"/>
        <v>24</v>
      </c>
      <c r="Q8" s="91" t="s">
        <v>25</v>
      </c>
      <c r="R8" s="92">
        <v>46073</v>
      </c>
      <c r="S8" s="92">
        <v>44988</v>
      </c>
      <c r="T8" s="96">
        <v>14</v>
      </c>
      <c r="U8" s="99" t="str" cm="1">
        <f t="array" ref="U8">IF(IFERROR(_xlfn._xlws.FILTER($D$5:$D$999,$B$5:$B$999=$Q8),"")&lt;=$S8,"마감","필요")</f>
        <v>필요</v>
      </c>
      <c r="V8" s="97"/>
      <c r="W8" s="89" t="str">
        <v>mx</v>
      </c>
      <c r="X8" s="49">
        <v>46042</v>
      </c>
      <c r="Y8" s="49">
        <v>46063</v>
      </c>
      <c r="Z8" s="90">
        <v>22</v>
      </c>
      <c r="AA8" s="91" t="str">
        <v>mx</v>
      </c>
      <c r="AB8" s="92">
        <v>46020</v>
      </c>
      <c r="AC8" s="92">
        <v>46041</v>
      </c>
      <c r="AD8" s="90">
        <v>22</v>
      </c>
      <c r="AE8" s="94" t="str">
        <v>mx</v>
      </c>
      <c r="AF8" s="92">
        <v>45767</v>
      </c>
      <c r="AG8" s="92">
        <v>45788</v>
      </c>
      <c r="AH8" s="90">
        <v>22</v>
      </c>
      <c r="AI8" s="93">
        <v>45790</v>
      </c>
      <c r="AJ8" s="96">
        <v>24</v>
      </c>
    </row>
    <row r="9" spans="2:36">
      <c r="B9" s="89" t="str">
        <v>tr</v>
      </c>
      <c r="C9" s="49">
        <v>46054</v>
      </c>
      <c r="D9" s="49">
        <v>46063</v>
      </c>
      <c r="E9" s="90">
        <f t="shared" si="0"/>
        <v>10</v>
      </c>
      <c r="F9" s="91" t="str">
        <v>tr</v>
      </c>
      <c r="G9" s="92">
        <f t="shared" si="1"/>
        <v>46044</v>
      </c>
      <c r="H9" s="92">
        <f t="shared" si="2"/>
        <v>46053</v>
      </c>
      <c r="I9" s="90">
        <f t="shared" si="3"/>
        <v>10</v>
      </c>
      <c r="J9" s="94" t="str">
        <v>tr</v>
      </c>
      <c r="K9" s="92">
        <f>IF($J9="","",
IF(VLOOKUP($J9,MASTER!$G$5:$L$201,5,0)="",DATE(YEAR(G9)-1,MONTH(G9),DAY(G9)),
VLOOKUP($J9,MASTER!$G$5:$L$201,5,0)))</f>
        <v>45778</v>
      </c>
      <c r="L9" s="92">
        <f t="shared" si="4"/>
        <v>45787</v>
      </c>
      <c r="M9" s="90">
        <f t="shared" si="5"/>
        <v>10</v>
      </c>
      <c r="N9" s="93">
        <f>IF($J9="","",
IF(VLOOKUP($J9,MASTER!$G$5:$L$201,6,0)="",DATE(YEAR(H9)-1,MONTH(H9),DAY(H9)),
VLOOKUP($J9,MASTER!$G$5:$L$201,6,0)))</f>
        <v>45787</v>
      </c>
      <c r="O9" s="96">
        <f t="shared" si="6"/>
        <v>10</v>
      </c>
      <c r="Q9" s="91" t="s">
        <v>29</v>
      </c>
      <c r="R9" s="92">
        <v>46073</v>
      </c>
      <c r="S9" s="92">
        <v>44988</v>
      </c>
      <c r="T9" s="96">
        <v>21</v>
      </c>
      <c r="U9" s="99" t="str" cm="1">
        <f t="array" ref="U9">IF(IFERROR(_xlfn._xlws.FILTER($D$5:$D$999,$B$5:$B$999=$Q9),"")&lt;=$S9,"마감","필요")</f>
        <v>필요</v>
      </c>
      <c r="V9" s="97"/>
      <c r="W9" s="89" t="str">
        <v>tr</v>
      </c>
      <c r="X9" s="49">
        <v>46054</v>
      </c>
      <c r="Y9" s="49">
        <v>46063</v>
      </c>
      <c r="Z9" s="90">
        <v>10</v>
      </c>
      <c r="AA9" s="91" t="str">
        <v>tr</v>
      </c>
      <c r="AB9" s="92">
        <v>46044</v>
      </c>
      <c r="AC9" s="92">
        <v>46053</v>
      </c>
      <c r="AD9" s="90">
        <v>10</v>
      </c>
      <c r="AE9" s="94" t="str">
        <v>tr</v>
      </c>
      <c r="AF9" s="92">
        <v>45778</v>
      </c>
      <c r="AG9" s="92">
        <v>45787</v>
      </c>
      <c r="AH9" s="90">
        <v>10</v>
      </c>
      <c r="AI9" s="93">
        <v>45787</v>
      </c>
      <c r="AJ9" s="96">
        <v>10</v>
      </c>
    </row>
    <row r="10" spans="2:36">
      <c r="B10" s="89" t="str">
        <v>us</v>
      </c>
      <c r="C10" s="49">
        <v>46042</v>
      </c>
      <c r="D10" s="49">
        <v>46063</v>
      </c>
      <c r="E10" s="90">
        <f t="shared" si="0"/>
        <v>22</v>
      </c>
      <c r="F10" s="91" t="str">
        <v>us</v>
      </c>
      <c r="G10" s="92">
        <f t="shared" si="1"/>
        <v>46020</v>
      </c>
      <c r="H10" s="92">
        <f t="shared" si="2"/>
        <v>46041</v>
      </c>
      <c r="I10" s="90">
        <f t="shared" si="3"/>
        <v>22</v>
      </c>
      <c r="J10" s="94" t="str">
        <v>us</v>
      </c>
      <c r="K10" s="92">
        <f>IF($J10="","",
IF(VLOOKUP($J10,MASTER!$G$5:$L$201,5,0)="",DATE(YEAR(G10)-1,MONTH(G10),DAY(G10)),
VLOOKUP($J10,MASTER!$G$5:$L$201,5,0)))</f>
        <v>45767</v>
      </c>
      <c r="L10" s="92">
        <f t="shared" si="4"/>
        <v>45788</v>
      </c>
      <c r="M10" s="90">
        <f t="shared" si="5"/>
        <v>22</v>
      </c>
      <c r="N10" s="93">
        <f>IF($J10="","",
IF(VLOOKUP($J10,MASTER!$G$5:$L$201,6,0)="",DATE(YEAR(H10)-1,MONTH(H10),DAY(H10)),
VLOOKUP($J10,MASTER!$G$5:$L$201,6,0)))</f>
        <v>45787</v>
      </c>
      <c r="O10" s="96">
        <f t="shared" si="6"/>
        <v>21</v>
      </c>
      <c r="Q10" s="91" t="s">
        <v>30</v>
      </c>
      <c r="R10" s="92">
        <v>46174</v>
      </c>
      <c r="S10" s="92">
        <v>44988</v>
      </c>
      <c r="T10" s="96">
        <v>10</v>
      </c>
      <c r="U10" s="99" t="str" cm="1">
        <f t="array" ref="U10">IF(IFERROR(_xlfn._xlws.FILTER($D$5:$D$999,$B$5:$B$999=$Q10),"")&lt;=$S10,"마감","필요")</f>
        <v>필요</v>
      </c>
      <c r="V10" s="97"/>
      <c r="W10" s="89" t="str">
        <v>us</v>
      </c>
      <c r="X10" s="49">
        <v>46042</v>
      </c>
      <c r="Y10" s="49">
        <v>46063</v>
      </c>
      <c r="Z10" s="90">
        <v>22</v>
      </c>
      <c r="AA10" s="91" t="str">
        <v>us</v>
      </c>
      <c r="AB10" s="92">
        <v>46020</v>
      </c>
      <c r="AC10" s="92">
        <v>46041</v>
      </c>
      <c r="AD10" s="90">
        <v>22</v>
      </c>
      <c r="AE10" s="94" t="str">
        <v>us</v>
      </c>
      <c r="AF10" s="92">
        <v>45767</v>
      </c>
      <c r="AG10" s="92">
        <v>45788</v>
      </c>
      <c r="AH10" s="90">
        <v>22</v>
      </c>
      <c r="AI10" s="93">
        <v>45787</v>
      </c>
      <c r="AJ10" s="96">
        <v>21</v>
      </c>
    </row>
    <row r="11" spans="2:36">
      <c r="B11" s="89" t="str">
        <v>at</v>
      </c>
      <c r="C11" s="49">
        <v>46042</v>
      </c>
      <c r="D11" s="49">
        <v>46064</v>
      </c>
      <c r="E11" s="90">
        <f t="shared" si="0"/>
        <v>23</v>
      </c>
      <c r="F11" s="91" t="str">
        <v>at</v>
      </c>
      <c r="G11" s="92">
        <f t="shared" si="1"/>
        <v>46019</v>
      </c>
      <c r="H11" s="92">
        <f t="shared" si="2"/>
        <v>46041</v>
      </c>
      <c r="I11" s="90">
        <f t="shared" si="3"/>
        <v>23</v>
      </c>
      <c r="J11" s="94" t="str">
        <v>at</v>
      </c>
      <c r="K11" s="92">
        <f>IF($J11="","",
IF(VLOOKUP($J11,MASTER!$G$5:$L$201,5,0)="",DATE(YEAR(G11)-1,MONTH(G11),DAY(G11)),
VLOOKUP($J11,MASTER!$G$5:$L$201,5,0)))</f>
        <v>45767</v>
      </c>
      <c r="L11" s="92">
        <f t="shared" si="4"/>
        <v>45789</v>
      </c>
      <c r="M11" s="90">
        <f t="shared" si="5"/>
        <v>23</v>
      </c>
      <c r="N11" s="93">
        <f>IF($J11="","",
IF(VLOOKUP($J11,MASTER!$G$5:$L$201,6,0)="",DATE(YEAR(H11)-1,MONTH(H11),DAY(H11)),
VLOOKUP($J11,MASTER!$G$5:$L$201,6,0)))</f>
        <v>45788</v>
      </c>
      <c r="O11" s="96">
        <f t="shared" si="6"/>
        <v>22</v>
      </c>
      <c r="Q11" s="91" t="s">
        <v>31</v>
      </c>
      <c r="R11" s="92">
        <v>46073</v>
      </c>
      <c r="S11" s="92">
        <v>44988</v>
      </c>
      <c r="T11" s="96">
        <v>21</v>
      </c>
      <c r="U11" s="99" t="str" cm="1">
        <f t="array" ref="U11">IF(IFERROR(_xlfn._xlws.FILTER($D$5:$D$999,$B$5:$B$999=$Q11),"")&lt;=$S11,"마감","필요")</f>
        <v>필요</v>
      </c>
      <c r="V11" s="97"/>
      <c r="W11" s="89" t="str">
        <v>at</v>
      </c>
      <c r="X11" s="49">
        <v>46042</v>
      </c>
      <c r="Y11" s="49">
        <v>46064</v>
      </c>
      <c r="Z11" s="90">
        <v>23</v>
      </c>
      <c r="AA11" s="91" t="str">
        <v>at</v>
      </c>
      <c r="AB11" s="92">
        <v>46019</v>
      </c>
      <c r="AC11" s="92">
        <v>46041</v>
      </c>
      <c r="AD11" s="90">
        <v>23</v>
      </c>
      <c r="AE11" s="94" t="str">
        <v>at</v>
      </c>
      <c r="AF11" s="92">
        <v>45767</v>
      </c>
      <c r="AG11" s="92">
        <v>45789</v>
      </c>
      <c r="AH11" s="90">
        <v>23</v>
      </c>
      <c r="AI11" s="93">
        <v>45788</v>
      </c>
      <c r="AJ11" s="96">
        <v>22</v>
      </c>
    </row>
    <row r="12" spans="2:36">
      <c r="B12" s="89" t="str">
        <v>au</v>
      </c>
      <c r="C12" s="49">
        <v>46046</v>
      </c>
      <c r="D12" s="49">
        <v>46067</v>
      </c>
      <c r="E12" s="90">
        <f t="shared" si="0"/>
        <v>22</v>
      </c>
      <c r="F12" s="91" t="str">
        <v>au</v>
      </c>
      <c r="G12" s="92">
        <f t="shared" si="1"/>
        <v>46024</v>
      </c>
      <c r="H12" s="92">
        <f t="shared" si="2"/>
        <v>46045</v>
      </c>
      <c r="I12" s="90">
        <f t="shared" si="3"/>
        <v>22</v>
      </c>
      <c r="J12" s="94" t="str">
        <v>au</v>
      </c>
      <c r="K12" s="92">
        <f>IF($J12="","",
IF(VLOOKUP($J12,MASTER!$G$5:$L$201,5,0)="",DATE(YEAR(G12)-1,MONTH(G12),DAY(G12)),
VLOOKUP($J12,MASTER!$G$5:$L$201,5,0)))</f>
        <v>45770</v>
      </c>
      <c r="L12" s="92">
        <f t="shared" si="4"/>
        <v>45791</v>
      </c>
      <c r="M12" s="90">
        <f t="shared" si="5"/>
        <v>22</v>
      </c>
      <c r="N12" s="93">
        <f>IF($J12="","",
IF(VLOOKUP($J12,MASTER!$G$5:$L$201,6,0)="",DATE(YEAR(H12)-1,MONTH(H12),DAY(H12)),
VLOOKUP($J12,MASTER!$G$5:$L$201,6,0)))</f>
        <v>45790</v>
      </c>
      <c r="O12" s="96">
        <f t="shared" si="6"/>
        <v>21</v>
      </c>
      <c r="Q12" s="91" t="s">
        <v>101</v>
      </c>
      <c r="R12" s="92">
        <v>46073</v>
      </c>
      <c r="S12" s="92">
        <v>44988</v>
      </c>
      <c r="T12" s="96">
        <v>21</v>
      </c>
      <c r="U12" s="99" t="str" cm="1">
        <f t="array" ref="U12">IF(IFERROR(_xlfn._xlws.FILTER($D$5:$D$999,$B$5:$B$999=$Q12),"")&lt;=$S12,"마감","필요")</f>
        <v>필요</v>
      </c>
      <c r="V12" s="97"/>
      <c r="W12" s="89" t="str">
        <v>au</v>
      </c>
      <c r="X12" s="49">
        <v>46046</v>
      </c>
      <c r="Y12" s="49">
        <v>46067</v>
      </c>
      <c r="Z12" s="90">
        <v>22</v>
      </c>
      <c r="AA12" s="91" t="str">
        <v>au</v>
      </c>
      <c r="AB12" s="92">
        <v>46024</v>
      </c>
      <c r="AC12" s="92">
        <v>46045</v>
      </c>
      <c r="AD12" s="90">
        <v>22</v>
      </c>
      <c r="AE12" s="94" t="str">
        <v>au</v>
      </c>
      <c r="AF12" s="92">
        <v>45770</v>
      </c>
      <c r="AG12" s="92">
        <v>45791</v>
      </c>
      <c r="AH12" s="90">
        <v>22</v>
      </c>
      <c r="AI12" s="93">
        <v>45790</v>
      </c>
      <c r="AJ12" s="96">
        <v>21</v>
      </c>
    </row>
    <row r="13" spans="2:36">
      <c r="B13" s="89" t="str">
        <v>bd</v>
      </c>
      <c r="C13" s="49">
        <v>46038</v>
      </c>
      <c r="D13" s="49">
        <v>46044</v>
      </c>
      <c r="E13" s="90">
        <f t="shared" si="0"/>
        <v>7</v>
      </c>
      <c r="F13" s="91" t="str">
        <v>bd</v>
      </c>
      <c r="G13" s="92">
        <f t="shared" si="1"/>
        <v>46031</v>
      </c>
      <c r="H13" s="92">
        <f t="shared" si="2"/>
        <v>46037</v>
      </c>
      <c r="I13" s="90">
        <f t="shared" si="3"/>
        <v>7</v>
      </c>
      <c r="J13" s="94" t="str">
        <v>bd</v>
      </c>
      <c r="K13" s="92">
        <f>IF($J13="","",
IF(VLOOKUP($J13,MASTER!$G$5:$L$201,5,0)="",DATE(YEAR(G13)-1,MONTH(G13),DAY(G13)),
VLOOKUP($J13,MASTER!$G$5:$L$201,5,0)))</f>
        <v>45764</v>
      </c>
      <c r="L13" s="92">
        <f t="shared" si="4"/>
        <v>45770</v>
      </c>
      <c r="M13" s="90">
        <f t="shared" si="5"/>
        <v>7</v>
      </c>
      <c r="N13" s="93">
        <f>IF($J13="","",
IF(VLOOKUP($J13,MASTER!$G$5:$L$201,6,0)="",DATE(YEAR(H13)-1,MONTH(H13),DAY(H13)),
VLOOKUP($J13,MASTER!$G$5:$L$201,6,0)))</f>
        <v>45775</v>
      </c>
      <c r="O13" s="96">
        <f t="shared" si="6"/>
        <v>12</v>
      </c>
      <c r="Q13" s="91" t="s">
        <v>105</v>
      </c>
      <c r="R13" s="92">
        <v>46073</v>
      </c>
      <c r="S13" s="92">
        <v>44988</v>
      </c>
      <c r="T13" s="96">
        <v>21</v>
      </c>
      <c r="U13" s="99" t="str" cm="1">
        <f t="array" ref="U13">IF(IFERROR(_xlfn._xlws.FILTER($D$5:$D$999,$B$5:$B$999=$Q13),"")&lt;=$S13,"마감","필요")</f>
        <v>필요</v>
      </c>
      <c r="V13" s="97"/>
      <c r="W13" s="89" t="str">
        <v>bd</v>
      </c>
      <c r="X13" s="49">
        <v>46038</v>
      </c>
      <c r="Y13" s="49">
        <v>46044</v>
      </c>
      <c r="Z13" s="90">
        <v>7</v>
      </c>
      <c r="AA13" s="91" t="str">
        <v>bd</v>
      </c>
      <c r="AB13" s="92">
        <v>46031</v>
      </c>
      <c r="AC13" s="92">
        <v>46037</v>
      </c>
      <c r="AD13" s="90">
        <v>7</v>
      </c>
      <c r="AE13" s="94" t="str">
        <v>bd</v>
      </c>
      <c r="AF13" s="92">
        <v>45764</v>
      </c>
      <c r="AG13" s="92">
        <v>45770</v>
      </c>
      <c r="AH13" s="90">
        <v>7</v>
      </c>
      <c r="AI13" s="93">
        <v>45775</v>
      </c>
      <c r="AJ13" s="96">
        <v>12</v>
      </c>
    </row>
    <row r="14" spans="2:36">
      <c r="B14" s="89" t="str">
        <v>be</v>
      </c>
      <c r="C14" s="49">
        <v>46050</v>
      </c>
      <c r="D14" s="49">
        <v>46063</v>
      </c>
      <c r="E14" s="90">
        <f t="shared" si="0"/>
        <v>14</v>
      </c>
      <c r="F14" s="91" t="str">
        <v>be</v>
      </c>
      <c r="G14" s="92">
        <f t="shared" si="1"/>
        <v>46036</v>
      </c>
      <c r="H14" s="92">
        <f t="shared" si="2"/>
        <v>46049</v>
      </c>
      <c r="I14" s="90">
        <f t="shared" si="3"/>
        <v>14</v>
      </c>
      <c r="J14" s="94" t="str">
        <v>be</v>
      </c>
      <c r="K14" s="92">
        <f>IF($J14="","",
IF(VLOOKUP($J14,MASTER!$G$5:$L$201,5,0)="",DATE(YEAR(G14)-1,MONTH(G14),DAY(G14)),
VLOOKUP($J14,MASTER!$G$5:$L$201,5,0)))</f>
        <v>45774</v>
      </c>
      <c r="L14" s="92">
        <f t="shared" si="4"/>
        <v>45787</v>
      </c>
      <c r="M14" s="90">
        <f t="shared" si="5"/>
        <v>14</v>
      </c>
      <c r="N14" s="93">
        <f>IF($J14="","",
IF(VLOOKUP($J14,MASTER!$G$5:$L$201,6,0)="",DATE(YEAR(H14)-1,MONTH(H14),DAY(H14)),
VLOOKUP($J14,MASTER!$G$5:$L$201,6,0)))</f>
        <v>45780</v>
      </c>
      <c r="O14" s="96">
        <f t="shared" si="6"/>
        <v>7</v>
      </c>
      <c r="Q14" s="91" t="s">
        <v>114</v>
      </c>
      <c r="R14" s="92">
        <v>46073</v>
      </c>
      <c r="S14" s="92">
        <v>44988</v>
      </c>
      <c r="T14" s="96">
        <v>21</v>
      </c>
      <c r="U14" s="99" t="str" cm="1">
        <f t="array" ref="U14">IF(IFERROR(_xlfn._xlws.FILTER($D$5:$D$999,$B$5:$B$999=$Q14),"")&lt;=$S14,"마감","필요")</f>
        <v>필요</v>
      </c>
      <c r="V14" s="97"/>
      <c r="W14" s="89" t="str">
        <v>be</v>
      </c>
      <c r="X14" s="49">
        <v>46050</v>
      </c>
      <c r="Y14" s="49">
        <v>46063</v>
      </c>
      <c r="Z14" s="90">
        <v>14</v>
      </c>
      <c r="AA14" s="91" t="str">
        <v>be</v>
      </c>
      <c r="AB14" s="92">
        <v>46036</v>
      </c>
      <c r="AC14" s="92">
        <v>46049</v>
      </c>
      <c r="AD14" s="90">
        <v>14</v>
      </c>
      <c r="AE14" s="94" t="str">
        <v>be</v>
      </c>
      <c r="AF14" s="92">
        <v>45774</v>
      </c>
      <c r="AG14" s="92">
        <v>45787</v>
      </c>
      <c r="AH14" s="90">
        <v>14</v>
      </c>
      <c r="AI14" s="93">
        <v>45780</v>
      </c>
      <c r="AJ14" s="96">
        <v>7</v>
      </c>
    </row>
    <row r="15" spans="2:36">
      <c r="B15" s="89" t="str">
        <v>ca</v>
      </c>
      <c r="C15" s="49">
        <v>46043</v>
      </c>
      <c r="D15" s="49">
        <v>46063</v>
      </c>
      <c r="E15" s="90">
        <f t="shared" si="0"/>
        <v>21</v>
      </c>
      <c r="F15" s="91" t="str">
        <v>ca</v>
      </c>
      <c r="G15" s="92">
        <f t="shared" si="1"/>
        <v>46022</v>
      </c>
      <c r="H15" s="92">
        <f t="shared" si="2"/>
        <v>46042</v>
      </c>
      <c r="I15" s="90">
        <f t="shared" si="3"/>
        <v>21</v>
      </c>
      <c r="J15" s="94" t="str">
        <v>ca</v>
      </c>
      <c r="K15" s="92">
        <f>IF($J15="","",
IF(VLOOKUP($J15,MASTER!$G$5:$L$201,5,0)="",DATE(YEAR(G15)-1,MONTH(G15),DAY(G15)),
VLOOKUP($J15,MASTER!$G$5:$L$201,5,0)))</f>
        <v>45657</v>
      </c>
      <c r="L15" s="92">
        <f t="shared" si="4"/>
        <v>45677</v>
      </c>
      <c r="M15" s="90">
        <f t="shared" si="5"/>
        <v>21</v>
      </c>
      <c r="N15" s="93">
        <f>IF($J15="","",
IF(VLOOKUP($J15,MASTER!$G$5:$L$201,6,0)="",DATE(YEAR(H15)-1,MONTH(H15),DAY(H15)),
VLOOKUP($J15,MASTER!$G$5:$L$201,6,0)))</f>
        <v>45677</v>
      </c>
      <c r="O15" s="96">
        <f t="shared" si="6"/>
        <v>21</v>
      </c>
      <c r="Q15" s="91" t="s">
        <v>116</v>
      </c>
      <c r="R15" s="92">
        <v>46076</v>
      </c>
      <c r="S15" s="92">
        <v>44988</v>
      </c>
      <c r="T15" s="96">
        <v>18</v>
      </c>
      <c r="U15" s="99" t="str" cm="1">
        <f t="array" ref="U15">IF(IFERROR(_xlfn._xlws.FILTER($D$5:$D$999,$B$5:$B$999=$Q15),"")&lt;=$S15,"마감","필요")</f>
        <v>필요</v>
      </c>
      <c r="V15" s="97"/>
      <c r="W15" s="89" t="str">
        <v>ca</v>
      </c>
      <c r="X15" s="49">
        <v>46043</v>
      </c>
      <c r="Y15" s="49">
        <v>46063</v>
      </c>
      <c r="Z15" s="90">
        <v>21</v>
      </c>
      <c r="AA15" s="91" t="str">
        <v>ca</v>
      </c>
      <c r="AB15" s="92">
        <v>46022</v>
      </c>
      <c r="AC15" s="92">
        <v>46042</v>
      </c>
      <c r="AD15" s="90">
        <v>21</v>
      </c>
      <c r="AE15" s="94" t="str">
        <v>ca</v>
      </c>
      <c r="AF15" s="92">
        <v>45657</v>
      </c>
      <c r="AG15" s="92">
        <v>45677</v>
      </c>
      <c r="AH15" s="90">
        <v>21</v>
      </c>
      <c r="AI15" s="93">
        <v>45677</v>
      </c>
      <c r="AJ15" s="96">
        <v>21</v>
      </c>
    </row>
    <row r="16" spans="2:36">
      <c r="B16" s="89" t="str">
        <v>ca_fr</v>
      </c>
      <c r="C16" s="49">
        <v>46043</v>
      </c>
      <c r="D16" s="49">
        <v>46063</v>
      </c>
      <c r="E16" s="90">
        <f t="shared" si="0"/>
        <v>21</v>
      </c>
      <c r="F16" s="91" t="str">
        <v>ca_fr</v>
      </c>
      <c r="G16" s="92">
        <f t="shared" si="1"/>
        <v>46022</v>
      </c>
      <c r="H16" s="92">
        <f t="shared" si="2"/>
        <v>46042</v>
      </c>
      <c r="I16" s="90">
        <f t="shared" si="3"/>
        <v>21</v>
      </c>
      <c r="J16" s="94" t="str">
        <v>ca_fr</v>
      </c>
      <c r="K16" s="92">
        <f>IF($J16="","",
IF(VLOOKUP($J16,MASTER!$G$5:$L$201,5,0)="",DATE(YEAR(G16)-1,MONTH(G16),DAY(G16)),
VLOOKUP($J16,MASTER!$G$5:$L$201,5,0)))</f>
        <v>45657</v>
      </c>
      <c r="L16" s="92">
        <f t="shared" si="4"/>
        <v>45677</v>
      </c>
      <c r="M16" s="90">
        <f t="shared" si="5"/>
        <v>21</v>
      </c>
      <c r="N16" s="93">
        <f>IF($J16="","",
IF(VLOOKUP($J16,MASTER!$G$5:$L$201,6,0)="",DATE(YEAR(H16)-1,MONTH(H16),DAY(H16)),
VLOOKUP($J16,MASTER!$G$5:$L$201,6,0)))</f>
        <v>45677</v>
      </c>
      <c r="O16" s="96">
        <f t="shared" si="6"/>
        <v>21</v>
      </c>
      <c r="Q16" s="91" t="s">
        <v>122</v>
      </c>
      <c r="R16" s="92">
        <v>46070</v>
      </c>
      <c r="S16" s="92">
        <v>44980</v>
      </c>
      <c r="T16" s="96">
        <v>9</v>
      </c>
      <c r="U16" s="99" t="str" cm="1">
        <f t="array" ref="U16">IF(IFERROR(_xlfn._xlws.FILTER($D$5:$D$999,$B$5:$B$999=$Q16),"")&lt;=$S16,"마감","필요")</f>
        <v>필요</v>
      </c>
      <c r="V16" s="97"/>
      <c r="W16" s="89" t="str">
        <v>ca_fr</v>
      </c>
      <c r="X16" s="49">
        <v>46043</v>
      </c>
      <c r="Y16" s="49">
        <v>46063</v>
      </c>
      <c r="Z16" s="90">
        <v>21</v>
      </c>
      <c r="AA16" s="91" t="str">
        <v>ca_fr</v>
      </c>
      <c r="AB16" s="92">
        <v>46022</v>
      </c>
      <c r="AC16" s="92">
        <v>46042</v>
      </c>
      <c r="AD16" s="90">
        <v>21</v>
      </c>
      <c r="AE16" s="94" t="str">
        <v>ca_fr</v>
      </c>
      <c r="AF16" s="92">
        <v>45657</v>
      </c>
      <c r="AG16" s="92">
        <v>45677</v>
      </c>
      <c r="AH16" s="90">
        <v>21</v>
      </c>
      <c r="AI16" s="93">
        <v>45677</v>
      </c>
      <c r="AJ16" s="96">
        <v>21</v>
      </c>
    </row>
    <row r="17" spans="2:36">
      <c r="B17" s="89" t="str">
        <v>ch</v>
      </c>
      <c r="C17" s="49">
        <v>46048</v>
      </c>
      <c r="D17" s="49">
        <v>46063</v>
      </c>
      <c r="E17" s="90">
        <f t="shared" si="0"/>
        <v>16</v>
      </c>
      <c r="F17" s="91" t="str">
        <v>ch</v>
      </c>
      <c r="G17" s="92">
        <f t="shared" si="1"/>
        <v>46032</v>
      </c>
      <c r="H17" s="92">
        <f t="shared" si="2"/>
        <v>46047</v>
      </c>
      <c r="I17" s="90">
        <f t="shared" si="3"/>
        <v>16</v>
      </c>
      <c r="J17" s="94" t="str">
        <v>ch</v>
      </c>
      <c r="K17" s="92">
        <f>IF($J17="","",
IF(VLOOKUP($J17,MASTER!$G$5:$L$201,5,0)="",DATE(YEAR(G17)-1,MONTH(G17),DAY(G17)),
VLOOKUP($J17,MASTER!$G$5:$L$201,5,0)))</f>
        <v>45667</v>
      </c>
      <c r="L17" s="92">
        <f t="shared" si="4"/>
        <v>45682</v>
      </c>
      <c r="M17" s="90">
        <f t="shared" si="5"/>
        <v>16</v>
      </c>
      <c r="N17" s="93">
        <f>IF($J17="","",
IF(VLOOKUP($J17,MASTER!$G$5:$L$201,6,0)="",DATE(YEAR(H17)-1,MONTH(H17),DAY(H17)),
VLOOKUP($J17,MASTER!$G$5:$L$201,6,0)))</f>
        <v>45682</v>
      </c>
      <c r="O17" s="96">
        <f t="shared" si="6"/>
        <v>16</v>
      </c>
      <c r="Q17" s="91" t="s">
        <v>124</v>
      </c>
      <c r="R17" s="92">
        <v>46081</v>
      </c>
      <c r="S17" s="92">
        <v>44988</v>
      </c>
      <c r="T17" s="96">
        <v>13</v>
      </c>
      <c r="U17" s="99" t="str" cm="1">
        <f t="array" ref="U17">IF(IFERROR(_xlfn._xlws.FILTER($D$5:$D$999,$B$5:$B$999=$Q17),"")&lt;=$S17,"마감","필요")</f>
        <v>필요</v>
      </c>
      <c r="V17" s="97"/>
      <c r="W17" s="89" t="str">
        <v>ch</v>
      </c>
      <c r="X17" s="49">
        <v>46048</v>
      </c>
      <c r="Y17" s="49">
        <v>46063</v>
      </c>
      <c r="Z17" s="90">
        <v>16</v>
      </c>
      <c r="AA17" s="91" t="str">
        <v>ch</v>
      </c>
      <c r="AB17" s="92">
        <v>46032</v>
      </c>
      <c r="AC17" s="92">
        <v>46047</v>
      </c>
      <c r="AD17" s="90">
        <v>16</v>
      </c>
      <c r="AE17" s="94" t="str">
        <v>ch</v>
      </c>
      <c r="AF17" s="92">
        <v>45667</v>
      </c>
      <c r="AG17" s="92">
        <v>45682</v>
      </c>
      <c r="AH17" s="90">
        <v>16</v>
      </c>
      <c r="AI17" s="93">
        <v>45682</v>
      </c>
      <c r="AJ17" s="96">
        <v>16</v>
      </c>
    </row>
    <row r="18" spans="2:36">
      <c r="B18" s="89" t="str">
        <v>ch_fr</v>
      </c>
      <c r="C18" s="49">
        <v>46048</v>
      </c>
      <c r="D18" s="49">
        <v>46063</v>
      </c>
      <c r="E18" s="90">
        <f t="shared" si="0"/>
        <v>16</v>
      </c>
      <c r="F18" s="91" t="str">
        <v>ch_fr</v>
      </c>
      <c r="G18" s="92">
        <f t="shared" si="1"/>
        <v>46032</v>
      </c>
      <c r="H18" s="92">
        <f t="shared" si="2"/>
        <v>46047</v>
      </c>
      <c r="I18" s="90">
        <f t="shared" si="3"/>
        <v>16</v>
      </c>
      <c r="J18" s="94" t="str">
        <v>ch_fr</v>
      </c>
      <c r="K18" s="92">
        <f>IF($J18="","",
IF(VLOOKUP($J18,MASTER!$G$5:$L$201,5,0)="",DATE(YEAR(G18)-1,MONTH(G18),DAY(G18)),
VLOOKUP($J18,MASTER!$G$5:$L$201,5,0)))</f>
        <v>45667</v>
      </c>
      <c r="L18" s="92">
        <f t="shared" si="4"/>
        <v>45682</v>
      </c>
      <c r="M18" s="90">
        <f t="shared" si="5"/>
        <v>16</v>
      </c>
      <c r="N18" s="93">
        <f>IF($J18="","",
IF(VLOOKUP($J18,MASTER!$G$5:$L$201,6,0)="",DATE(YEAR(H18)-1,MONTH(H18),DAY(H18)),
VLOOKUP($J18,MASTER!$G$5:$L$201,6,0)))</f>
        <v>45682</v>
      </c>
      <c r="O18" s="96">
        <f t="shared" si="6"/>
        <v>16</v>
      </c>
      <c r="Q18" s="91" t="s">
        <v>128</v>
      </c>
      <c r="R18" s="92">
        <v>46083</v>
      </c>
      <c r="S18" s="92">
        <v>44988</v>
      </c>
      <c r="T18" s="96">
        <v>7</v>
      </c>
      <c r="U18" s="99" t="str" cm="1">
        <f t="array" ref="U18">IF(IFERROR(_xlfn._xlws.FILTER($D$5:$D$999,$B$5:$B$999=$Q18),"")&lt;=$S18,"마감","필요")</f>
        <v>필요</v>
      </c>
      <c r="V18" s="97"/>
      <c r="W18" s="89" t="str">
        <v>ch_fr</v>
      </c>
      <c r="X18" s="49">
        <v>46048</v>
      </c>
      <c r="Y18" s="49">
        <v>46063</v>
      </c>
      <c r="Z18" s="90">
        <v>16</v>
      </c>
      <c r="AA18" s="91" t="str">
        <v>ch_fr</v>
      </c>
      <c r="AB18" s="92">
        <v>46032</v>
      </c>
      <c r="AC18" s="92">
        <v>46047</v>
      </c>
      <c r="AD18" s="90">
        <v>16</v>
      </c>
      <c r="AE18" s="94" t="str">
        <v>ch_fr</v>
      </c>
      <c r="AF18" s="92">
        <v>45667</v>
      </c>
      <c r="AG18" s="92">
        <v>45682</v>
      </c>
      <c r="AH18" s="90">
        <v>16</v>
      </c>
      <c r="AI18" s="93">
        <v>45682</v>
      </c>
      <c r="AJ18" s="96">
        <v>16</v>
      </c>
    </row>
    <row r="19" spans="2:36">
      <c r="B19" s="89" t="str">
        <v>cl</v>
      </c>
      <c r="C19" s="49">
        <v>46042</v>
      </c>
      <c r="D19" s="49">
        <v>46063</v>
      </c>
      <c r="E19" s="90">
        <f t="shared" si="0"/>
        <v>22</v>
      </c>
      <c r="F19" s="91" t="str">
        <v>cl</v>
      </c>
      <c r="G19" s="92">
        <f t="shared" si="1"/>
        <v>46020</v>
      </c>
      <c r="H19" s="92">
        <f t="shared" si="2"/>
        <v>46041</v>
      </c>
      <c r="I19" s="90">
        <f t="shared" si="3"/>
        <v>22</v>
      </c>
      <c r="J19" s="94" t="str">
        <v>cl</v>
      </c>
      <c r="K19" s="92">
        <f>IF($J19="","",
IF(VLOOKUP($J19,MASTER!$G$5:$L$201,5,0)="",DATE(YEAR(G19)-1,MONTH(G19),DAY(G19)),
VLOOKUP($J19,MASTER!$G$5:$L$201,5,0)))</f>
        <v>45655</v>
      </c>
      <c r="L19" s="92">
        <f t="shared" si="4"/>
        <v>45676</v>
      </c>
      <c r="M19" s="90">
        <f t="shared" si="5"/>
        <v>22</v>
      </c>
      <c r="N19" s="93">
        <f>IF($J19="","",
IF(VLOOKUP($J19,MASTER!$G$5:$L$201,6,0)="",DATE(YEAR(H19)-1,MONTH(H19),DAY(H19)),
VLOOKUP($J19,MASTER!$G$5:$L$201,6,0)))</f>
        <v>45676</v>
      </c>
      <c r="O19" s="96">
        <f t="shared" si="6"/>
        <v>22</v>
      </c>
      <c r="Q19" s="91" t="s">
        <v>132</v>
      </c>
      <c r="R19" s="92">
        <v>46075</v>
      </c>
      <c r="S19" s="92">
        <v>44988</v>
      </c>
      <c r="T19" s="96">
        <v>17</v>
      </c>
      <c r="U19" s="99" t="str" cm="1">
        <f t="array" ref="U19">IF(IFERROR(_xlfn._xlws.FILTER($D$5:$D$999,$B$5:$B$999=$Q19),"")&lt;=$S19,"마감","필요")</f>
        <v>필요</v>
      </c>
      <c r="V19" s="97"/>
      <c r="W19" s="89" t="str">
        <v>cl</v>
      </c>
      <c r="X19" s="49">
        <v>46042</v>
      </c>
      <c r="Y19" s="49">
        <v>46063</v>
      </c>
      <c r="Z19" s="90">
        <v>22</v>
      </c>
      <c r="AA19" s="91" t="str">
        <v>cl</v>
      </c>
      <c r="AB19" s="92">
        <v>46020</v>
      </c>
      <c r="AC19" s="92">
        <v>46041</v>
      </c>
      <c r="AD19" s="90">
        <v>22</v>
      </c>
      <c r="AE19" s="94" t="str">
        <v>cl</v>
      </c>
      <c r="AF19" s="92">
        <v>45655</v>
      </c>
      <c r="AG19" s="92">
        <v>45676</v>
      </c>
      <c r="AH19" s="90">
        <v>22</v>
      </c>
      <c r="AI19" s="93">
        <v>45676</v>
      </c>
      <c r="AJ19" s="96">
        <v>22</v>
      </c>
    </row>
    <row r="20" spans="2:36">
      <c r="B20" s="89" t="str">
        <v>co</v>
      </c>
      <c r="C20" s="49">
        <v>46042</v>
      </c>
      <c r="D20" s="49">
        <v>46063</v>
      </c>
      <c r="E20" s="90">
        <f t="shared" si="0"/>
        <v>22</v>
      </c>
      <c r="F20" s="91" t="str">
        <v>co</v>
      </c>
      <c r="G20" s="92">
        <f t="shared" si="1"/>
        <v>46020</v>
      </c>
      <c r="H20" s="92">
        <f t="shared" si="2"/>
        <v>46041</v>
      </c>
      <c r="I20" s="90">
        <f t="shared" si="3"/>
        <v>22</v>
      </c>
      <c r="J20" s="94" t="str">
        <v>co</v>
      </c>
      <c r="K20" s="92">
        <f>IF($J20="","",
IF(VLOOKUP($J20,MASTER!$G$5:$L$201,5,0)="",DATE(YEAR(G20)-1,MONTH(G20),DAY(G20)),
VLOOKUP($J20,MASTER!$G$5:$L$201,5,0)))</f>
        <v>45767</v>
      </c>
      <c r="L20" s="92">
        <f t="shared" si="4"/>
        <v>45788</v>
      </c>
      <c r="M20" s="90">
        <f t="shared" si="5"/>
        <v>22</v>
      </c>
      <c r="N20" s="93">
        <f>IF($J20="","",
IF(VLOOKUP($J20,MASTER!$G$5:$L$201,6,0)="",DATE(YEAR(H20)-1,MONTH(H20),DAY(H20)),
VLOOKUP($J20,MASTER!$G$5:$L$201,6,0)))</f>
        <v>45787</v>
      </c>
      <c r="O20" s="96">
        <f t="shared" si="6"/>
        <v>21</v>
      </c>
      <c r="Q20" s="91" t="s">
        <v>133</v>
      </c>
      <c r="R20" s="92">
        <v>46075</v>
      </c>
      <c r="S20" s="92">
        <v>44988</v>
      </c>
      <c r="T20" s="96">
        <v>17</v>
      </c>
      <c r="U20" s="99" t="str" cm="1">
        <f t="array" ref="U20">IF(IFERROR(_xlfn._xlws.FILTER($D$5:$D$999,$B$5:$B$999=$Q20),"")&lt;=$S20,"마감","필요")</f>
        <v>필요</v>
      </c>
      <c r="V20" s="97"/>
      <c r="W20" s="89" t="str">
        <v>co</v>
      </c>
      <c r="X20" s="49">
        <v>46042</v>
      </c>
      <c r="Y20" s="49">
        <v>46063</v>
      </c>
      <c r="Z20" s="90">
        <v>22</v>
      </c>
      <c r="AA20" s="91" t="str">
        <v>co</v>
      </c>
      <c r="AB20" s="92">
        <v>46020</v>
      </c>
      <c r="AC20" s="92">
        <v>46041</v>
      </c>
      <c r="AD20" s="90">
        <v>22</v>
      </c>
      <c r="AE20" s="94" t="str">
        <v>co</v>
      </c>
      <c r="AF20" s="92">
        <v>45767</v>
      </c>
      <c r="AG20" s="92">
        <v>45788</v>
      </c>
      <c r="AH20" s="90">
        <v>22</v>
      </c>
      <c r="AI20" s="93">
        <v>45787</v>
      </c>
      <c r="AJ20" s="96">
        <v>21</v>
      </c>
    </row>
    <row r="21" spans="2:36">
      <c r="B21" s="89" t="str">
        <v>cz</v>
      </c>
      <c r="C21" s="49">
        <v>46054</v>
      </c>
      <c r="D21" s="49">
        <v>46063</v>
      </c>
      <c r="E21" s="90">
        <f t="shared" si="0"/>
        <v>10</v>
      </c>
      <c r="F21" s="91" t="str">
        <v>cz</v>
      </c>
      <c r="G21" s="92">
        <f t="shared" si="1"/>
        <v>46044</v>
      </c>
      <c r="H21" s="92">
        <f t="shared" si="2"/>
        <v>46053</v>
      </c>
      <c r="I21" s="90">
        <f t="shared" si="3"/>
        <v>10</v>
      </c>
      <c r="J21" s="94" t="str">
        <v>cz</v>
      </c>
      <c r="K21" s="92">
        <f>IF($J21="","",
IF(VLOOKUP($J21,MASTER!$G$5:$L$201,5,0)="",DATE(YEAR(G21)-1,MONTH(G21),DAY(G21)),
VLOOKUP($J21,MASTER!$G$5:$L$201,5,0)))</f>
        <v>45778</v>
      </c>
      <c r="L21" s="92">
        <f t="shared" si="4"/>
        <v>45787</v>
      </c>
      <c r="M21" s="90">
        <f t="shared" si="5"/>
        <v>10</v>
      </c>
      <c r="N21" s="93">
        <f>IF($J21="","",
IF(VLOOKUP($J21,MASTER!$G$5:$L$201,6,0)="",DATE(YEAR(H21)-1,MONTH(H21),DAY(H21)),
VLOOKUP($J21,MASTER!$G$5:$L$201,6,0)))</f>
        <v>45787</v>
      </c>
      <c r="O21" s="96">
        <f t="shared" si="6"/>
        <v>10</v>
      </c>
      <c r="Q21" s="91" t="s">
        <v>136</v>
      </c>
      <c r="R21" s="92">
        <v>46080</v>
      </c>
      <c r="S21" s="92">
        <v>44988</v>
      </c>
      <c r="T21" s="96">
        <v>14</v>
      </c>
      <c r="U21" s="99" t="str" cm="1">
        <f t="array" ref="U21">IF(IFERROR(_xlfn._xlws.FILTER($D$5:$D$999,$B$5:$B$999=$Q21),"")&lt;=$S21,"마감","필요")</f>
        <v>필요</v>
      </c>
      <c r="V21" s="97"/>
      <c r="W21" s="89" t="str">
        <v>cz</v>
      </c>
      <c r="X21" s="49">
        <v>46054</v>
      </c>
      <c r="Y21" s="49">
        <v>46063</v>
      </c>
      <c r="Z21" s="90">
        <v>10</v>
      </c>
      <c r="AA21" s="91" t="str">
        <v>cz</v>
      </c>
      <c r="AB21" s="92">
        <v>46044</v>
      </c>
      <c r="AC21" s="92">
        <v>46053</v>
      </c>
      <c r="AD21" s="90">
        <v>10</v>
      </c>
      <c r="AE21" s="94" t="str">
        <v>cz</v>
      </c>
      <c r="AF21" s="92">
        <v>45778</v>
      </c>
      <c r="AG21" s="92">
        <v>45787</v>
      </c>
      <c r="AH21" s="90">
        <v>10</v>
      </c>
      <c r="AI21" s="93">
        <v>45787</v>
      </c>
      <c r="AJ21" s="96">
        <v>10</v>
      </c>
    </row>
    <row r="22" spans="2:36">
      <c r="B22" s="89" t="str">
        <v>de</v>
      </c>
      <c r="C22" s="49">
        <v>46031</v>
      </c>
      <c r="D22" s="49">
        <v>46064</v>
      </c>
      <c r="E22" s="90">
        <f t="shared" si="0"/>
        <v>34</v>
      </c>
      <c r="F22" s="91" t="str">
        <v>de</v>
      </c>
      <c r="G22" s="92">
        <f t="shared" si="1"/>
        <v>45997</v>
      </c>
      <c r="H22" s="92">
        <f t="shared" si="2"/>
        <v>46030</v>
      </c>
      <c r="I22" s="90">
        <f t="shared" si="3"/>
        <v>34</v>
      </c>
      <c r="J22" s="94" t="str">
        <v>de</v>
      </c>
      <c r="K22" s="92">
        <f>IF($J22="","",
IF(VLOOKUP($J22,MASTER!$G$5:$L$201,5,0)="",DATE(YEAR(G22)-1,MONTH(G22),DAY(G22)),
VLOOKUP($J22,MASTER!$G$5:$L$201,5,0)))</f>
        <v>45756</v>
      </c>
      <c r="L22" s="92">
        <f t="shared" si="4"/>
        <v>45789</v>
      </c>
      <c r="M22" s="90">
        <f t="shared" si="5"/>
        <v>34</v>
      </c>
      <c r="N22" s="93">
        <f>IF($J22="","",
IF(VLOOKUP($J22,MASTER!$G$5:$L$201,6,0)="",DATE(YEAR(H22)-1,MONTH(H22),DAY(H22)),
VLOOKUP($J22,MASTER!$G$5:$L$201,6,0)))</f>
        <v>45788</v>
      </c>
      <c r="O22" s="96">
        <f t="shared" si="6"/>
        <v>33</v>
      </c>
      <c r="Q22" s="91" t="s">
        <v>137</v>
      </c>
      <c r="R22" s="92">
        <v>46080</v>
      </c>
      <c r="S22" s="92">
        <v>44988</v>
      </c>
      <c r="T22" s="96">
        <v>14</v>
      </c>
      <c r="U22" s="99" t="str" cm="1">
        <f t="array" ref="U22">IF(IFERROR(_xlfn._xlws.FILTER($D$5:$D$999,$B$5:$B$999=$Q22),"")&lt;=$S22,"마감","필요")</f>
        <v>필요</v>
      </c>
      <c r="V22" s="97"/>
      <c r="W22" s="89" t="str">
        <v>de</v>
      </c>
      <c r="X22" s="49">
        <v>46031</v>
      </c>
      <c r="Y22" s="49">
        <v>46064</v>
      </c>
      <c r="Z22" s="90">
        <v>34</v>
      </c>
      <c r="AA22" s="91" t="str">
        <v>de</v>
      </c>
      <c r="AB22" s="92">
        <v>45997</v>
      </c>
      <c r="AC22" s="92">
        <v>46030</v>
      </c>
      <c r="AD22" s="90">
        <v>34</v>
      </c>
      <c r="AE22" s="94" t="str">
        <v>de</v>
      </c>
      <c r="AF22" s="92">
        <v>45756</v>
      </c>
      <c r="AG22" s="92">
        <v>45789</v>
      </c>
      <c r="AH22" s="90">
        <v>34</v>
      </c>
      <c r="AI22" s="93">
        <v>45788</v>
      </c>
      <c r="AJ22" s="96">
        <v>33</v>
      </c>
    </row>
    <row r="23" spans="2:36">
      <c r="B23" s="89" t="str">
        <v>es</v>
      </c>
      <c r="C23" s="49">
        <v>46042</v>
      </c>
      <c r="D23" s="49">
        <v>46057</v>
      </c>
      <c r="E23" s="90">
        <f t="shared" si="0"/>
        <v>16</v>
      </c>
      <c r="F23" s="91" t="str">
        <v>es</v>
      </c>
      <c r="G23" s="92">
        <f t="shared" si="1"/>
        <v>46026</v>
      </c>
      <c r="H23" s="92">
        <f t="shared" si="2"/>
        <v>46041</v>
      </c>
      <c r="I23" s="90">
        <f t="shared" si="3"/>
        <v>16</v>
      </c>
      <c r="J23" s="94" t="str">
        <v>es</v>
      </c>
      <c r="K23" s="92">
        <f>IF($J23="","",
IF(VLOOKUP($J23,MASTER!$G$5:$L$201,5,0)="",DATE(YEAR(G23)-1,MONTH(G23),DAY(G23)),
VLOOKUP($J23,MASTER!$G$5:$L$201,5,0)))</f>
        <v>45767</v>
      </c>
      <c r="L23" s="92">
        <f t="shared" si="4"/>
        <v>45782</v>
      </c>
      <c r="M23" s="90">
        <f t="shared" si="5"/>
        <v>16</v>
      </c>
      <c r="N23" s="93">
        <f>IF($J23="","",
IF(VLOOKUP($J23,MASTER!$G$5:$L$201,6,0)="",DATE(YEAR(H23)-1,MONTH(H23),DAY(H23)),
VLOOKUP($J23,MASTER!$G$5:$L$201,6,0)))</f>
        <v>45780</v>
      </c>
      <c r="O23" s="96">
        <f t="shared" si="6"/>
        <v>14</v>
      </c>
      <c r="Q23" s="91" t="s">
        <v>140</v>
      </c>
      <c r="R23" s="92">
        <v>46073</v>
      </c>
      <c r="S23" s="92">
        <v>44988</v>
      </c>
      <c r="T23" s="96">
        <v>21</v>
      </c>
      <c r="U23" s="99" t="str" cm="1">
        <f t="array" ref="U23">IF(IFERROR(_xlfn._xlws.FILTER($D$5:$D$999,$B$5:$B$999=$Q23),"")&lt;=$S23,"마감","필요")</f>
        <v>필요</v>
      </c>
      <c r="V23" s="97"/>
      <c r="W23" s="89" t="str">
        <v>es</v>
      </c>
      <c r="X23" s="49">
        <v>46042</v>
      </c>
      <c r="Y23" s="49">
        <v>46057</v>
      </c>
      <c r="Z23" s="90">
        <v>16</v>
      </c>
      <c r="AA23" s="91" t="str">
        <v>es</v>
      </c>
      <c r="AB23" s="92">
        <v>46026</v>
      </c>
      <c r="AC23" s="92">
        <v>46041</v>
      </c>
      <c r="AD23" s="90">
        <v>16</v>
      </c>
      <c r="AE23" s="94" t="str">
        <v>es</v>
      </c>
      <c r="AF23" s="92">
        <v>45767</v>
      </c>
      <c r="AG23" s="92">
        <v>45782</v>
      </c>
      <c r="AH23" s="90">
        <v>16</v>
      </c>
      <c r="AI23" s="93">
        <v>45780</v>
      </c>
      <c r="AJ23" s="96">
        <v>14</v>
      </c>
    </row>
    <row r="24" spans="2:36">
      <c r="B24" s="89" t="str">
        <v>hk</v>
      </c>
      <c r="C24" s="49">
        <v>46054</v>
      </c>
      <c r="D24" s="49">
        <v>46064</v>
      </c>
      <c r="E24" s="90">
        <f t="shared" si="0"/>
        <v>11</v>
      </c>
      <c r="F24" s="91" t="str">
        <v>hk</v>
      </c>
      <c r="G24" s="92">
        <f t="shared" si="1"/>
        <v>46043</v>
      </c>
      <c r="H24" s="92">
        <f t="shared" si="2"/>
        <v>46053</v>
      </c>
      <c r="I24" s="90">
        <f t="shared" si="3"/>
        <v>11</v>
      </c>
      <c r="J24" s="94" t="str">
        <v>hk</v>
      </c>
      <c r="K24" s="92">
        <f>IF($J24="","",
IF(VLOOKUP($J24,MASTER!$G$5:$L$201,5,0)="",DATE(YEAR(G24)-1,MONTH(G24),DAY(G24)),
VLOOKUP($J24,MASTER!$G$5:$L$201,5,0)))</f>
        <v>45778</v>
      </c>
      <c r="L24" s="92">
        <f t="shared" si="4"/>
        <v>45788</v>
      </c>
      <c r="M24" s="90">
        <f t="shared" si="5"/>
        <v>11</v>
      </c>
      <c r="N24" s="93">
        <f>IF($J24="","",
IF(VLOOKUP($J24,MASTER!$G$5:$L$201,6,0)="",DATE(YEAR(H24)-1,MONTH(H24),DAY(H24)),
VLOOKUP($J24,MASTER!$G$5:$L$201,6,0)))</f>
        <v>45791</v>
      </c>
      <c r="O24" s="96">
        <f t="shared" si="6"/>
        <v>14</v>
      </c>
      <c r="Q24" s="91" t="s">
        <v>142</v>
      </c>
      <c r="R24" s="92">
        <v>46073</v>
      </c>
      <c r="S24" s="92">
        <v>44988</v>
      </c>
      <c r="T24" s="96">
        <v>21</v>
      </c>
      <c r="U24" s="99" t="str" cm="1">
        <f t="array" ref="U24">IF(IFERROR(_xlfn._xlws.FILTER($D$5:$D$999,$B$5:$B$999=$Q24),"")&lt;=$S24,"마감","필요")</f>
        <v>필요</v>
      </c>
      <c r="V24" s="97"/>
      <c r="W24" s="89" t="str">
        <v>hk</v>
      </c>
      <c r="X24" s="49">
        <v>46054</v>
      </c>
      <c r="Y24" s="49">
        <v>46064</v>
      </c>
      <c r="Z24" s="90">
        <v>11</v>
      </c>
      <c r="AA24" s="91" t="str">
        <v>hk</v>
      </c>
      <c r="AB24" s="92">
        <v>46043</v>
      </c>
      <c r="AC24" s="92">
        <v>46053</v>
      </c>
      <c r="AD24" s="90">
        <v>11</v>
      </c>
      <c r="AE24" s="94" t="str">
        <v>hk</v>
      </c>
      <c r="AF24" s="92">
        <v>45778</v>
      </c>
      <c r="AG24" s="92">
        <v>45788</v>
      </c>
      <c r="AH24" s="90">
        <v>11</v>
      </c>
      <c r="AI24" s="93">
        <v>45791</v>
      </c>
      <c r="AJ24" s="96">
        <v>14</v>
      </c>
    </row>
    <row r="25" spans="2:36">
      <c r="B25" s="89" t="str">
        <v>hu</v>
      </c>
      <c r="C25" s="49">
        <v>46048</v>
      </c>
      <c r="D25" s="49">
        <v>46054</v>
      </c>
      <c r="E25" s="90">
        <f t="shared" si="0"/>
        <v>7</v>
      </c>
      <c r="F25" s="91" t="str">
        <v>hu</v>
      </c>
      <c r="G25" s="92">
        <f t="shared" si="1"/>
        <v>46041</v>
      </c>
      <c r="H25" s="92">
        <f t="shared" si="2"/>
        <v>46047</v>
      </c>
      <c r="I25" s="90">
        <f t="shared" si="3"/>
        <v>7</v>
      </c>
      <c r="J25" s="94" t="str">
        <v>hu</v>
      </c>
      <c r="K25" s="92">
        <f>IF($J25="","",
IF(VLOOKUP($J25,MASTER!$G$5:$L$201,5,0)="",DATE(YEAR(G25)-1,MONTH(G25),DAY(G25)),
VLOOKUP($J25,MASTER!$G$5:$L$201,5,0)))</f>
        <v>45774</v>
      </c>
      <c r="L25" s="92">
        <f t="shared" si="4"/>
        <v>45780</v>
      </c>
      <c r="M25" s="90">
        <f t="shared" si="5"/>
        <v>7</v>
      </c>
      <c r="N25" s="93">
        <f>IF($J25="","",
IF(VLOOKUP($J25,MASTER!$G$5:$L$201,6,0)="",DATE(YEAR(H25)-1,MONTH(H25),DAY(H25)),
VLOOKUP($J25,MASTER!$G$5:$L$201,6,0)))</f>
        <v>45781</v>
      </c>
      <c r="O25" s="96">
        <f t="shared" si="6"/>
        <v>8</v>
      </c>
      <c r="Q25" s="91" t="s">
        <v>144</v>
      </c>
      <c r="R25" s="92">
        <v>46174</v>
      </c>
      <c r="S25" s="92">
        <v>44988</v>
      </c>
      <c r="T25" s="96">
        <v>10</v>
      </c>
      <c r="U25" s="99" t="str" cm="1">
        <f t="array" ref="U25">IF(IFERROR(_xlfn._xlws.FILTER($D$5:$D$999,$B$5:$B$999=$Q25),"")&lt;=$S25,"마감","필요")</f>
        <v>필요</v>
      </c>
      <c r="V25" s="97"/>
      <c r="W25" s="89" t="str">
        <v>hu</v>
      </c>
      <c r="X25" s="49">
        <v>46048</v>
      </c>
      <c r="Y25" s="49">
        <v>46054</v>
      </c>
      <c r="Z25" s="90">
        <v>7</v>
      </c>
      <c r="AA25" s="91" t="str">
        <v>hu</v>
      </c>
      <c r="AB25" s="92">
        <v>46041</v>
      </c>
      <c r="AC25" s="92">
        <v>46047</v>
      </c>
      <c r="AD25" s="90">
        <v>7</v>
      </c>
      <c r="AE25" s="94" t="str">
        <v>hu</v>
      </c>
      <c r="AF25" s="92">
        <v>45774</v>
      </c>
      <c r="AG25" s="92">
        <v>45780</v>
      </c>
      <c r="AH25" s="90">
        <v>7</v>
      </c>
      <c r="AI25" s="93">
        <v>45781</v>
      </c>
      <c r="AJ25" s="96">
        <v>8</v>
      </c>
    </row>
    <row r="26" spans="2:36">
      <c r="B26" s="89" t="str">
        <v>in</v>
      </c>
      <c r="C26" s="49">
        <v>46038</v>
      </c>
      <c r="D26" s="49">
        <v>46044</v>
      </c>
      <c r="E26" s="90">
        <f t="shared" si="0"/>
        <v>7</v>
      </c>
      <c r="F26" s="91" t="str">
        <v>in</v>
      </c>
      <c r="G26" s="92">
        <f t="shared" si="1"/>
        <v>46031</v>
      </c>
      <c r="H26" s="92">
        <f t="shared" si="2"/>
        <v>46037</v>
      </c>
      <c r="I26" s="90">
        <f t="shared" si="3"/>
        <v>7</v>
      </c>
      <c r="J26" s="94" t="str">
        <v>in</v>
      </c>
      <c r="K26" s="92">
        <f>IF($J26="","",
IF(VLOOKUP($J26,MASTER!$G$5:$L$201,5,0)="",DATE(YEAR(G26)-1,MONTH(G26),DAY(G26)),
VLOOKUP($J26,MASTER!$G$5:$L$201,5,0)))</f>
        <v>45764</v>
      </c>
      <c r="L26" s="92">
        <f t="shared" si="4"/>
        <v>45770</v>
      </c>
      <c r="M26" s="90">
        <f t="shared" si="5"/>
        <v>7</v>
      </c>
      <c r="N26" s="93">
        <f>IF($J26="","",
IF(VLOOKUP($J26,MASTER!$G$5:$L$201,6,0)="",DATE(YEAR(H26)-1,MONTH(H26),DAY(H26)),
VLOOKUP($J26,MASTER!$G$5:$L$201,6,0)))</f>
        <v>45772</v>
      </c>
      <c r="O26" s="96">
        <f t="shared" si="6"/>
        <v>9</v>
      </c>
      <c r="Q26" s="91" t="s">
        <v>162</v>
      </c>
      <c r="R26" s="92">
        <v>46174</v>
      </c>
      <c r="S26" s="92">
        <v>44988</v>
      </c>
      <c r="T26" s="96">
        <v>10</v>
      </c>
      <c r="U26" s="99" t="str" cm="1">
        <f t="array" ref="U26">IF(IFERROR(_xlfn._xlws.FILTER($D$5:$D$999,$B$5:$B$999=$Q26),"")&lt;=$S26,"마감","필요")</f>
        <v>필요</v>
      </c>
      <c r="V26" s="97"/>
      <c r="W26" s="89" t="str">
        <v>in</v>
      </c>
      <c r="X26" s="49">
        <v>46038</v>
      </c>
      <c r="Y26" s="49">
        <v>46044</v>
      </c>
      <c r="Z26" s="90">
        <v>7</v>
      </c>
      <c r="AA26" s="91" t="str">
        <v>in</v>
      </c>
      <c r="AB26" s="92">
        <v>46031</v>
      </c>
      <c r="AC26" s="92">
        <v>46037</v>
      </c>
      <c r="AD26" s="90">
        <v>7</v>
      </c>
      <c r="AE26" s="94" t="str">
        <v>in</v>
      </c>
      <c r="AF26" s="92">
        <v>45764</v>
      </c>
      <c r="AG26" s="92">
        <v>45770</v>
      </c>
      <c r="AH26" s="90">
        <v>7</v>
      </c>
      <c r="AI26" s="93">
        <v>45772</v>
      </c>
      <c r="AJ26" s="96">
        <v>9</v>
      </c>
    </row>
    <row r="27" spans="2:36">
      <c r="B27" s="89" t="str">
        <v>it</v>
      </c>
      <c r="C27" s="49">
        <v>46050</v>
      </c>
      <c r="D27" s="49">
        <v>46064</v>
      </c>
      <c r="E27" s="90">
        <f t="shared" si="0"/>
        <v>15</v>
      </c>
      <c r="F27" s="91" t="str">
        <v>it</v>
      </c>
      <c r="G27" s="92">
        <f t="shared" si="1"/>
        <v>46035</v>
      </c>
      <c r="H27" s="92">
        <f t="shared" si="2"/>
        <v>46049</v>
      </c>
      <c r="I27" s="90">
        <f t="shared" si="3"/>
        <v>15</v>
      </c>
      <c r="J27" s="94" t="str">
        <v>it</v>
      </c>
      <c r="K27" s="92">
        <f>IF($J27="","",
IF(VLOOKUP($J27,MASTER!$G$5:$L$201,5,0)="",DATE(YEAR(G27)-1,MONTH(G27),DAY(G27)),
VLOOKUP($J27,MASTER!$G$5:$L$201,5,0)))</f>
        <v>45775</v>
      </c>
      <c r="L27" s="92">
        <f t="shared" si="4"/>
        <v>45789</v>
      </c>
      <c r="M27" s="90">
        <f t="shared" si="5"/>
        <v>15</v>
      </c>
      <c r="N27" s="93">
        <f>IF($J27="","",
IF(VLOOKUP($J27,MASTER!$G$5:$L$201,6,0)="",DATE(YEAR(H27)-1,MONTH(H27),DAY(H27)),
VLOOKUP($J27,MASTER!$G$5:$L$201,6,0)))</f>
        <v>45788</v>
      </c>
      <c r="O27" s="96">
        <f t="shared" si="6"/>
        <v>14</v>
      </c>
      <c r="Q27" s="91" t="s">
        <v>167</v>
      </c>
      <c r="R27" s="92">
        <v>46080</v>
      </c>
      <c r="S27" s="92">
        <v>44988</v>
      </c>
      <c r="T27" s="96">
        <v>8</v>
      </c>
      <c r="U27" s="99" t="str" cm="1">
        <f t="array" ref="U27">IF(IFERROR(_xlfn._xlws.FILTER($D$5:$D$999,$B$5:$B$999=$Q27),"")&lt;=$S27,"마감","필요")</f>
        <v>필요</v>
      </c>
      <c r="V27" s="97"/>
      <c r="W27" s="89" t="str">
        <v>it</v>
      </c>
      <c r="X27" s="49">
        <v>46050</v>
      </c>
      <c r="Y27" s="49">
        <v>46064</v>
      </c>
      <c r="Z27" s="90">
        <v>15</v>
      </c>
      <c r="AA27" s="91" t="str">
        <v>it</v>
      </c>
      <c r="AB27" s="92">
        <v>46035</v>
      </c>
      <c r="AC27" s="92">
        <v>46049</v>
      </c>
      <c r="AD27" s="90">
        <v>15</v>
      </c>
      <c r="AE27" s="94" t="str">
        <v>it</v>
      </c>
      <c r="AF27" s="92">
        <v>45775</v>
      </c>
      <c r="AG27" s="92">
        <v>45789</v>
      </c>
      <c r="AH27" s="90">
        <v>15</v>
      </c>
      <c r="AI27" s="93">
        <v>45788</v>
      </c>
      <c r="AJ27" s="96">
        <v>14</v>
      </c>
    </row>
    <row r="28" spans="2:36">
      <c r="B28" s="89" t="str">
        <v>kz_kz</v>
      </c>
      <c r="C28" s="49">
        <v>46054</v>
      </c>
      <c r="D28" s="49">
        <v>46064</v>
      </c>
      <c r="E28" s="90">
        <f t="shared" si="0"/>
        <v>11</v>
      </c>
      <c r="F28" s="91" t="str">
        <v>kz_kz</v>
      </c>
      <c r="G28" s="92">
        <f t="shared" si="1"/>
        <v>46043</v>
      </c>
      <c r="H28" s="92">
        <f t="shared" si="2"/>
        <v>46053</v>
      </c>
      <c r="I28" s="90">
        <f t="shared" si="3"/>
        <v>11</v>
      </c>
      <c r="J28" s="94" t="str">
        <v>kz_kz</v>
      </c>
      <c r="K28" s="92">
        <f>IF($J28="","",
IF(VLOOKUP($J28,MASTER!$G$5:$L$201,5,0)="",DATE(YEAR(G28)-1,MONTH(G28),DAY(G28)),
VLOOKUP($J28,MASTER!$G$5:$L$201,5,0)))</f>
        <v>45678</v>
      </c>
      <c r="L28" s="92">
        <f t="shared" si="4"/>
        <v>45688</v>
      </c>
      <c r="M28" s="90">
        <f t="shared" si="5"/>
        <v>11</v>
      </c>
      <c r="N28" s="93">
        <f>IF($J28="","",
IF(VLOOKUP($J28,MASTER!$G$5:$L$201,6,0)="",DATE(YEAR(H28)-1,MONTH(H28),DAY(H28)),
VLOOKUP($J28,MASTER!$G$5:$L$201,6,0)))</f>
        <v>45688</v>
      </c>
      <c r="O28" s="96">
        <f t="shared" si="6"/>
        <v>11</v>
      </c>
      <c r="Q28" s="91" t="s">
        <v>175</v>
      </c>
      <c r="R28" s="92">
        <v>46070</v>
      </c>
      <c r="S28" s="92">
        <v>44980</v>
      </c>
      <c r="T28" s="96">
        <v>9</v>
      </c>
      <c r="U28" s="99" t="str" cm="1">
        <f t="array" ref="U28">IF(IFERROR(_xlfn._xlws.FILTER($D$5:$D$999,$B$5:$B$999=$Q28),"")&lt;=$S28,"마감","필요")</f>
        <v>필요</v>
      </c>
      <c r="V28" s="97"/>
      <c r="W28" s="89" t="str">
        <v>kz_kz</v>
      </c>
      <c r="X28" s="49">
        <v>46054</v>
      </c>
      <c r="Y28" s="49">
        <v>46064</v>
      </c>
      <c r="Z28" s="90">
        <v>11</v>
      </c>
      <c r="AA28" s="91" t="str">
        <v>kz_kz</v>
      </c>
      <c r="AB28" s="92">
        <v>46043</v>
      </c>
      <c r="AC28" s="92">
        <v>46053</v>
      </c>
      <c r="AD28" s="90">
        <v>11</v>
      </c>
      <c r="AE28" s="94" t="str">
        <v>kz_kz</v>
      </c>
      <c r="AF28" s="92">
        <v>45678</v>
      </c>
      <c r="AG28" s="92">
        <v>45688</v>
      </c>
      <c r="AH28" s="90">
        <v>11</v>
      </c>
      <c r="AI28" s="93">
        <v>45688</v>
      </c>
      <c r="AJ28" s="96">
        <v>11</v>
      </c>
    </row>
    <row r="29" spans="2:36">
      <c r="B29" s="89" t="str">
        <v>kz_ru</v>
      </c>
      <c r="C29" s="49">
        <v>46054</v>
      </c>
      <c r="D29" s="49">
        <v>46064</v>
      </c>
      <c r="E29" s="90">
        <f t="shared" si="0"/>
        <v>11</v>
      </c>
      <c r="F29" s="91" t="str">
        <v>kz_ru</v>
      </c>
      <c r="G29" s="92">
        <f t="shared" si="1"/>
        <v>46043</v>
      </c>
      <c r="H29" s="92">
        <f t="shared" si="2"/>
        <v>46053</v>
      </c>
      <c r="I29" s="90">
        <f t="shared" si="3"/>
        <v>11</v>
      </c>
      <c r="J29" s="94" t="str">
        <v>kz_ru</v>
      </c>
      <c r="K29" s="92">
        <f>IF($J29="","",
IF(VLOOKUP($J29,MASTER!$G$5:$L$201,5,0)="",DATE(YEAR(G29)-1,MONTH(G29),DAY(G29)),
VLOOKUP($J29,MASTER!$G$5:$L$201,5,0)))</f>
        <v>45678</v>
      </c>
      <c r="L29" s="92">
        <f t="shared" si="4"/>
        <v>45688</v>
      </c>
      <c r="M29" s="90">
        <f t="shared" si="5"/>
        <v>11</v>
      </c>
      <c r="N29" s="93">
        <f>IF($J29="","",
IF(VLOOKUP($J29,MASTER!$G$5:$L$201,6,0)="",DATE(YEAR(H29)-1,MONTH(H29),DAY(H29)),
VLOOKUP($J29,MASTER!$G$5:$L$201,6,0)))</f>
        <v>45688</v>
      </c>
      <c r="O29" s="96">
        <f t="shared" si="6"/>
        <v>11</v>
      </c>
      <c r="Q29" s="91" t="s">
        <v>184</v>
      </c>
      <c r="R29" s="92">
        <v>46081</v>
      </c>
      <c r="S29" s="92">
        <v>44988</v>
      </c>
      <c r="T29" s="96">
        <v>13</v>
      </c>
      <c r="U29" s="99" t="str" cm="1">
        <f t="array" ref="U29">IF(IFERROR(_xlfn._xlws.FILTER($D$5:$D$999,$B$5:$B$999=$Q29),"")&lt;=$S29,"마감","필요")</f>
        <v>필요</v>
      </c>
      <c r="V29" s="97"/>
      <c r="W29" s="89" t="str">
        <v>kz_ru</v>
      </c>
      <c r="X29" s="49">
        <v>46054</v>
      </c>
      <c r="Y29" s="49">
        <v>46064</v>
      </c>
      <c r="Z29" s="90">
        <v>11</v>
      </c>
      <c r="AA29" s="91" t="str">
        <v>kz_ru</v>
      </c>
      <c r="AB29" s="92">
        <v>46043</v>
      </c>
      <c r="AC29" s="92">
        <v>46053</v>
      </c>
      <c r="AD29" s="90">
        <v>11</v>
      </c>
      <c r="AE29" s="94" t="str">
        <v>kz_ru</v>
      </c>
      <c r="AF29" s="92">
        <v>45678</v>
      </c>
      <c r="AG29" s="92">
        <v>45688</v>
      </c>
      <c r="AH29" s="90">
        <v>11</v>
      </c>
      <c r="AI29" s="93">
        <v>45688</v>
      </c>
      <c r="AJ29" s="96">
        <v>11</v>
      </c>
    </row>
    <row r="30" spans="2:36">
      <c r="B30" s="89" t="str">
        <v>latin</v>
      </c>
      <c r="C30" s="49">
        <v>46042</v>
      </c>
      <c r="D30" s="49">
        <v>46063</v>
      </c>
      <c r="E30" s="90">
        <f t="shared" si="0"/>
        <v>22</v>
      </c>
      <c r="F30" s="91" t="str">
        <v>latin</v>
      </c>
      <c r="G30" s="92">
        <f t="shared" si="1"/>
        <v>46020</v>
      </c>
      <c r="H30" s="92">
        <f t="shared" si="2"/>
        <v>46041</v>
      </c>
      <c r="I30" s="90">
        <f t="shared" si="3"/>
        <v>22</v>
      </c>
      <c r="J30" s="94" t="str">
        <v>latin</v>
      </c>
      <c r="K30" s="92">
        <f>IF($J30="","",
IF(VLOOKUP($J30,MASTER!$G$5:$L$201,5,0)="",DATE(YEAR(G30)-1,MONTH(G30),DAY(G30)),
VLOOKUP($J30,MASTER!$G$5:$L$201,5,0)))</f>
        <v>45767</v>
      </c>
      <c r="L30" s="92">
        <f t="shared" si="4"/>
        <v>45788</v>
      </c>
      <c r="M30" s="90">
        <f t="shared" si="5"/>
        <v>22</v>
      </c>
      <c r="N30" s="93">
        <f>IF($J30="","",
IF(VLOOKUP($J30,MASTER!$G$5:$L$201,6,0)="",DATE(YEAR(H30)-1,MONTH(H30),DAY(H30)),
VLOOKUP($J30,MASTER!$G$5:$L$201,6,0)))</f>
        <v>45787</v>
      </c>
      <c r="O30" s="96">
        <f t="shared" si="6"/>
        <v>21</v>
      </c>
      <c r="Q30" s="91" t="s">
        <v>187</v>
      </c>
      <c r="R30" s="92">
        <v>46174</v>
      </c>
      <c r="S30" s="92">
        <v>44988</v>
      </c>
      <c r="T30" s="96">
        <v>10</v>
      </c>
      <c r="U30" s="99" t="str" cm="1">
        <f t="array" ref="U30">IF(IFERROR(_xlfn._xlws.FILTER($D$5:$D$999,$B$5:$B$999=$Q30),"")&lt;=$S30,"마감","필요")</f>
        <v>필요</v>
      </c>
      <c r="V30" s="97"/>
      <c r="W30" s="89" t="str">
        <v>latin</v>
      </c>
      <c r="X30" s="49">
        <v>46042</v>
      </c>
      <c r="Y30" s="49">
        <v>46063</v>
      </c>
      <c r="Z30" s="90">
        <v>22</v>
      </c>
      <c r="AA30" s="91" t="str">
        <v>latin</v>
      </c>
      <c r="AB30" s="92">
        <v>46020</v>
      </c>
      <c r="AC30" s="92">
        <v>46041</v>
      </c>
      <c r="AD30" s="90">
        <v>22</v>
      </c>
      <c r="AE30" s="94" t="str">
        <v>latin</v>
      </c>
      <c r="AF30" s="92">
        <v>45767</v>
      </c>
      <c r="AG30" s="92">
        <v>45788</v>
      </c>
      <c r="AH30" s="90">
        <v>22</v>
      </c>
      <c r="AI30" s="93">
        <v>45787</v>
      </c>
      <c r="AJ30" s="96">
        <v>21</v>
      </c>
    </row>
    <row r="31" spans="2:36">
      <c r="B31" s="89" t="str">
        <v>latin_en</v>
      </c>
      <c r="C31" s="49">
        <v>46042</v>
      </c>
      <c r="D31" s="49">
        <v>46063</v>
      </c>
      <c r="E31" s="90">
        <f t="shared" si="0"/>
        <v>22</v>
      </c>
      <c r="F31" s="91" t="str">
        <v>latin_en</v>
      </c>
      <c r="G31" s="92">
        <f t="shared" si="1"/>
        <v>46020</v>
      </c>
      <c r="H31" s="92">
        <f t="shared" si="2"/>
        <v>46041</v>
      </c>
      <c r="I31" s="90">
        <f t="shared" si="3"/>
        <v>22</v>
      </c>
      <c r="J31" s="94" t="str">
        <v>latin_en</v>
      </c>
      <c r="K31" s="92">
        <f>IF($J31="","",
IF(VLOOKUP($J31,MASTER!$G$5:$L$201,5,0)="",DATE(YEAR(G31)-1,MONTH(G31),DAY(G31)),
VLOOKUP($J31,MASTER!$G$5:$L$201,5,0)))</f>
        <v>45767</v>
      </c>
      <c r="L31" s="92">
        <f t="shared" si="4"/>
        <v>45788</v>
      </c>
      <c r="M31" s="90">
        <f t="shared" si="5"/>
        <v>22</v>
      </c>
      <c r="N31" s="93">
        <f>IF($J31="","",
IF(VLOOKUP($J31,MASTER!$G$5:$L$201,6,0)="",DATE(YEAR(H31)-1,MONTH(H31),DAY(H31)),
VLOOKUP($J31,MASTER!$G$5:$L$201,6,0)))</f>
        <v>45787</v>
      </c>
      <c r="O31" s="96">
        <f t="shared" si="6"/>
        <v>21</v>
      </c>
      <c r="Q31" s="91" t="s">
        <v>189</v>
      </c>
      <c r="R31" s="92">
        <v>46174</v>
      </c>
      <c r="S31" s="92">
        <v>44988</v>
      </c>
      <c r="T31" s="96">
        <v>10</v>
      </c>
      <c r="U31" s="99" t="str" cm="1">
        <f t="array" ref="U31">IF(IFERROR(_xlfn._xlws.FILTER($D$5:$D$999,$B$5:$B$999=$Q31),"")&lt;=$S31,"마감","필요")</f>
        <v>필요</v>
      </c>
      <c r="V31" s="97"/>
      <c r="W31" s="89" t="str">
        <v>latin_en</v>
      </c>
      <c r="X31" s="49">
        <v>46042</v>
      </c>
      <c r="Y31" s="49">
        <v>46063</v>
      </c>
      <c r="Z31" s="90">
        <v>22</v>
      </c>
      <c r="AA31" s="91" t="str">
        <v>latin_en</v>
      </c>
      <c r="AB31" s="92">
        <v>46020</v>
      </c>
      <c r="AC31" s="92">
        <v>46041</v>
      </c>
      <c r="AD31" s="90">
        <v>22</v>
      </c>
      <c r="AE31" s="94" t="str">
        <v>latin_en</v>
      </c>
      <c r="AF31" s="92">
        <v>45767</v>
      </c>
      <c r="AG31" s="92">
        <v>45788</v>
      </c>
      <c r="AH31" s="90">
        <v>22</v>
      </c>
      <c r="AI31" s="93">
        <v>45787</v>
      </c>
      <c r="AJ31" s="96">
        <v>21</v>
      </c>
    </row>
    <row r="32" spans="2:36">
      <c r="B32" s="89" t="str">
        <v>mn</v>
      </c>
      <c r="C32" s="49">
        <v>46054</v>
      </c>
      <c r="D32" s="49">
        <v>46064</v>
      </c>
      <c r="E32" s="90">
        <f t="shared" si="0"/>
        <v>11</v>
      </c>
      <c r="F32" s="91" t="str">
        <v>mn</v>
      </c>
      <c r="G32" s="92">
        <f t="shared" si="1"/>
        <v>46043</v>
      </c>
      <c r="H32" s="92">
        <f t="shared" si="2"/>
        <v>46053</v>
      </c>
      <c r="I32" s="90">
        <f t="shared" si="3"/>
        <v>11</v>
      </c>
      <c r="J32" s="94" t="str">
        <v>mn</v>
      </c>
      <c r="K32" s="92">
        <f>IF($J32="","",
IF(VLOOKUP($J32,MASTER!$G$5:$L$201,5,0)="",DATE(YEAR(G32)-1,MONTH(G32),DAY(G32)),
VLOOKUP($J32,MASTER!$G$5:$L$201,5,0)))</f>
        <v>45778</v>
      </c>
      <c r="L32" s="92">
        <f t="shared" si="4"/>
        <v>45788</v>
      </c>
      <c r="M32" s="90">
        <f t="shared" si="5"/>
        <v>11</v>
      </c>
      <c r="N32" s="93">
        <f>IF($J32="","",
IF(VLOOKUP($J32,MASTER!$G$5:$L$201,6,0)="",DATE(YEAR(H32)-1,MONTH(H32),DAY(H32)),
VLOOKUP($J32,MASTER!$G$5:$L$201,6,0)))</f>
        <v>45788</v>
      </c>
      <c r="O32" s="96">
        <f t="shared" si="6"/>
        <v>11</v>
      </c>
      <c r="Q32" s="91" t="s">
        <v>191</v>
      </c>
      <c r="R32" s="92">
        <v>46073</v>
      </c>
      <c r="S32" s="92">
        <v>44988</v>
      </c>
      <c r="T32" s="96">
        <v>21</v>
      </c>
      <c r="U32" s="99" t="str" cm="1">
        <f t="array" ref="U32">IF(IFERROR(_xlfn._xlws.FILTER($D$5:$D$999,$B$5:$B$999=$Q32),"")&lt;=$S32,"마감","필요")</f>
        <v>필요</v>
      </c>
      <c r="V32" s="97"/>
      <c r="W32" s="89" t="str">
        <v>mn</v>
      </c>
      <c r="X32" s="49">
        <v>46054</v>
      </c>
      <c r="Y32" s="49">
        <v>46064</v>
      </c>
      <c r="Z32" s="90">
        <v>11</v>
      </c>
      <c r="AA32" s="91" t="str">
        <v>mn</v>
      </c>
      <c r="AB32" s="92">
        <v>46043</v>
      </c>
      <c r="AC32" s="92">
        <v>46053</v>
      </c>
      <c r="AD32" s="90">
        <v>11</v>
      </c>
      <c r="AE32" s="94" t="str">
        <v>mn</v>
      </c>
      <c r="AF32" s="92">
        <v>45778</v>
      </c>
      <c r="AG32" s="92">
        <v>45788</v>
      </c>
      <c r="AH32" s="90">
        <v>11</v>
      </c>
      <c r="AI32" s="93">
        <v>45788</v>
      </c>
      <c r="AJ32" s="96">
        <v>11</v>
      </c>
    </row>
    <row r="33" spans="2:36">
      <c r="B33" s="89" t="str">
        <v>nl</v>
      </c>
      <c r="C33" s="49">
        <v>46050</v>
      </c>
      <c r="D33" s="49">
        <v>46063</v>
      </c>
      <c r="E33" s="90">
        <f t="shared" si="0"/>
        <v>14</v>
      </c>
      <c r="F33" s="91" t="str">
        <v>nl</v>
      </c>
      <c r="G33" s="92">
        <f t="shared" si="1"/>
        <v>46036</v>
      </c>
      <c r="H33" s="92">
        <f t="shared" si="2"/>
        <v>46049</v>
      </c>
      <c r="I33" s="90">
        <f t="shared" si="3"/>
        <v>14</v>
      </c>
      <c r="J33" s="94" t="str">
        <v>nl</v>
      </c>
      <c r="K33" s="92">
        <f>IF($J33="","",
IF(VLOOKUP($J33,MASTER!$G$5:$L$201,5,0)="",DATE(YEAR(G33)-1,MONTH(G33),DAY(G33)),
VLOOKUP($J33,MASTER!$G$5:$L$201,5,0)))</f>
        <v>45671</v>
      </c>
      <c r="L33" s="92">
        <f t="shared" si="4"/>
        <v>45684</v>
      </c>
      <c r="M33" s="90">
        <f t="shared" si="5"/>
        <v>14</v>
      </c>
      <c r="N33" s="93">
        <f>IF($J33="","",
IF(VLOOKUP($J33,MASTER!$G$5:$L$201,6,0)="",DATE(YEAR(H33)-1,MONTH(H33),DAY(H33)),
VLOOKUP($J33,MASTER!$G$5:$L$201,6,0)))</f>
        <v>45684</v>
      </c>
      <c r="O33" s="96">
        <f t="shared" si="6"/>
        <v>14</v>
      </c>
      <c r="Q33" s="91" t="s">
        <v>193</v>
      </c>
      <c r="R33" s="92">
        <v>46073</v>
      </c>
      <c r="S33" s="92">
        <v>44988</v>
      </c>
      <c r="T33" s="96">
        <v>21</v>
      </c>
      <c r="U33" s="99" t="str" cm="1">
        <f t="array" ref="U33">IF(IFERROR(_xlfn._xlws.FILTER($D$5:$D$999,$B$5:$B$999=$Q33),"")&lt;=$S33,"마감","필요")</f>
        <v>필요</v>
      </c>
      <c r="V33" s="97"/>
      <c r="W33" s="89" t="str">
        <v>nl</v>
      </c>
      <c r="X33" s="49">
        <v>46050</v>
      </c>
      <c r="Y33" s="49">
        <v>46063</v>
      </c>
      <c r="Z33" s="90">
        <v>14</v>
      </c>
      <c r="AA33" s="91" t="str">
        <v>nl</v>
      </c>
      <c r="AB33" s="92">
        <v>46036</v>
      </c>
      <c r="AC33" s="92">
        <v>46049</v>
      </c>
      <c r="AD33" s="90">
        <v>14</v>
      </c>
      <c r="AE33" s="94" t="str">
        <v>nl</v>
      </c>
      <c r="AF33" s="92">
        <v>45671</v>
      </c>
      <c r="AG33" s="92">
        <v>45684</v>
      </c>
      <c r="AH33" s="90">
        <v>14</v>
      </c>
      <c r="AI33" s="93">
        <v>45684</v>
      </c>
      <c r="AJ33" s="96">
        <v>14</v>
      </c>
    </row>
    <row r="34" spans="2:36">
      <c r="B34" s="89" t="str">
        <v>nz</v>
      </c>
      <c r="C34" s="49">
        <v>46036</v>
      </c>
      <c r="D34" s="49">
        <v>46064</v>
      </c>
      <c r="E34" s="90">
        <f t="shared" si="0"/>
        <v>29</v>
      </c>
      <c r="F34" s="91" t="str">
        <v>nz</v>
      </c>
      <c r="G34" s="92">
        <f t="shared" si="1"/>
        <v>46007</v>
      </c>
      <c r="H34" s="92">
        <f t="shared" si="2"/>
        <v>46035</v>
      </c>
      <c r="I34" s="90">
        <f t="shared" si="3"/>
        <v>29</v>
      </c>
      <c r="J34" s="94" t="str">
        <v>nz</v>
      </c>
      <c r="K34" s="92">
        <f>IF($J34="","",
IF(VLOOKUP($J34,MASTER!$G$5:$L$201,5,0)="",DATE(YEAR(G34)-1,MONTH(G34),DAY(G34)),
VLOOKUP($J34,MASTER!$G$5:$L$201,5,0)))</f>
        <v>45642</v>
      </c>
      <c r="L34" s="92">
        <f t="shared" si="4"/>
        <v>45670</v>
      </c>
      <c r="M34" s="90">
        <f t="shared" si="5"/>
        <v>29</v>
      </c>
      <c r="N34" s="93">
        <f>IF($J34="","",
IF(VLOOKUP($J34,MASTER!$G$5:$L$201,6,0)="",DATE(YEAR(H34)-1,MONTH(H34),DAY(H34)),
VLOOKUP($J34,MASTER!$G$5:$L$201,6,0)))</f>
        <v>45670</v>
      </c>
      <c r="O34" s="96">
        <f t="shared" si="6"/>
        <v>29</v>
      </c>
      <c r="Q34" s="91" t="s">
        <v>211</v>
      </c>
      <c r="R34" s="92">
        <v>46174</v>
      </c>
      <c r="S34" s="92">
        <v>44988</v>
      </c>
      <c r="T34" s="96">
        <v>10</v>
      </c>
      <c r="U34" s="99" t="str" cm="1">
        <f t="array" ref="U34">IF(IFERROR(_xlfn._xlws.FILTER($D$5:$D$999,$B$5:$B$999=$Q34),"")&lt;=$S34,"마감","필요")</f>
        <v>필요</v>
      </c>
      <c r="V34" s="97"/>
      <c r="W34" s="89" t="str">
        <v>nz</v>
      </c>
      <c r="X34" s="49">
        <v>46036</v>
      </c>
      <c r="Y34" s="49">
        <v>46064</v>
      </c>
      <c r="Z34" s="90">
        <v>29</v>
      </c>
      <c r="AA34" s="91" t="str">
        <v>nz</v>
      </c>
      <c r="AB34" s="92">
        <v>46007</v>
      </c>
      <c r="AC34" s="92">
        <v>46035</v>
      </c>
      <c r="AD34" s="90">
        <v>29</v>
      </c>
      <c r="AE34" s="94" t="str">
        <v>nz</v>
      </c>
      <c r="AF34" s="92">
        <v>45642</v>
      </c>
      <c r="AG34" s="92">
        <v>45670</v>
      </c>
      <c r="AH34" s="90">
        <v>29</v>
      </c>
      <c r="AI34" s="93">
        <v>45670</v>
      </c>
      <c r="AJ34" s="96">
        <v>29</v>
      </c>
    </row>
    <row r="35" spans="2:36">
      <c r="B35" s="89" t="str">
        <v>pe</v>
      </c>
      <c r="C35" s="49">
        <v>46048</v>
      </c>
      <c r="D35" s="49">
        <v>46063</v>
      </c>
      <c r="E35" s="90">
        <f t="shared" si="0"/>
        <v>16</v>
      </c>
      <c r="F35" s="91" t="str">
        <v>pe</v>
      </c>
      <c r="G35" s="92">
        <f t="shared" si="1"/>
        <v>46032</v>
      </c>
      <c r="H35" s="92">
        <f t="shared" si="2"/>
        <v>46047</v>
      </c>
      <c r="I35" s="90">
        <f t="shared" si="3"/>
        <v>16</v>
      </c>
      <c r="J35" s="94" t="str">
        <v>pe</v>
      </c>
      <c r="K35" s="92">
        <f>IF($J35="","",
IF(VLOOKUP($J35,MASTER!$G$5:$L$201,5,0)="",DATE(YEAR(G35)-1,MONTH(G35),DAY(G35)),
VLOOKUP($J35,MASTER!$G$5:$L$201,5,0)))</f>
        <v>45667</v>
      </c>
      <c r="L35" s="92">
        <f t="shared" si="4"/>
        <v>45682</v>
      </c>
      <c r="M35" s="90">
        <f t="shared" si="5"/>
        <v>16</v>
      </c>
      <c r="N35" s="93">
        <f>IF($J35="","",
IF(VLOOKUP($J35,MASTER!$G$5:$L$201,6,0)="",DATE(YEAR(H35)-1,MONTH(H35),DAY(H35)),
VLOOKUP($J35,MASTER!$G$5:$L$201,6,0)))</f>
        <v>45682</v>
      </c>
      <c r="O35" s="96">
        <f t="shared" si="6"/>
        <v>16</v>
      </c>
      <c r="Q35" s="91" t="s">
        <v>219</v>
      </c>
      <c r="R35" s="92">
        <v>46081</v>
      </c>
      <c r="S35" s="92">
        <v>44988</v>
      </c>
      <c r="T35" s="96">
        <v>13</v>
      </c>
      <c r="U35" s="99" t="str" cm="1">
        <f t="array" ref="U35">IF(IFERROR(_xlfn._xlws.FILTER($D$5:$D$999,$B$5:$B$999=$Q35),"")&lt;=$S35,"마감","필요")</f>
        <v>필요</v>
      </c>
      <c r="V35" s="97"/>
      <c r="W35" s="89" t="str">
        <v>pe</v>
      </c>
      <c r="X35" s="49">
        <v>46048</v>
      </c>
      <c r="Y35" s="49">
        <v>46063</v>
      </c>
      <c r="Z35" s="90">
        <v>16</v>
      </c>
      <c r="AA35" s="91" t="str">
        <v>pe</v>
      </c>
      <c r="AB35" s="92">
        <v>46032</v>
      </c>
      <c r="AC35" s="92">
        <v>46047</v>
      </c>
      <c r="AD35" s="90">
        <v>16</v>
      </c>
      <c r="AE35" s="94" t="str">
        <v>pe</v>
      </c>
      <c r="AF35" s="92">
        <v>45667</v>
      </c>
      <c r="AG35" s="92">
        <v>45682</v>
      </c>
      <c r="AH35" s="90">
        <v>16</v>
      </c>
      <c r="AI35" s="93">
        <v>45682</v>
      </c>
      <c r="AJ35" s="96">
        <v>16</v>
      </c>
    </row>
    <row r="36" spans="2:36">
      <c r="B36" s="89" t="str">
        <v>ph</v>
      </c>
      <c r="C36" s="49">
        <v>46038</v>
      </c>
      <c r="D36" s="49">
        <v>46064</v>
      </c>
      <c r="E36" s="90">
        <f t="shared" si="0"/>
        <v>27</v>
      </c>
      <c r="F36" s="91" t="str">
        <v>ph</v>
      </c>
      <c r="G36" s="92">
        <f t="shared" si="1"/>
        <v>46011</v>
      </c>
      <c r="H36" s="92">
        <f t="shared" si="2"/>
        <v>46037</v>
      </c>
      <c r="I36" s="90">
        <f t="shared" si="3"/>
        <v>27</v>
      </c>
      <c r="J36" s="94" t="str">
        <v>ph</v>
      </c>
      <c r="K36" s="92">
        <f>IF($J36="","",
IF(VLOOKUP($J36,MASTER!$G$5:$L$201,5,0)="",DATE(YEAR(G36)-1,MONTH(G36),DAY(G36)),
VLOOKUP($J36,MASTER!$G$5:$L$201,5,0)))</f>
        <v>45646</v>
      </c>
      <c r="L36" s="92">
        <f t="shared" si="4"/>
        <v>45672</v>
      </c>
      <c r="M36" s="90">
        <f t="shared" si="5"/>
        <v>27</v>
      </c>
      <c r="N36" s="93">
        <f>IF($J36="","",
IF(VLOOKUP($J36,MASTER!$G$5:$L$201,6,0)="",DATE(YEAR(H36)-1,MONTH(H36),DAY(H36)),
VLOOKUP($J36,MASTER!$G$5:$L$201,6,0)))</f>
        <v>45672</v>
      </c>
      <c r="O36" s="96">
        <f t="shared" si="6"/>
        <v>27</v>
      </c>
      <c r="Q36" s="91" t="s">
        <v>223</v>
      </c>
      <c r="R36" s="92">
        <v>46066</v>
      </c>
      <c r="S36" s="92">
        <v>44988</v>
      </c>
      <c r="T36" s="96">
        <v>28</v>
      </c>
      <c r="U36" s="99" t="str" cm="1">
        <f t="array" ref="U36">IF(IFERROR(_xlfn._xlws.FILTER($D$5:$D$999,$B$5:$B$999=$Q36),"")&lt;=$S36,"마감","필요")</f>
        <v>필요</v>
      </c>
      <c r="V36" s="97"/>
      <c r="W36" s="89" t="str">
        <v>ph</v>
      </c>
      <c r="X36" s="49">
        <v>46038</v>
      </c>
      <c r="Y36" s="49">
        <v>46064</v>
      </c>
      <c r="Z36" s="90">
        <v>27</v>
      </c>
      <c r="AA36" s="91" t="str">
        <v>ph</v>
      </c>
      <c r="AB36" s="92">
        <v>46011</v>
      </c>
      <c r="AC36" s="92">
        <v>46037</v>
      </c>
      <c r="AD36" s="90">
        <v>27</v>
      </c>
      <c r="AE36" s="94" t="str">
        <v>ph</v>
      </c>
      <c r="AF36" s="92">
        <v>45646</v>
      </c>
      <c r="AG36" s="92">
        <v>45672</v>
      </c>
      <c r="AH36" s="90">
        <v>27</v>
      </c>
      <c r="AI36" s="93">
        <v>45672</v>
      </c>
      <c r="AJ36" s="96">
        <v>27</v>
      </c>
    </row>
    <row r="37" spans="2:36">
      <c r="B37" s="89" t="str">
        <v>pk</v>
      </c>
      <c r="C37" s="49">
        <v>46064</v>
      </c>
      <c r="D37" s="49">
        <v>46082</v>
      </c>
      <c r="E37" s="90">
        <f t="shared" ref="E37:E68" si="7">IF(C37="","",D37-C37+1)</f>
        <v>19</v>
      </c>
      <c r="F37" s="91" t="str">
        <v>pk</v>
      </c>
      <c r="G37" s="92">
        <f t="shared" ref="G37:G68" si="8">IF(B37="","",C37-(D37-C37+1))</f>
        <v>46045</v>
      </c>
      <c r="H37" s="92">
        <f t="shared" ref="H37:H68" si="9">IF(B37="","",C37-1)</f>
        <v>46063</v>
      </c>
      <c r="I37" s="90">
        <f t="shared" ref="I37:I68" si="10">IF(G37="","",H37-G37+1)</f>
        <v>19</v>
      </c>
      <c r="J37" s="94" t="str">
        <v>pk</v>
      </c>
      <c r="K37" s="92">
        <f>IF($J37="","",
IF(VLOOKUP($J37,MASTER!$G$5:$L$201,5,0)="",DATE(YEAR(G37)-1,MONTH(G37),DAY(G37)),
VLOOKUP($J37,MASTER!$G$5:$L$201,5,0)))</f>
        <v>45788</v>
      </c>
      <c r="L37" s="92" t="e">
        <f t="shared" ref="L37:L68" si="11">IF($J37="","",IF(O37&lt;&gt;I37,K37+(H37-G37),N37))</f>
        <v>#VALUE!</v>
      </c>
      <c r="M37" s="90" t="e">
        <f t="shared" ref="M37:M68" si="12">IF(K37="","",L37-K37+1)</f>
        <v>#VALUE!</v>
      </c>
      <c r="N37" s="93" t="str">
        <f>IF($J37="","",
IF(VLOOKUP($J37,MASTER!$G$5:$L$201,6,0)="",DATE(YEAR(H37)-1,MONTH(H37),DAY(H37)),
VLOOKUP($J37,MASTER!$G$5:$L$201,6,0)))</f>
        <v>TBD</v>
      </c>
      <c r="O37" s="96" t="e">
        <f t="shared" ref="O37:O68" si="13">IF(K37="","",N37-K37+1)</f>
        <v>#VALUE!</v>
      </c>
      <c r="Q37" s="91" t="s">
        <v>225</v>
      </c>
      <c r="R37" s="92">
        <v>46080</v>
      </c>
      <c r="S37" s="92">
        <v>44988</v>
      </c>
      <c r="T37" s="96">
        <v>14</v>
      </c>
      <c r="U37" s="99" t="str" cm="1">
        <f t="array" ref="U37">IF(IFERROR(_xlfn._xlws.FILTER($D$5:$D$999,$B$5:$B$999=$Q37),"")&lt;=$S37,"마감","필요")</f>
        <v>필요</v>
      </c>
      <c r="V37" s="97"/>
      <c r="W37" s="89" t="str">
        <v>pk</v>
      </c>
      <c r="X37" s="49">
        <v>46064</v>
      </c>
      <c r="Y37" s="49">
        <v>46082</v>
      </c>
      <c r="Z37" s="90">
        <v>19</v>
      </c>
      <c r="AA37" s="91" t="str">
        <v>pk</v>
      </c>
      <c r="AB37" s="92">
        <v>46045</v>
      </c>
      <c r="AC37" s="92">
        <v>46063</v>
      </c>
      <c r="AD37" s="90">
        <v>19</v>
      </c>
      <c r="AE37" s="94" t="str">
        <v>pk</v>
      </c>
      <c r="AF37" s="92">
        <v>45788</v>
      </c>
      <c r="AG37" s="92" t="e">
        <v>#VALUE!</v>
      </c>
      <c r="AH37" s="90" t="e">
        <v>#VALUE!</v>
      </c>
      <c r="AI37" s="93" t="str">
        <v>TBD</v>
      </c>
      <c r="AJ37" s="96" t="e">
        <v>#VALUE!</v>
      </c>
    </row>
    <row r="38" spans="2:36">
      <c r="B38" s="89" t="str">
        <v>pt</v>
      </c>
      <c r="C38" s="49">
        <v>46042</v>
      </c>
      <c r="D38" s="49">
        <v>46063</v>
      </c>
      <c r="E38" s="90">
        <f t="shared" si="7"/>
        <v>22</v>
      </c>
      <c r="F38" s="91" t="str">
        <v>pt</v>
      </c>
      <c r="G38" s="92">
        <f t="shared" si="8"/>
        <v>46020</v>
      </c>
      <c r="H38" s="92">
        <f t="shared" si="9"/>
        <v>46041</v>
      </c>
      <c r="I38" s="90">
        <f t="shared" si="10"/>
        <v>22</v>
      </c>
      <c r="J38" s="94" t="str">
        <v>pt</v>
      </c>
      <c r="K38" s="92">
        <f>IF($J38="","",
IF(VLOOKUP($J38,MASTER!$G$5:$L$201,5,0)="",DATE(YEAR(G38)-1,MONTH(G38),DAY(G38)),
VLOOKUP($J38,MASTER!$G$5:$L$201,5,0)))</f>
        <v>45767</v>
      </c>
      <c r="L38" s="92">
        <f t="shared" si="11"/>
        <v>45788</v>
      </c>
      <c r="M38" s="90">
        <f t="shared" si="12"/>
        <v>22</v>
      </c>
      <c r="N38" s="93">
        <f>IF($J38="","",
IF(VLOOKUP($J38,MASTER!$G$5:$L$201,6,0)="",DATE(YEAR(H38)-1,MONTH(H38),DAY(H38)),
VLOOKUP($J38,MASTER!$G$5:$L$201,6,0)))</f>
        <v>45787</v>
      </c>
      <c r="O38" s="96">
        <f t="shared" si="13"/>
        <v>21</v>
      </c>
      <c r="Q38" s="91" t="s">
        <v>227</v>
      </c>
      <c r="R38" s="92">
        <v>46069</v>
      </c>
      <c r="S38" s="92">
        <v>44988</v>
      </c>
      <c r="T38" s="96">
        <v>25</v>
      </c>
      <c r="U38" s="99" t="str" cm="1">
        <f t="array" ref="U38">IF(IFERROR(_xlfn._xlws.FILTER($D$5:$D$999,$B$5:$B$999=$Q38),"")&lt;=$S38,"마감","필요")</f>
        <v>필요</v>
      </c>
      <c r="V38" s="97"/>
      <c r="W38" s="89" t="str">
        <v>pt</v>
      </c>
      <c r="X38" s="49">
        <v>46042</v>
      </c>
      <c r="Y38" s="49">
        <v>46063</v>
      </c>
      <c r="Z38" s="90">
        <v>22</v>
      </c>
      <c r="AA38" s="91" t="str">
        <v>pt</v>
      </c>
      <c r="AB38" s="92">
        <v>46020</v>
      </c>
      <c r="AC38" s="92">
        <v>46041</v>
      </c>
      <c r="AD38" s="90">
        <v>22</v>
      </c>
      <c r="AE38" s="94" t="str">
        <v>pt</v>
      </c>
      <c r="AF38" s="92">
        <v>45767</v>
      </c>
      <c r="AG38" s="92">
        <v>45788</v>
      </c>
      <c r="AH38" s="90">
        <v>22</v>
      </c>
      <c r="AI38" s="93">
        <v>45787</v>
      </c>
      <c r="AJ38" s="96">
        <v>21</v>
      </c>
    </row>
    <row r="39" spans="2:36">
      <c r="B39" s="89" t="str">
        <v>py</v>
      </c>
      <c r="C39" s="49">
        <v>46042</v>
      </c>
      <c r="D39" s="49">
        <v>46063</v>
      </c>
      <c r="E39" s="90">
        <f t="shared" si="7"/>
        <v>22</v>
      </c>
      <c r="F39" s="91" t="str">
        <v>py</v>
      </c>
      <c r="G39" s="92">
        <f t="shared" si="8"/>
        <v>46020</v>
      </c>
      <c r="H39" s="92">
        <f t="shared" si="9"/>
        <v>46041</v>
      </c>
      <c r="I39" s="90">
        <f t="shared" si="10"/>
        <v>22</v>
      </c>
      <c r="J39" s="94" t="str">
        <v>py</v>
      </c>
      <c r="K39" s="92">
        <f>IF($J39="","",
IF(VLOOKUP($J39,MASTER!$G$5:$L$201,5,0)="",DATE(YEAR(G39)-1,MONTH(G39),DAY(G39)),
VLOOKUP($J39,MASTER!$G$5:$L$201,5,0)))</f>
        <v>45767</v>
      </c>
      <c r="L39" s="92">
        <f t="shared" si="11"/>
        <v>45788</v>
      </c>
      <c r="M39" s="90">
        <f t="shared" si="12"/>
        <v>22</v>
      </c>
      <c r="N39" s="93">
        <f>IF($J39="","",
IF(VLOOKUP($J39,MASTER!$G$5:$L$201,6,0)="",DATE(YEAR(H39)-1,MONTH(H39),DAY(H39)),
VLOOKUP($J39,MASTER!$G$5:$L$201,6,0)))</f>
        <v>45787</v>
      </c>
      <c r="O39" s="96">
        <f t="shared" si="13"/>
        <v>21</v>
      </c>
      <c r="Q39" s="91" t="s">
        <v>235</v>
      </c>
      <c r="R39" s="92">
        <v>46073</v>
      </c>
      <c r="S39" s="92">
        <v>44988</v>
      </c>
      <c r="T39" s="96">
        <v>21</v>
      </c>
      <c r="U39" s="99" t="str" cm="1">
        <f t="array" ref="U39">IF(IFERROR(_xlfn._xlws.FILTER($D$5:$D$999,$B$5:$B$999=$Q39),"")&lt;=$S39,"마감","필요")</f>
        <v>필요</v>
      </c>
      <c r="V39" s="97"/>
      <c r="W39" s="89" t="str">
        <v>py</v>
      </c>
      <c r="X39" s="49">
        <v>46042</v>
      </c>
      <c r="Y39" s="49">
        <v>46063</v>
      </c>
      <c r="Z39" s="90">
        <v>22</v>
      </c>
      <c r="AA39" s="91" t="str">
        <v>py</v>
      </c>
      <c r="AB39" s="92">
        <v>46020</v>
      </c>
      <c r="AC39" s="92">
        <v>46041</v>
      </c>
      <c r="AD39" s="90">
        <v>22</v>
      </c>
      <c r="AE39" s="94" t="str">
        <v>py</v>
      </c>
      <c r="AF39" s="92">
        <v>45767</v>
      </c>
      <c r="AG39" s="92">
        <v>45788</v>
      </c>
      <c r="AH39" s="90">
        <v>22</v>
      </c>
      <c r="AI39" s="93">
        <v>45787</v>
      </c>
      <c r="AJ39" s="96">
        <v>21</v>
      </c>
    </row>
    <row r="40" spans="2:36">
      <c r="B40" s="89" t="str">
        <v>sk</v>
      </c>
      <c r="C40" s="49">
        <v>46054</v>
      </c>
      <c r="D40" s="49">
        <v>46063</v>
      </c>
      <c r="E40" s="90">
        <f t="shared" si="7"/>
        <v>10</v>
      </c>
      <c r="F40" s="91" t="str">
        <v>sk</v>
      </c>
      <c r="G40" s="92">
        <f t="shared" si="8"/>
        <v>46044</v>
      </c>
      <c r="H40" s="92">
        <f t="shared" si="9"/>
        <v>46053</v>
      </c>
      <c r="I40" s="90">
        <f t="shared" si="10"/>
        <v>10</v>
      </c>
      <c r="J40" s="94" t="str">
        <v>sk</v>
      </c>
      <c r="K40" s="92">
        <f>IF($J40="","",
IF(VLOOKUP($J40,MASTER!$G$5:$L$201,5,0)="",DATE(YEAR(G40)-1,MONTH(G40),DAY(G40)),
VLOOKUP($J40,MASTER!$G$5:$L$201,5,0)))</f>
        <v>45778</v>
      </c>
      <c r="L40" s="92">
        <f t="shared" si="11"/>
        <v>45787</v>
      </c>
      <c r="M40" s="90">
        <f t="shared" si="12"/>
        <v>10</v>
      </c>
      <c r="N40" s="93">
        <f>IF($J40="","",
IF(VLOOKUP($J40,MASTER!$G$5:$L$201,6,0)="",DATE(YEAR(H40)-1,MONTH(H40),DAY(H40)),
VLOOKUP($J40,MASTER!$G$5:$L$201,6,0)))</f>
        <v>45787</v>
      </c>
      <c r="O40" s="96">
        <f t="shared" si="13"/>
        <v>10</v>
      </c>
      <c r="Q40" s="91" t="s">
        <v>237</v>
      </c>
      <c r="R40" s="92">
        <v>46073</v>
      </c>
      <c r="S40" s="92">
        <v>44988</v>
      </c>
      <c r="T40" s="96">
        <v>21</v>
      </c>
      <c r="U40" s="99" t="str" cm="1">
        <f t="array" ref="U40">IF(IFERROR(_xlfn._xlws.FILTER($D$5:$D$999,$B$5:$B$999=$Q40),"")&lt;=$S40,"마감","필요")</f>
        <v>필요</v>
      </c>
      <c r="V40" s="97"/>
      <c r="W40" s="89" t="str">
        <v>sk</v>
      </c>
      <c r="X40" s="49">
        <v>46054</v>
      </c>
      <c r="Y40" s="49">
        <v>46063</v>
      </c>
      <c r="Z40" s="90">
        <v>10</v>
      </c>
      <c r="AA40" s="91" t="str">
        <v>sk</v>
      </c>
      <c r="AB40" s="92">
        <v>46044</v>
      </c>
      <c r="AC40" s="92">
        <v>46053</v>
      </c>
      <c r="AD40" s="90">
        <v>10</v>
      </c>
      <c r="AE40" s="94" t="str">
        <v>sk</v>
      </c>
      <c r="AF40" s="92">
        <v>45778</v>
      </c>
      <c r="AG40" s="92">
        <v>45787</v>
      </c>
      <c r="AH40" s="90">
        <v>10</v>
      </c>
      <c r="AI40" s="93">
        <v>45787</v>
      </c>
      <c r="AJ40" s="96">
        <v>10</v>
      </c>
    </row>
    <row r="41" spans="2:36">
      <c r="B41" s="89" t="str">
        <v>tw</v>
      </c>
      <c r="C41" s="49">
        <v>46054</v>
      </c>
      <c r="D41" s="49">
        <v>46063</v>
      </c>
      <c r="E41" s="90">
        <f t="shared" si="7"/>
        <v>10</v>
      </c>
      <c r="F41" s="91" t="str">
        <v>tw</v>
      </c>
      <c r="G41" s="92">
        <f t="shared" si="8"/>
        <v>46044</v>
      </c>
      <c r="H41" s="92">
        <f t="shared" si="9"/>
        <v>46053</v>
      </c>
      <c r="I41" s="90">
        <f t="shared" si="10"/>
        <v>10</v>
      </c>
      <c r="J41" s="94" t="str">
        <v>tw</v>
      </c>
      <c r="K41" s="92">
        <f>IF($J41="","",
IF(VLOOKUP($J41,MASTER!$G$5:$L$201,5,0)="",DATE(YEAR(G41)-1,MONTH(G41),DAY(G41)),
VLOOKUP($J41,MASTER!$G$5:$L$201,5,0)))</f>
        <v>45778</v>
      </c>
      <c r="L41" s="92">
        <f t="shared" si="11"/>
        <v>45787</v>
      </c>
      <c r="M41" s="90">
        <f t="shared" si="12"/>
        <v>10</v>
      </c>
      <c r="N41" s="93">
        <f>IF($J41="","",
IF(VLOOKUP($J41,MASTER!$G$5:$L$201,6,0)="",DATE(YEAR(H41)-1,MONTH(H41),DAY(H41)),
VLOOKUP($J41,MASTER!$G$5:$L$201,6,0)))</f>
        <v>45787</v>
      </c>
      <c r="O41" s="96">
        <f t="shared" si="13"/>
        <v>10</v>
      </c>
      <c r="Q41" s="91" t="s">
        <v>239</v>
      </c>
      <c r="R41" s="92">
        <v>46083</v>
      </c>
      <c r="S41" s="92">
        <v>44988</v>
      </c>
      <c r="T41" s="96">
        <v>7</v>
      </c>
      <c r="U41" s="99" t="str" cm="1">
        <f t="array" ref="U41">IF(IFERROR(_xlfn._xlws.FILTER($D$5:$D$999,$B$5:$B$999=$Q41),"")&lt;=$S41,"마감","필요")</f>
        <v>필요</v>
      </c>
      <c r="V41" s="97"/>
      <c r="W41" s="89" t="str">
        <v>tw</v>
      </c>
      <c r="X41" s="49">
        <v>46054</v>
      </c>
      <c r="Y41" s="49">
        <v>46063</v>
      </c>
      <c r="Z41" s="90">
        <v>10</v>
      </c>
      <c r="AA41" s="91" t="str">
        <v>tw</v>
      </c>
      <c r="AB41" s="92">
        <v>46044</v>
      </c>
      <c r="AC41" s="92">
        <v>46053</v>
      </c>
      <c r="AD41" s="90">
        <v>10</v>
      </c>
      <c r="AE41" s="94" t="str">
        <v>tw</v>
      </c>
      <c r="AF41" s="92">
        <v>45778</v>
      </c>
      <c r="AG41" s="92">
        <v>45787</v>
      </c>
      <c r="AH41" s="90">
        <v>10</v>
      </c>
      <c r="AI41" s="93">
        <v>45787</v>
      </c>
      <c r="AJ41" s="96">
        <v>10</v>
      </c>
    </row>
    <row r="42" spans="2:36">
      <c r="B42" s="89" t="str">
        <v>uy</v>
      </c>
      <c r="C42" s="49">
        <v>46042</v>
      </c>
      <c r="D42" s="49">
        <v>46063</v>
      </c>
      <c r="E42" s="90">
        <f t="shared" si="7"/>
        <v>22</v>
      </c>
      <c r="F42" s="94" t="str">
        <v>uy</v>
      </c>
      <c r="G42" s="92">
        <f t="shared" si="8"/>
        <v>46020</v>
      </c>
      <c r="H42" s="92">
        <f t="shared" si="9"/>
        <v>46041</v>
      </c>
      <c r="I42" s="90">
        <f t="shared" si="10"/>
        <v>22</v>
      </c>
      <c r="J42" s="94" t="str">
        <v>uy</v>
      </c>
      <c r="K42" s="92">
        <f>IF($J42="","",
IF(VLOOKUP($J42,MASTER!$G$5:$L$201,5,0)="",DATE(YEAR(G42)-1,MONTH(G42),DAY(G42)),
VLOOKUP($J42,MASTER!$G$5:$L$201,5,0)))</f>
        <v>45767</v>
      </c>
      <c r="L42" s="92">
        <f t="shared" si="11"/>
        <v>45788</v>
      </c>
      <c r="M42" s="90">
        <f t="shared" si="12"/>
        <v>22</v>
      </c>
      <c r="N42" s="93">
        <f>IF($J42="","",
IF(VLOOKUP($J42,MASTER!$G$5:$L$201,6,0)="",DATE(YEAR(H42)-1,MONTH(H42),DAY(H42)),
VLOOKUP($J42,MASTER!$G$5:$L$201,6,0)))</f>
        <v>45787</v>
      </c>
      <c r="O42" s="96">
        <f t="shared" si="13"/>
        <v>21</v>
      </c>
      <c r="Q42" s="91" t="s">
        <v>255</v>
      </c>
      <c r="R42" s="92">
        <v>46174</v>
      </c>
      <c r="S42" s="92">
        <v>44988</v>
      </c>
      <c r="T42" s="96">
        <v>10</v>
      </c>
      <c r="U42" s="99" t="str" cm="1">
        <f t="array" ref="U42">IF(IFERROR(_xlfn._xlws.FILTER($D$5:$D$999,$B$5:$B$999=$Q42),"")&lt;=$S42,"마감","필요")</f>
        <v>필요</v>
      </c>
      <c r="V42" s="97"/>
      <c r="W42" s="89" t="str">
        <v>uy</v>
      </c>
      <c r="X42" s="49">
        <v>46042</v>
      </c>
      <c r="Y42" s="49">
        <v>46063</v>
      </c>
      <c r="Z42" s="90">
        <v>22</v>
      </c>
      <c r="AA42" s="94" t="str">
        <v>uy</v>
      </c>
      <c r="AB42" s="92">
        <v>46020</v>
      </c>
      <c r="AC42" s="92">
        <v>46041</v>
      </c>
      <c r="AD42" s="90">
        <v>22</v>
      </c>
      <c r="AE42" s="94" t="str">
        <v>uy</v>
      </c>
      <c r="AF42" s="92">
        <v>45767</v>
      </c>
      <c r="AG42" s="92">
        <v>45788</v>
      </c>
      <c r="AH42" s="90">
        <v>22</v>
      </c>
      <c r="AI42" s="93">
        <v>45787</v>
      </c>
      <c r="AJ42" s="96">
        <v>21</v>
      </c>
    </row>
    <row r="43" spans="2:36">
      <c r="B43" s="89" t="str">
        <v>vn</v>
      </c>
      <c r="C43" s="49">
        <v>46054</v>
      </c>
      <c r="D43" s="49">
        <v>46067</v>
      </c>
      <c r="E43" s="90">
        <f t="shared" si="7"/>
        <v>14</v>
      </c>
      <c r="F43" s="94" t="str">
        <v>vn</v>
      </c>
      <c r="G43" s="92">
        <f t="shared" si="8"/>
        <v>46040</v>
      </c>
      <c r="H43" s="92">
        <f t="shared" si="9"/>
        <v>46053</v>
      </c>
      <c r="I43" s="90">
        <f t="shared" si="10"/>
        <v>14</v>
      </c>
      <c r="J43" s="94" t="str">
        <v>vn</v>
      </c>
      <c r="K43" s="92">
        <f>IF($J43="","",
IF(VLOOKUP($J43,MASTER!$G$5:$L$201,5,0)="",DATE(YEAR(G43)-1,MONTH(G43),DAY(G43)),
VLOOKUP($J43,MASTER!$G$5:$L$201,5,0)))</f>
        <v>45781</v>
      </c>
      <c r="L43" s="92">
        <f t="shared" si="11"/>
        <v>45794</v>
      </c>
      <c r="M43" s="90">
        <f t="shared" si="12"/>
        <v>14</v>
      </c>
      <c r="N43" s="93">
        <f>IF($J43="","",
IF(VLOOKUP($J43,MASTER!$G$5:$L$201,6,0)="",DATE(YEAR(H43)-1,MONTH(H43),DAY(H43)),
VLOOKUP($J43,MASTER!$G$5:$L$201,6,0)))</f>
        <v>45790</v>
      </c>
      <c r="O43" s="96">
        <f t="shared" si="13"/>
        <v>10</v>
      </c>
      <c r="Q43" s="91" t="s">
        <v>260</v>
      </c>
      <c r="R43" s="92">
        <v>46174</v>
      </c>
      <c r="S43" s="92">
        <v>44988</v>
      </c>
      <c r="T43" s="96">
        <v>10</v>
      </c>
      <c r="U43" s="99" t="str" cm="1">
        <f t="array" ref="U43">IF(IFERROR(_xlfn._xlws.FILTER($D$5:$D$999,$B$5:$B$999=$Q43),"")&lt;=$S43,"마감","필요")</f>
        <v>필요</v>
      </c>
      <c r="V43" s="97"/>
      <c r="W43" s="89" t="str">
        <v>vn</v>
      </c>
      <c r="X43" s="49">
        <v>46054</v>
      </c>
      <c r="Y43" s="49">
        <v>46067</v>
      </c>
      <c r="Z43" s="90">
        <v>14</v>
      </c>
      <c r="AA43" s="94" t="str">
        <v>vn</v>
      </c>
      <c r="AB43" s="92">
        <v>46040</v>
      </c>
      <c r="AC43" s="92">
        <v>46053</v>
      </c>
      <c r="AD43" s="90">
        <v>14</v>
      </c>
      <c r="AE43" s="94" t="str">
        <v>vn</v>
      </c>
      <c r="AF43" s="92">
        <v>45781</v>
      </c>
      <c r="AG43" s="92">
        <v>45794</v>
      </c>
      <c r="AH43" s="90">
        <v>14</v>
      </c>
      <c r="AI43" s="93">
        <v>45790</v>
      </c>
      <c r="AJ43" s="96">
        <v>10</v>
      </c>
    </row>
    <row r="44" spans="2:36">
      <c r="B44" s="89" t="str">
        <v>za</v>
      </c>
      <c r="C44" s="49">
        <v>46042</v>
      </c>
      <c r="D44" s="49">
        <v>46063</v>
      </c>
      <c r="E44" s="90">
        <f t="shared" si="7"/>
        <v>22</v>
      </c>
      <c r="F44" s="94" t="str">
        <v>za</v>
      </c>
      <c r="G44" s="92">
        <f t="shared" si="8"/>
        <v>46020</v>
      </c>
      <c r="H44" s="92">
        <f t="shared" si="9"/>
        <v>46041</v>
      </c>
      <c r="I44" s="90">
        <f t="shared" si="10"/>
        <v>22</v>
      </c>
      <c r="J44" s="94" t="str">
        <v>za</v>
      </c>
      <c r="K44" s="92">
        <f>IF($J44="","",
IF(VLOOKUP($J44,MASTER!$G$5:$L$201,5,0)="",DATE(YEAR(G44)-1,MONTH(G44),DAY(G44)),
VLOOKUP($J44,MASTER!$G$5:$L$201,5,0)))</f>
        <v>45767</v>
      </c>
      <c r="L44" s="92">
        <f t="shared" si="11"/>
        <v>45788</v>
      </c>
      <c r="M44" s="90">
        <f t="shared" si="12"/>
        <v>22</v>
      </c>
      <c r="N44" s="93">
        <f>IF($J44="","",
IF(VLOOKUP($J44,MASTER!$G$5:$L$201,6,0)="",DATE(YEAR(H44)-1,MONTH(H44),DAY(H44)),
VLOOKUP($J44,MASTER!$G$5:$L$201,6,0)))</f>
        <v>45787</v>
      </c>
      <c r="O44" s="96">
        <f t="shared" si="13"/>
        <v>21</v>
      </c>
      <c r="Q44" s="91" t="s">
        <v>267</v>
      </c>
      <c r="R44" s="92">
        <v>46073</v>
      </c>
      <c r="S44" s="92">
        <v>44988</v>
      </c>
      <c r="T44" s="96">
        <v>21</v>
      </c>
      <c r="U44" s="99" t="str" cm="1">
        <f t="array" ref="U44">IF(IFERROR(_xlfn._xlws.FILTER($D$5:$D$999,$B$5:$B$999=$Q44),"")&lt;=$S44,"마감","필요")</f>
        <v>필요</v>
      </c>
      <c r="V44" s="97"/>
      <c r="W44" s="89" t="str">
        <v>za</v>
      </c>
      <c r="X44" s="49">
        <v>46042</v>
      </c>
      <c r="Y44" s="49">
        <v>46063</v>
      </c>
      <c r="Z44" s="90">
        <v>22</v>
      </c>
      <c r="AA44" s="94" t="str">
        <v>za</v>
      </c>
      <c r="AB44" s="92">
        <v>46020</v>
      </c>
      <c r="AC44" s="92">
        <v>46041</v>
      </c>
      <c r="AD44" s="90">
        <v>22</v>
      </c>
      <c r="AE44" s="94" t="str">
        <v>za</v>
      </c>
      <c r="AF44" s="92">
        <v>45767</v>
      </c>
      <c r="AG44" s="92">
        <v>45788</v>
      </c>
      <c r="AH44" s="90">
        <v>22</v>
      </c>
      <c r="AI44" s="93">
        <v>45787</v>
      </c>
      <c r="AJ44" s="96">
        <v>21</v>
      </c>
    </row>
    <row r="45" spans="2:36">
      <c r="B45" s="89"/>
      <c r="C45" s="49"/>
      <c r="D45" s="49"/>
      <c r="E45" s="90" t="str">
        <f t="shared" si="7"/>
        <v/>
      </c>
      <c r="F45" s="94" t="str">
        <v/>
      </c>
      <c r="G45" s="92" t="str">
        <f t="shared" si="8"/>
        <v/>
      </c>
      <c r="H45" s="92" t="str">
        <f t="shared" si="9"/>
        <v/>
      </c>
      <c r="I45" s="90" t="str">
        <f t="shared" si="10"/>
        <v/>
      </c>
      <c r="J45" s="94" t="str">
        <v/>
      </c>
      <c r="K45" s="92" t="str">
        <f>IF($J45="","",
IF(VLOOKUP($J45,MASTER!$G$5:$L$201,5,0)="",DATE(YEAR(G45)-1,MONTH(G45),DAY(G45)),
VLOOKUP($J45,MASTER!$G$5:$L$201,5,0)))</f>
        <v/>
      </c>
      <c r="L45" s="92" t="str">
        <f t="shared" si="11"/>
        <v/>
      </c>
      <c r="M45" s="90" t="str">
        <f t="shared" si="12"/>
        <v/>
      </c>
      <c r="N45" s="93" t="str">
        <f>IF($J45="","",
IF(VLOOKUP($J45,MASTER!$G$5:$L$201,6,0)="",DATE(YEAR(H45)-1,MONTH(H45),DAY(H45)),
VLOOKUP($J45,MASTER!$G$5:$L$201,6,0)))</f>
        <v/>
      </c>
      <c r="O45" s="96" t="str">
        <f t="shared" si="13"/>
        <v/>
      </c>
      <c r="Q45" s="91" t="s">
        <v>273</v>
      </c>
      <c r="R45" s="92">
        <v>46175</v>
      </c>
      <c r="S45" s="92">
        <v>44988</v>
      </c>
      <c r="T45" s="96">
        <v>7</v>
      </c>
      <c r="U45" s="99" t="str" cm="1">
        <f t="array" ref="U45">IF(IFERROR(_xlfn._xlws.FILTER($D$5:$D$999,$B$5:$B$999=$Q45),"")&lt;=$S45,"마감","필요")</f>
        <v>필요</v>
      </c>
      <c r="V45" s="97"/>
      <c r="W45" s="89">
        <v>0</v>
      </c>
      <c r="X45" s="49">
        <v>0</v>
      </c>
      <c r="Y45" s="49">
        <v>0</v>
      </c>
      <c r="Z45" s="90" t="str">
        <v/>
      </c>
      <c r="AA45" s="94" t="str">
        <v/>
      </c>
      <c r="AB45" s="92" t="str">
        <v/>
      </c>
      <c r="AC45" s="92" t="str">
        <v/>
      </c>
      <c r="AD45" s="90" t="str">
        <v/>
      </c>
      <c r="AE45" s="94" t="str">
        <v/>
      </c>
      <c r="AF45" s="92" t="str">
        <v/>
      </c>
      <c r="AG45" s="92" t="str">
        <v/>
      </c>
      <c r="AH45" s="90" t="str">
        <v/>
      </c>
      <c r="AI45" s="93" t="str">
        <v/>
      </c>
      <c r="AJ45" s="96" t="str">
        <v/>
      </c>
    </row>
    <row r="46" spans="2:36">
      <c r="B46" s="89"/>
      <c r="C46" s="49"/>
      <c r="D46" s="49"/>
      <c r="E46" s="90" t="str">
        <f t="shared" si="7"/>
        <v/>
      </c>
      <c r="F46" s="94" t="str">
        <v/>
      </c>
      <c r="G46" s="92" t="str">
        <f t="shared" si="8"/>
        <v/>
      </c>
      <c r="H46" s="92" t="str">
        <f t="shared" si="9"/>
        <v/>
      </c>
      <c r="I46" s="90" t="str">
        <f t="shared" si="10"/>
        <v/>
      </c>
      <c r="J46" s="94" t="str">
        <v/>
      </c>
      <c r="K46" s="92" t="str">
        <f>IF($J46="","",
IF(VLOOKUP($J46,MASTER!$G$5:$L$201,5,0)="",DATE(YEAR(G46)-1,MONTH(G46),DAY(G46)),
VLOOKUP($J46,MASTER!$G$5:$L$201,5,0)))</f>
        <v/>
      </c>
      <c r="L46" s="92" t="str">
        <f t="shared" si="11"/>
        <v/>
      </c>
      <c r="M46" s="90" t="str">
        <f t="shared" si="12"/>
        <v/>
      </c>
      <c r="N46" s="93" t="str">
        <f>IF($J46="","",
IF(VLOOKUP($J46,MASTER!$G$5:$L$201,6,0)="",DATE(YEAR(H46)-1,MONTH(H46),DAY(H46)),
VLOOKUP($J46,MASTER!$G$5:$L$201,6,0)))</f>
        <v/>
      </c>
      <c r="O46" s="96" t="str">
        <f t="shared" si="13"/>
        <v/>
      </c>
      <c r="Q46" s="91" t="s">
        <v>275</v>
      </c>
      <c r="R46" s="92">
        <v>46073</v>
      </c>
      <c r="S46" s="92">
        <v>44988</v>
      </c>
      <c r="T46" s="96">
        <v>21</v>
      </c>
      <c r="U46" s="99" t="str" cm="1">
        <f t="array" ref="U46">IF(IFERROR(_xlfn._xlws.FILTER($D$5:$D$999,$B$5:$B$999=$Q46),"")&lt;=$S46,"마감","필요")</f>
        <v>필요</v>
      </c>
      <c r="V46" s="97"/>
      <c r="W46" s="89">
        <v>0</v>
      </c>
      <c r="X46" s="49">
        <v>0</v>
      </c>
      <c r="Y46" s="49">
        <v>0</v>
      </c>
      <c r="Z46" s="90" t="str">
        <v/>
      </c>
      <c r="AA46" s="94" t="str">
        <v/>
      </c>
      <c r="AB46" s="92" t="str">
        <v/>
      </c>
      <c r="AC46" s="92" t="str">
        <v/>
      </c>
      <c r="AD46" s="90" t="str">
        <v/>
      </c>
      <c r="AE46" s="94" t="str">
        <v/>
      </c>
      <c r="AF46" s="92" t="str">
        <v/>
      </c>
      <c r="AG46" s="92" t="str">
        <v/>
      </c>
      <c r="AH46" s="90" t="str">
        <v/>
      </c>
      <c r="AI46" s="93" t="str">
        <v/>
      </c>
      <c r="AJ46" s="96" t="str">
        <v/>
      </c>
    </row>
    <row r="47" spans="2:36">
      <c r="B47" s="89"/>
      <c r="C47" s="49"/>
      <c r="D47" s="49"/>
      <c r="E47" s="90" t="str">
        <f t="shared" si="7"/>
        <v/>
      </c>
      <c r="F47" s="94" t="str">
        <v/>
      </c>
      <c r="G47" s="92" t="str">
        <f t="shared" si="8"/>
        <v/>
      </c>
      <c r="H47" s="92" t="str">
        <f t="shared" si="9"/>
        <v/>
      </c>
      <c r="I47" s="90" t="str">
        <f t="shared" si="10"/>
        <v/>
      </c>
      <c r="J47" s="94" t="str">
        <v/>
      </c>
      <c r="K47" s="92" t="str">
        <f>IF($J47="","",
IF(VLOOKUP($J47,MASTER!$G$5:$L$201,5,0)="",DATE(YEAR(G47)-1,MONTH(G47),DAY(G47)),
VLOOKUP($J47,MASTER!$G$5:$L$201,5,0)))</f>
        <v/>
      </c>
      <c r="L47" s="92" t="str">
        <f t="shared" si="11"/>
        <v/>
      </c>
      <c r="M47" s="90" t="str">
        <f t="shared" si="12"/>
        <v/>
      </c>
      <c r="N47" s="93" t="str">
        <f>IF($J47="","",
IF(VLOOKUP($J47,MASTER!$G$5:$L$201,6,0)="",DATE(YEAR(H47)-1,MONTH(H47),DAY(H47)),
VLOOKUP($J47,MASTER!$G$5:$L$201,6,0)))</f>
        <v/>
      </c>
      <c r="O47" s="96" t="str">
        <f t="shared" si="13"/>
        <v/>
      </c>
      <c r="Q47" s="94"/>
      <c r="T47" s="98"/>
      <c r="U47" s="100"/>
      <c r="W47" s="94"/>
      <c r="AA47" s="94"/>
      <c r="AD47" s="98"/>
      <c r="AI47" s="94"/>
      <c r="AJ47" s="98"/>
    </row>
    <row r="48" spans="2:36">
      <c r="B48" s="89"/>
      <c r="C48" s="49"/>
      <c r="D48" s="49"/>
      <c r="E48" s="90" t="str">
        <f t="shared" si="7"/>
        <v/>
      </c>
      <c r="F48" s="94" t="str">
        <v/>
      </c>
      <c r="G48" s="92" t="str">
        <f t="shared" si="8"/>
        <v/>
      </c>
      <c r="H48" s="92" t="str">
        <f t="shared" si="9"/>
        <v/>
      </c>
      <c r="I48" s="90" t="str">
        <f t="shared" si="10"/>
        <v/>
      </c>
      <c r="J48" s="94" t="str">
        <v/>
      </c>
      <c r="K48" s="92" t="str">
        <f>IF($J48="","",
IF(VLOOKUP($J48,MASTER!$G$5:$L$201,5,0)="",DATE(YEAR(G48)-1,MONTH(G48),DAY(G48)),
VLOOKUP($J48,MASTER!$G$5:$L$201,5,0)))</f>
        <v/>
      </c>
      <c r="L48" s="92" t="str">
        <f t="shared" si="11"/>
        <v/>
      </c>
      <c r="M48" s="90" t="str">
        <f t="shared" si="12"/>
        <v/>
      </c>
      <c r="N48" s="93" t="str">
        <f>IF($J48="","",
IF(VLOOKUP($J48,MASTER!$G$5:$L$201,6,0)="",DATE(YEAR(H48)-1,MONTH(H48),DAY(H48)),
VLOOKUP($J48,MASTER!$G$5:$L$201,6,0)))</f>
        <v/>
      </c>
      <c r="O48" s="96" t="str">
        <f t="shared" si="13"/>
        <v/>
      </c>
      <c r="Q48" s="94"/>
      <c r="T48" s="98"/>
      <c r="U48" s="100"/>
      <c r="W48" s="94"/>
      <c r="AA48" s="94"/>
      <c r="AD48" s="98"/>
      <c r="AI48" s="94"/>
      <c r="AJ48" s="98"/>
    </row>
    <row r="49" spans="2:36">
      <c r="B49" s="94"/>
      <c r="E49" s="90" t="str">
        <f t="shared" si="7"/>
        <v/>
      </c>
      <c r="F49" s="94" t="str">
        <v/>
      </c>
      <c r="G49" s="92" t="str">
        <f t="shared" si="8"/>
        <v/>
      </c>
      <c r="H49" s="92" t="str">
        <f t="shared" si="9"/>
        <v/>
      </c>
      <c r="I49" s="90" t="str">
        <f t="shared" si="10"/>
        <v/>
      </c>
      <c r="J49" s="94" t="str">
        <v/>
      </c>
      <c r="K49" s="92" t="str">
        <f>IF($J49="","",
IF(VLOOKUP($J49,MASTER!$G$5:$L$201,5,0)="",DATE(YEAR(G49)-1,MONTH(G49),DAY(G49)),
VLOOKUP($J49,MASTER!$G$5:$L$201,5,0)))</f>
        <v/>
      </c>
      <c r="L49" s="92" t="str">
        <f t="shared" si="11"/>
        <v/>
      </c>
      <c r="M49" s="90" t="str">
        <f t="shared" si="12"/>
        <v/>
      </c>
      <c r="N49" s="93" t="str">
        <f>IF($J49="","",
IF(VLOOKUP($J49,MASTER!$G$5:$L$201,6,0)="",DATE(YEAR(H49)-1,MONTH(H49),DAY(H49)),
VLOOKUP($J49,MASTER!$G$5:$L$201,6,0)))</f>
        <v/>
      </c>
      <c r="O49" s="96" t="str">
        <f t="shared" si="13"/>
        <v/>
      </c>
      <c r="Q49" s="94"/>
      <c r="T49" s="98"/>
      <c r="U49" s="100"/>
      <c r="W49" s="94"/>
      <c r="AA49" s="94"/>
      <c r="AD49" s="98"/>
      <c r="AI49" s="94"/>
      <c r="AJ49" s="98"/>
    </row>
    <row r="50" spans="2:36">
      <c r="B50" s="94"/>
      <c r="E50" s="90" t="str">
        <f t="shared" si="7"/>
        <v/>
      </c>
      <c r="F50" s="94" t="str">
        <v/>
      </c>
      <c r="G50" s="92" t="str">
        <f t="shared" si="8"/>
        <v/>
      </c>
      <c r="H50" s="92" t="str">
        <f t="shared" si="9"/>
        <v/>
      </c>
      <c r="I50" s="90" t="str">
        <f t="shared" si="10"/>
        <v/>
      </c>
      <c r="J50" s="94" t="str">
        <v/>
      </c>
      <c r="K50" s="92" t="str">
        <f>IF($J50="","",
IF(VLOOKUP($J50,MASTER!$G$5:$L$201,5,0)="",DATE(YEAR(G50)-1,MONTH(G50),DAY(G50)),
VLOOKUP($J50,MASTER!$G$5:$L$201,5,0)))</f>
        <v/>
      </c>
      <c r="L50" s="92" t="str">
        <f t="shared" si="11"/>
        <v/>
      </c>
      <c r="M50" s="90" t="str">
        <f t="shared" si="12"/>
        <v/>
      </c>
      <c r="N50" s="93" t="str">
        <f>IF($J50="","",
IF(VLOOKUP($J50,MASTER!$G$5:$L$201,6,0)="",DATE(YEAR(H50)-1,MONTH(H50),DAY(H50)),
VLOOKUP($J50,MASTER!$G$5:$L$201,6,0)))</f>
        <v/>
      </c>
      <c r="O50" s="96" t="str">
        <f t="shared" si="13"/>
        <v/>
      </c>
      <c r="Q50" s="94"/>
      <c r="T50" s="98"/>
      <c r="U50" s="100"/>
      <c r="W50" s="94"/>
      <c r="AA50" s="94"/>
      <c r="AD50" s="98"/>
      <c r="AI50" s="94"/>
      <c r="AJ50" s="98"/>
    </row>
    <row r="51" spans="2:36">
      <c r="B51" s="94"/>
      <c r="E51" s="90" t="str">
        <f t="shared" si="7"/>
        <v/>
      </c>
      <c r="F51" s="94" t="str">
        <v/>
      </c>
      <c r="G51" s="92" t="str">
        <f t="shared" si="8"/>
        <v/>
      </c>
      <c r="H51" s="92" t="str">
        <f t="shared" si="9"/>
        <v/>
      </c>
      <c r="I51" s="90" t="str">
        <f t="shared" si="10"/>
        <v/>
      </c>
      <c r="J51" s="94" t="str">
        <v/>
      </c>
      <c r="K51" s="92" t="str">
        <f>IF($J51="","",
IF(VLOOKUP($J51,MASTER!$G$5:$L$201,5,0)="",DATE(YEAR(G51)-1,MONTH(G51),DAY(G51)),
VLOOKUP($J51,MASTER!$G$5:$L$201,5,0)))</f>
        <v/>
      </c>
      <c r="L51" s="92" t="str">
        <f t="shared" si="11"/>
        <v/>
      </c>
      <c r="M51" s="90" t="str">
        <f t="shared" si="12"/>
        <v/>
      </c>
      <c r="N51" s="93" t="str">
        <f>IF($J51="","",
IF(VLOOKUP($J51,MASTER!$G$5:$L$201,6,0)="",DATE(YEAR(H51)-1,MONTH(H51),DAY(H51)),
VLOOKUP($J51,MASTER!$G$5:$L$201,6,0)))</f>
        <v/>
      </c>
      <c r="O51" s="96" t="str">
        <f t="shared" si="13"/>
        <v/>
      </c>
      <c r="Q51" s="94"/>
      <c r="T51" s="98"/>
      <c r="U51" s="100"/>
      <c r="W51" s="94"/>
      <c r="AA51" s="94"/>
      <c r="AD51" s="98"/>
      <c r="AI51" s="94"/>
      <c r="AJ51" s="98"/>
    </row>
    <row r="52" spans="2:36">
      <c r="B52" s="94"/>
      <c r="E52" s="90" t="str">
        <f t="shared" si="7"/>
        <v/>
      </c>
      <c r="F52" s="94" t="str">
        <v/>
      </c>
      <c r="G52" s="92" t="str">
        <f t="shared" si="8"/>
        <v/>
      </c>
      <c r="H52" s="92" t="str">
        <f t="shared" si="9"/>
        <v/>
      </c>
      <c r="I52" s="90" t="str">
        <f t="shared" si="10"/>
        <v/>
      </c>
      <c r="J52" s="94" t="str">
        <v/>
      </c>
      <c r="K52" s="92" t="str">
        <f>IF($J52="","",
IF(VLOOKUP($J52,MASTER!$G$5:$L$201,5,0)="",DATE(YEAR(G52)-1,MONTH(G52),DAY(G52)),
VLOOKUP($J52,MASTER!$G$5:$L$201,5,0)))</f>
        <v/>
      </c>
      <c r="L52" s="92" t="str">
        <f t="shared" si="11"/>
        <v/>
      </c>
      <c r="M52" s="90" t="str">
        <f t="shared" si="12"/>
        <v/>
      </c>
      <c r="N52" s="93" t="str">
        <f>IF($J52="","",
IF(VLOOKUP($J52,MASTER!$G$5:$L$201,6,0)="",DATE(YEAR(H52)-1,MONTH(H52),DAY(H52)),
VLOOKUP($J52,MASTER!$G$5:$L$201,6,0)))</f>
        <v/>
      </c>
      <c r="O52" s="96" t="str">
        <f t="shared" si="13"/>
        <v/>
      </c>
      <c r="Q52" s="94"/>
      <c r="T52" s="98"/>
      <c r="U52" s="100"/>
      <c r="W52" s="94"/>
      <c r="AA52" s="94"/>
      <c r="AD52" s="98"/>
      <c r="AI52" s="94"/>
      <c r="AJ52" s="98"/>
    </row>
    <row r="53" spans="2:36">
      <c r="B53" s="94"/>
      <c r="E53" s="90" t="str">
        <f t="shared" si="7"/>
        <v/>
      </c>
      <c r="F53" s="94" t="str">
        <v/>
      </c>
      <c r="G53" s="92" t="str">
        <f t="shared" si="8"/>
        <v/>
      </c>
      <c r="H53" s="92" t="str">
        <f t="shared" si="9"/>
        <v/>
      </c>
      <c r="I53" s="90" t="str">
        <f t="shared" si="10"/>
        <v/>
      </c>
      <c r="J53" s="94" t="str">
        <v/>
      </c>
      <c r="K53" s="92" t="str">
        <f>IF($J53="","",
IF(VLOOKUP($J53,MASTER!$G$5:$L$201,5,0)="",DATE(YEAR(G53)-1,MONTH(G53),DAY(G53)),
VLOOKUP($J53,MASTER!$G$5:$L$201,5,0)))</f>
        <v/>
      </c>
      <c r="L53" s="92" t="str">
        <f t="shared" si="11"/>
        <v/>
      </c>
      <c r="M53" s="90" t="str">
        <f t="shared" si="12"/>
        <v/>
      </c>
      <c r="N53" s="93" t="str">
        <f>IF($J53="","",
IF(VLOOKUP($J53,MASTER!$G$5:$L$201,6,0)="",DATE(YEAR(H53)-1,MONTH(H53),DAY(H53)),
VLOOKUP($J53,MASTER!$G$5:$L$201,6,0)))</f>
        <v/>
      </c>
      <c r="O53" s="96" t="str">
        <f t="shared" si="13"/>
        <v/>
      </c>
      <c r="Q53" s="94"/>
      <c r="T53" s="98"/>
      <c r="U53" s="100"/>
      <c r="W53" s="94"/>
      <c r="AA53" s="94"/>
      <c r="AD53" s="98"/>
      <c r="AI53" s="94"/>
      <c r="AJ53" s="98"/>
    </row>
    <row r="54" spans="2:36">
      <c r="B54" s="94"/>
      <c r="E54" s="90" t="str">
        <f t="shared" si="7"/>
        <v/>
      </c>
      <c r="F54" s="94" t="str">
        <v/>
      </c>
      <c r="G54" s="92" t="str">
        <f t="shared" si="8"/>
        <v/>
      </c>
      <c r="H54" s="92" t="str">
        <f t="shared" si="9"/>
        <v/>
      </c>
      <c r="I54" s="90" t="str">
        <f t="shared" si="10"/>
        <v/>
      </c>
      <c r="J54" s="94" t="str">
        <v/>
      </c>
      <c r="K54" s="92" t="str">
        <f>IF($J54="","",
IF(VLOOKUP($J54,MASTER!$G$5:$L$201,5,0)="",DATE(YEAR(G54)-1,MONTH(G54),DAY(G54)),
VLOOKUP($J54,MASTER!$G$5:$L$201,5,0)))</f>
        <v/>
      </c>
      <c r="L54" s="92" t="str">
        <f t="shared" si="11"/>
        <v/>
      </c>
      <c r="M54" s="90" t="str">
        <f t="shared" si="12"/>
        <v/>
      </c>
      <c r="N54" s="93" t="str">
        <f>IF($J54="","",
IF(VLOOKUP($J54,MASTER!$G$5:$L$201,6,0)="",DATE(YEAR(H54)-1,MONTH(H54),DAY(H54)),
VLOOKUP($J54,MASTER!$G$5:$L$201,6,0)))</f>
        <v/>
      </c>
      <c r="O54" s="96" t="str">
        <f t="shared" si="13"/>
        <v/>
      </c>
      <c r="Q54" s="94"/>
      <c r="T54" s="98"/>
      <c r="U54" s="100"/>
      <c r="W54" s="94"/>
      <c r="AA54" s="94"/>
      <c r="AD54" s="98"/>
      <c r="AI54" s="94"/>
      <c r="AJ54" s="98"/>
    </row>
    <row r="55" spans="2:36">
      <c r="B55" s="94"/>
      <c r="E55" s="90" t="str">
        <f t="shared" si="7"/>
        <v/>
      </c>
      <c r="F55" s="94" t="str">
        <v/>
      </c>
      <c r="G55" s="92" t="str">
        <f t="shared" si="8"/>
        <v/>
      </c>
      <c r="H55" s="92" t="str">
        <f t="shared" si="9"/>
        <v/>
      </c>
      <c r="I55" s="90" t="str">
        <f t="shared" si="10"/>
        <v/>
      </c>
      <c r="J55" s="94" t="str">
        <v/>
      </c>
      <c r="K55" s="92" t="str">
        <f>IF($J55="","",
IF(VLOOKUP($J55,MASTER!$G$5:$L$201,5,0)="",DATE(YEAR(G55)-1,MONTH(G55),DAY(G55)),
VLOOKUP($J55,MASTER!$G$5:$L$201,5,0)))</f>
        <v/>
      </c>
      <c r="L55" s="92" t="str">
        <f t="shared" si="11"/>
        <v/>
      </c>
      <c r="M55" s="90" t="str">
        <f t="shared" si="12"/>
        <v/>
      </c>
      <c r="N55" s="93" t="str">
        <f>IF($J55="","",
IF(VLOOKUP($J55,MASTER!$G$5:$L$201,6,0)="",DATE(YEAR(H55)-1,MONTH(H55),DAY(H55)),
VLOOKUP($J55,MASTER!$G$5:$L$201,6,0)))</f>
        <v/>
      </c>
      <c r="O55" s="96" t="str">
        <f t="shared" si="13"/>
        <v/>
      </c>
      <c r="Q55" s="94"/>
      <c r="T55" s="98"/>
      <c r="U55" s="100"/>
      <c r="W55" s="94"/>
      <c r="AA55" s="94"/>
      <c r="AD55" s="98"/>
      <c r="AI55" s="94"/>
      <c r="AJ55" s="98"/>
    </row>
    <row r="56" spans="2:36">
      <c r="B56" s="94"/>
      <c r="E56" s="90" t="str">
        <f t="shared" si="7"/>
        <v/>
      </c>
      <c r="F56" s="94" t="str">
        <v/>
      </c>
      <c r="G56" s="92" t="str">
        <f t="shared" si="8"/>
        <v/>
      </c>
      <c r="H56" s="92" t="str">
        <f t="shared" si="9"/>
        <v/>
      </c>
      <c r="I56" s="90" t="str">
        <f t="shared" si="10"/>
        <v/>
      </c>
      <c r="J56" s="94" t="str">
        <v/>
      </c>
      <c r="K56" s="92" t="str">
        <f>IF($J56="","",
IF(VLOOKUP($J56,MASTER!$G$5:$L$201,5,0)="",DATE(YEAR(G56)-1,MONTH(G56),DAY(G56)),
VLOOKUP($J56,MASTER!$G$5:$L$201,5,0)))</f>
        <v/>
      </c>
      <c r="L56" s="92" t="str">
        <f t="shared" si="11"/>
        <v/>
      </c>
      <c r="M56" s="90" t="str">
        <f t="shared" si="12"/>
        <v/>
      </c>
      <c r="N56" s="93" t="str">
        <f>IF($J56="","",
IF(VLOOKUP($J56,MASTER!$G$5:$L$201,6,0)="",DATE(YEAR(H56)-1,MONTH(H56),DAY(H56)),
VLOOKUP($J56,MASTER!$G$5:$L$201,6,0)))</f>
        <v/>
      </c>
      <c r="O56" s="96" t="str">
        <f t="shared" si="13"/>
        <v/>
      </c>
      <c r="Q56" s="94"/>
      <c r="T56" s="98"/>
      <c r="U56" s="100"/>
      <c r="W56" s="94"/>
      <c r="AA56" s="94"/>
      <c r="AD56" s="98"/>
      <c r="AI56" s="94"/>
      <c r="AJ56" s="98"/>
    </row>
    <row r="57" spans="2:36">
      <c r="B57" s="94"/>
      <c r="E57" s="90" t="str">
        <f t="shared" si="7"/>
        <v/>
      </c>
      <c r="F57" s="94" t="str">
        <v/>
      </c>
      <c r="G57" s="92" t="str">
        <f t="shared" si="8"/>
        <v/>
      </c>
      <c r="H57" s="92" t="str">
        <f t="shared" si="9"/>
        <v/>
      </c>
      <c r="I57" s="90" t="str">
        <f t="shared" si="10"/>
        <v/>
      </c>
      <c r="J57" s="94" t="str">
        <v/>
      </c>
      <c r="K57" s="92" t="str">
        <f>IF($J57="","",
IF(VLOOKUP($J57,MASTER!$G$5:$L$201,5,0)="",DATE(YEAR(G57)-1,MONTH(G57),DAY(G57)),
VLOOKUP($J57,MASTER!$G$5:$L$201,5,0)))</f>
        <v/>
      </c>
      <c r="L57" s="92" t="str">
        <f t="shared" si="11"/>
        <v/>
      </c>
      <c r="M57" s="90" t="str">
        <f t="shared" si="12"/>
        <v/>
      </c>
      <c r="N57" s="93" t="str">
        <f>IF($J57="","",
IF(VLOOKUP($J57,MASTER!$G$5:$L$201,6,0)="",DATE(YEAR(H57)-1,MONTH(H57),DAY(H57)),
VLOOKUP($J57,MASTER!$G$5:$L$201,6,0)))</f>
        <v/>
      </c>
      <c r="O57" s="96" t="str">
        <f t="shared" si="13"/>
        <v/>
      </c>
      <c r="Q57" s="94"/>
      <c r="T57" s="98"/>
      <c r="U57" s="100"/>
      <c r="W57" s="94"/>
      <c r="AA57" s="94"/>
      <c r="AD57" s="98"/>
      <c r="AI57" s="94"/>
      <c r="AJ57" s="98"/>
    </row>
    <row r="58" spans="2:36">
      <c r="B58" s="94"/>
      <c r="E58" s="90" t="str">
        <f t="shared" si="7"/>
        <v/>
      </c>
      <c r="F58" s="94" t="str">
        <v/>
      </c>
      <c r="G58" s="92" t="str">
        <f t="shared" si="8"/>
        <v/>
      </c>
      <c r="H58" s="92" t="str">
        <f t="shared" si="9"/>
        <v/>
      </c>
      <c r="I58" s="90" t="str">
        <f t="shared" si="10"/>
        <v/>
      </c>
      <c r="J58" s="94" t="str">
        <v/>
      </c>
      <c r="K58" s="92" t="str">
        <f>IF($J58="","",
IF(VLOOKUP($J58,MASTER!$G$5:$L$201,5,0)="",DATE(YEAR(G58)-1,MONTH(G58),DAY(G58)),
VLOOKUP($J58,MASTER!$G$5:$L$201,5,0)))</f>
        <v/>
      </c>
      <c r="L58" s="92" t="str">
        <f t="shared" si="11"/>
        <v/>
      </c>
      <c r="M58" s="90" t="str">
        <f t="shared" si="12"/>
        <v/>
      </c>
      <c r="N58" s="93" t="str">
        <f>IF($J58="","",
IF(VLOOKUP($J58,MASTER!$G$5:$L$201,6,0)="",DATE(YEAR(H58)-1,MONTH(H58),DAY(H58)),
VLOOKUP($J58,MASTER!$G$5:$L$201,6,0)))</f>
        <v/>
      </c>
      <c r="O58" s="96" t="str">
        <f t="shared" si="13"/>
        <v/>
      </c>
      <c r="Q58" s="94"/>
      <c r="T58" s="98"/>
      <c r="U58" s="100"/>
      <c r="W58" s="94"/>
      <c r="AA58" s="94"/>
      <c r="AD58" s="98"/>
      <c r="AI58" s="94"/>
      <c r="AJ58" s="98"/>
    </row>
    <row r="59" spans="2:36">
      <c r="B59" s="94"/>
      <c r="E59" s="90" t="str">
        <f t="shared" si="7"/>
        <v/>
      </c>
      <c r="F59" s="94" t="str">
        <v/>
      </c>
      <c r="G59" s="92" t="str">
        <f t="shared" si="8"/>
        <v/>
      </c>
      <c r="H59" s="92" t="str">
        <f t="shared" si="9"/>
        <v/>
      </c>
      <c r="I59" s="90" t="str">
        <f t="shared" si="10"/>
        <v/>
      </c>
      <c r="J59" s="94" t="str">
        <v/>
      </c>
      <c r="K59" s="92" t="str">
        <f>IF($J59="","",
IF(VLOOKUP($J59,MASTER!$G$5:$L$201,5,0)="",DATE(YEAR(G59)-1,MONTH(G59),DAY(G59)),
VLOOKUP($J59,MASTER!$G$5:$L$201,5,0)))</f>
        <v/>
      </c>
      <c r="L59" s="92" t="str">
        <f t="shared" si="11"/>
        <v/>
      </c>
      <c r="M59" s="90" t="str">
        <f t="shared" si="12"/>
        <v/>
      </c>
      <c r="N59" s="93" t="str">
        <f>IF($J59="","",
IF(VLOOKUP($J59,MASTER!$G$5:$L$201,6,0)="",DATE(YEAR(H59)-1,MONTH(H59),DAY(H59)),
VLOOKUP($J59,MASTER!$G$5:$L$201,6,0)))</f>
        <v/>
      </c>
      <c r="O59" s="96" t="str">
        <f t="shared" si="13"/>
        <v/>
      </c>
      <c r="Q59" s="94"/>
      <c r="T59" s="98"/>
      <c r="U59" s="100"/>
      <c r="W59" s="94"/>
      <c r="AA59" s="94"/>
      <c r="AD59" s="98"/>
      <c r="AI59" s="94"/>
      <c r="AJ59" s="98"/>
    </row>
    <row r="60" spans="2:36">
      <c r="B60" s="94"/>
      <c r="E60" s="90" t="str">
        <f t="shared" si="7"/>
        <v/>
      </c>
      <c r="F60" s="94" t="str">
        <v/>
      </c>
      <c r="G60" s="92" t="str">
        <f t="shared" si="8"/>
        <v/>
      </c>
      <c r="H60" s="92" t="str">
        <f t="shared" si="9"/>
        <v/>
      </c>
      <c r="I60" s="90" t="str">
        <f t="shared" si="10"/>
        <v/>
      </c>
      <c r="J60" s="94" t="str">
        <v/>
      </c>
      <c r="K60" s="92" t="str">
        <f>IF($J60="","",
IF(VLOOKUP($J60,MASTER!$G$5:$L$201,5,0)="",DATE(YEAR(G60)-1,MONTH(G60),DAY(G60)),
VLOOKUP($J60,MASTER!$G$5:$L$201,5,0)))</f>
        <v/>
      </c>
      <c r="L60" s="92" t="str">
        <f t="shared" si="11"/>
        <v/>
      </c>
      <c r="M60" s="90" t="str">
        <f t="shared" si="12"/>
        <v/>
      </c>
      <c r="N60" s="93" t="str">
        <f>IF($J60="","",
IF(VLOOKUP($J60,MASTER!$G$5:$L$201,6,0)="",DATE(YEAR(H60)-1,MONTH(H60),DAY(H60)),
VLOOKUP($J60,MASTER!$G$5:$L$201,6,0)))</f>
        <v/>
      </c>
      <c r="O60" s="96" t="str">
        <f t="shared" si="13"/>
        <v/>
      </c>
      <c r="Q60" s="94"/>
      <c r="T60" s="98"/>
      <c r="U60" s="100"/>
      <c r="W60" s="94"/>
      <c r="AA60" s="94"/>
      <c r="AD60" s="98"/>
      <c r="AI60" s="94"/>
      <c r="AJ60" s="98"/>
    </row>
    <row r="61" spans="2:36">
      <c r="B61" s="94"/>
      <c r="E61" s="90" t="str">
        <f t="shared" si="7"/>
        <v/>
      </c>
      <c r="F61" s="94" t="str">
        <v/>
      </c>
      <c r="G61" s="92" t="str">
        <f t="shared" si="8"/>
        <v/>
      </c>
      <c r="H61" s="92" t="str">
        <f t="shared" si="9"/>
        <v/>
      </c>
      <c r="I61" s="90" t="str">
        <f t="shared" si="10"/>
        <v/>
      </c>
      <c r="J61" s="94" t="str">
        <v/>
      </c>
      <c r="K61" s="92" t="str">
        <f>IF($J61="","",
IF(VLOOKUP($J61,MASTER!$G$5:$L$201,5,0)="",DATE(YEAR(G61)-1,MONTH(G61),DAY(G61)),
VLOOKUP($J61,MASTER!$G$5:$L$201,5,0)))</f>
        <v/>
      </c>
      <c r="L61" s="92" t="str">
        <f t="shared" si="11"/>
        <v/>
      </c>
      <c r="M61" s="90" t="str">
        <f t="shared" si="12"/>
        <v/>
      </c>
      <c r="N61" s="93" t="str">
        <f>IF($J61="","",
IF(VLOOKUP($J61,MASTER!$G$5:$L$201,6,0)="",DATE(YEAR(H61)-1,MONTH(H61),DAY(H61)),
VLOOKUP($J61,MASTER!$G$5:$L$201,6,0)))</f>
        <v/>
      </c>
      <c r="O61" s="96" t="str">
        <f t="shared" si="13"/>
        <v/>
      </c>
      <c r="Q61" s="94"/>
      <c r="T61" s="98"/>
      <c r="U61" s="100"/>
      <c r="W61" s="94"/>
      <c r="AA61" s="94"/>
      <c r="AD61" s="98"/>
      <c r="AI61" s="94"/>
      <c r="AJ61" s="98"/>
    </row>
    <row r="62" spans="2:36">
      <c r="B62" s="94"/>
      <c r="E62" s="90" t="str">
        <f t="shared" si="7"/>
        <v/>
      </c>
      <c r="F62" s="94" t="str">
        <v/>
      </c>
      <c r="G62" s="92" t="str">
        <f t="shared" si="8"/>
        <v/>
      </c>
      <c r="H62" s="92" t="str">
        <f t="shared" si="9"/>
        <v/>
      </c>
      <c r="I62" s="90" t="str">
        <f t="shared" si="10"/>
        <v/>
      </c>
      <c r="J62" s="94" t="str">
        <v/>
      </c>
      <c r="K62" s="92" t="str">
        <f>IF($J62="","",
IF(VLOOKUP($J62,MASTER!$G$5:$L$201,5,0)="",DATE(YEAR(G62)-1,MONTH(G62),DAY(G62)),
VLOOKUP($J62,MASTER!$G$5:$L$201,5,0)))</f>
        <v/>
      </c>
      <c r="L62" s="92" t="str">
        <f t="shared" si="11"/>
        <v/>
      </c>
      <c r="M62" s="90" t="str">
        <f t="shared" si="12"/>
        <v/>
      </c>
      <c r="N62" s="93" t="str">
        <f>IF($J62="","",
IF(VLOOKUP($J62,MASTER!$G$5:$L$201,6,0)="",DATE(YEAR(H62)-1,MONTH(H62),DAY(H62)),
VLOOKUP($J62,MASTER!$G$5:$L$201,6,0)))</f>
        <v/>
      </c>
      <c r="O62" s="96" t="str">
        <f t="shared" si="13"/>
        <v/>
      </c>
      <c r="Q62" s="94"/>
      <c r="T62" s="98"/>
      <c r="U62" s="100"/>
      <c r="W62" s="94"/>
      <c r="AA62" s="94"/>
      <c r="AD62" s="98"/>
      <c r="AI62" s="94"/>
      <c r="AJ62" s="98"/>
    </row>
    <row r="63" spans="2:36">
      <c r="B63" s="94"/>
      <c r="E63" s="90" t="str">
        <f t="shared" si="7"/>
        <v/>
      </c>
      <c r="F63" s="94" t="str">
        <v/>
      </c>
      <c r="G63" s="92" t="str">
        <f t="shared" si="8"/>
        <v/>
      </c>
      <c r="H63" s="92" t="str">
        <f t="shared" si="9"/>
        <v/>
      </c>
      <c r="I63" s="90" t="str">
        <f t="shared" si="10"/>
        <v/>
      </c>
      <c r="J63" s="94" t="str">
        <v/>
      </c>
      <c r="K63" s="92" t="str">
        <f>IF($J63="","",
IF(VLOOKUP($J63,MASTER!$G$5:$L$201,5,0)="",DATE(YEAR(G63)-1,MONTH(G63),DAY(G63)),
VLOOKUP($J63,MASTER!$G$5:$L$201,5,0)))</f>
        <v/>
      </c>
      <c r="L63" s="92" t="str">
        <f t="shared" si="11"/>
        <v/>
      </c>
      <c r="M63" s="90" t="str">
        <f t="shared" si="12"/>
        <v/>
      </c>
      <c r="N63" s="93" t="str">
        <f>IF($J63="","",
IF(VLOOKUP($J63,MASTER!$G$5:$L$201,6,0)="",DATE(YEAR(H63)-1,MONTH(H63),DAY(H63)),
VLOOKUP($J63,MASTER!$G$5:$L$201,6,0)))</f>
        <v/>
      </c>
      <c r="O63" s="96" t="str">
        <f t="shared" si="13"/>
        <v/>
      </c>
      <c r="Q63" s="94"/>
      <c r="T63" s="98"/>
      <c r="U63" s="100"/>
      <c r="W63" s="94"/>
      <c r="AA63" s="94"/>
      <c r="AD63" s="98"/>
      <c r="AI63" s="94"/>
      <c r="AJ63" s="98"/>
    </row>
    <row r="64" spans="2:36">
      <c r="B64" s="94"/>
      <c r="E64" s="90" t="str">
        <f t="shared" si="7"/>
        <v/>
      </c>
      <c r="F64" s="94" t="str">
        <v/>
      </c>
      <c r="G64" s="92" t="str">
        <f t="shared" si="8"/>
        <v/>
      </c>
      <c r="H64" s="92" t="str">
        <f t="shared" si="9"/>
        <v/>
      </c>
      <c r="I64" s="90" t="str">
        <f t="shared" si="10"/>
        <v/>
      </c>
      <c r="J64" s="94" t="str">
        <v/>
      </c>
      <c r="K64" s="92" t="str">
        <f>IF($J64="","",
IF(VLOOKUP($J64,MASTER!$G$5:$L$201,5,0)="",DATE(YEAR(G64)-1,MONTH(G64),DAY(G64)),
VLOOKUP($J64,MASTER!$G$5:$L$201,5,0)))</f>
        <v/>
      </c>
      <c r="L64" s="92" t="str">
        <f t="shared" si="11"/>
        <v/>
      </c>
      <c r="M64" s="90" t="str">
        <f t="shared" si="12"/>
        <v/>
      </c>
      <c r="N64" s="93" t="str">
        <f>IF($J64="","",
IF(VLOOKUP($J64,MASTER!$G$5:$L$201,6,0)="",DATE(YEAR(H64)-1,MONTH(H64),DAY(H64)),
VLOOKUP($J64,MASTER!$G$5:$L$201,6,0)))</f>
        <v/>
      </c>
      <c r="O64" s="96" t="str">
        <f t="shared" si="13"/>
        <v/>
      </c>
      <c r="Q64" s="94"/>
      <c r="T64" s="98"/>
      <c r="U64" s="100"/>
      <c r="W64" s="94"/>
      <c r="AA64" s="94"/>
      <c r="AD64" s="98"/>
      <c r="AI64" s="94"/>
      <c r="AJ64" s="98"/>
    </row>
    <row r="65" spans="2:36">
      <c r="B65" s="94"/>
      <c r="E65" s="90" t="str">
        <f t="shared" si="7"/>
        <v/>
      </c>
      <c r="F65" s="94" t="str">
        <v/>
      </c>
      <c r="G65" s="92" t="str">
        <f t="shared" si="8"/>
        <v/>
      </c>
      <c r="H65" s="92" t="str">
        <f t="shared" si="9"/>
        <v/>
      </c>
      <c r="I65" s="90" t="str">
        <f t="shared" si="10"/>
        <v/>
      </c>
      <c r="J65" s="94" t="str">
        <v/>
      </c>
      <c r="K65" s="92" t="str">
        <f>IF($J65="","",
IF(VLOOKUP($J65,MASTER!$G$5:$L$201,5,0)="",DATE(YEAR(G65)-1,MONTH(G65),DAY(G65)),
VLOOKUP($J65,MASTER!$G$5:$L$201,5,0)))</f>
        <v/>
      </c>
      <c r="L65" s="92" t="str">
        <f t="shared" si="11"/>
        <v/>
      </c>
      <c r="M65" s="90" t="str">
        <f t="shared" si="12"/>
        <v/>
      </c>
      <c r="N65" s="93" t="str">
        <f>IF($J65="","",
IF(VLOOKUP($J65,MASTER!$G$5:$L$201,6,0)="",DATE(YEAR(H65)-1,MONTH(H65),DAY(H65)),
VLOOKUP($J65,MASTER!$G$5:$L$201,6,0)))</f>
        <v/>
      </c>
      <c r="O65" s="96" t="str">
        <f t="shared" si="13"/>
        <v/>
      </c>
      <c r="Q65" s="94"/>
      <c r="T65" s="98"/>
      <c r="U65" s="100"/>
      <c r="W65" s="94"/>
      <c r="AA65" s="94"/>
      <c r="AD65" s="98"/>
      <c r="AI65" s="94"/>
      <c r="AJ65" s="98"/>
    </row>
    <row r="66" spans="2:36">
      <c r="B66" s="94"/>
      <c r="E66" s="90" t="str">
        <f t="shared" si="7"/>
        <v/>
      </c>
      <c r="F66" s="94" t="str">
        <v/>
      </c>
      <c r="G66" s="92" t="str">
        <f t="shared" si="8"/>
        <v/>
      </c>
      <c r="H66" s="92" t="str">
        <f t="shared" si="9"/>
        <v/>
      </c>
      <c r="I66" s="90" t="str">
        <f t="shared" si="10"/>
        <v/>
      </c>
      <c r="J66" s="94" t="str">
        <v/>
      </c>
      <c r="K66" s="92" t="str">
        <f>IF($J66="","",
IF(VLOOKUP($J66,MASTER!$G$5:$L$201,5,0)="",DATE(YEAR(G66)-1,MONTH(G66),DAY(G66)),
VLOOKUP($J66,MASTER!$G$5:$L$201,5,0)))</f>
        <v/>
      </c>
      <c r="L66" s="92" t="str">
        <f t="shared" si="11"/>
        <v/>
      </c>
      <c r="M66" s="90" t="str">
        <f t="shared" si="12"/>
        <v/>
      </c>
      <c r="N66" s="93" t="str">
        <f>IF($J66="","",
IF(VLOOKUP($J66,MASTER!$G$5:$L$201,6,0)="",DATE(YEAR(H66)-1,MONTH(H66),DAY(H66)),
VLOOKUP($J66,MASTER!$G$5:$L$201,6,0)))</f>
        <v/>
      </c>
      <c r="O66" s="96" t="str">
        <f t="shared" si="13"/>
        <v/>
      </c>
      <c r="Q66" s="94"/>
      <c r="T66" s="98"/>
      <c r="U66" s="100"/>
      <c r="W66" s="94"/>
      <c r="AA66" s="94"/>
      <c r="AD66" s="98"/>
      <c r="AI66" s="94"/>
      <c r="AJ66" s="98"/>
    </row>
    <row r="67" spans="2:36">
      <c r="B67" s="94"/>
      <c r="E67" s="90" t="str">
        <f t="shared" si="7"/>
        <v/>
      </c>
      <c r="F67" s="94" t="str">
        <v/>
      </c>
      <c r="G67" s="92" t="str">
        <f t="shared" si="8"/>
        <v/>
      </c>
      <c r="H67" s="92" t="str">
        <f t="shared" si="9"/>
        <v/>
      </c>
      <c r="I67" s="90" t="str">
        <f t="shared" si="10"/>
        <v/>
      </c>
      <c r="J67" s="94" t="str">
        <v/>
      </c>
      <c r="K67" s="92" t="str">
        <f>IF($J67="","",
IF(VLOOKUP($J67,MASTER!$G$5:$L$201,5,0)="",DATE(YEAR(G67)-1,MONTH(G67),DAY(G67)),
VLOOKUP($J67,MASTER!$G$5:$L$201,5,0)))</f>
        <v/>
      </c>
      <c r="L67" s="92" t="str">
        <f t="shared" si="11"/>
        <v/>
      </c>
      <c r="M67" s="90" t="str">
        <f t="shared" si="12"/>
        <v/>
      </c>
      <c r="N67" s="93" t="str">
        <f>IF($J67="","",
IF(VLOOKUP($J67,MASTER!$G$5:$L$201,6,0)="",DATE(YEAR(H67)-1,MONTH(H67),DAY(H67)),
VLOOKUP($J67,MASTER!$G$5:$L$201,6,0)))</f>
        <v/>
      </c>
      <c r="O67" s="96" t="str">
        <f t="shared" si="13"/>
        <v/>
      </c>
      <c r="Q67" s="94"/>
      <c r="T67" s="98"/>
      <c r="U67" s="100"/>
      <c r="W67" s="94"/>
      <c r="AA67" s="94"/>
      <c r="AD67" s="98"/>
      <c r="AI67" s="94"/>
      <c r="AJ67" s="98"/>
    </row>
    <row r="68" spans="2:36">
      <c r="B68" s="94"/>
      <c r="E68" s="90" t="str">
        <f t="shared" si="7"/>
        <v/>
      </c>
      <c r="F68" s="94" t="str">
        <v/>
      </c>
      <c r="G68" s="92" t="str">
        <f t="shared" si="8"/>
        <v/>
      </c>
      <c r="H68" s="92" t="str">
        <f t="shared" si="9"/>
        <v/>
      </c>
      <c r="I68" s="90" t="str">
        <f t="shared" si="10"/>
        <v/>
      </c>
      <c r="J68" s="94" t="str">
        <v/>
      </c>
      <c r="K68" s="92" t="str">
        <f>IF($J68="","",
IF(VLOOKUP($J68,MASTER!$G$5:$L$201,5,0)="",DATE(YEAR(G68)-1,MONTH(G68),DAY(G68)),
VLOOKUP($J68,MASTER!$G$5:$L$201,5,0)))</f>
        <v/>
      </c>
      <c r="L68" s="92" t="str">
        <f t="shared" si="11"/>
        <v/>
      </c>
      <c r="M68" s="90" t="str">
        <f t="shared" si="12"/>
        <v/>
      </c>
      <c r="N68" s="93" t="str">
        <f>IF($J68="","",
IF(VLOOKUP($J68,MASTER!$G$5:$L$201,6,0)="",DATE(YEAR(H68)-1,MONTH(H68),DAY(H68)),
VLOOKUP($J68,MASTER!$G$5:$L$201,6,0)))</f>
        <v/>
      </c>
      <c r="O68" s="96" t="str">
        <f t="shared" si="13"/>
        <v/>
      </c>
      <c r="Q68" s="94"/>
      <c r="T68" s="98"/>
      <c r="U68" s="100"/>
      <c r="W68" s="94"/>
      <c r="AA68" s="94"/>
      <c r="AD68" s="98"/>
      <c r="AI68" s="94"/>
      <c r="AJ68" s="98"/>
    </row>
    <row r="69" spans="2:36">
      <c r="B69" s="94"/>
      <c r="E69" s="90" t="str">
        <f t="shared" ref="E69:E82" si="14">IF(C69="","",D69-C69+1)</f>
        <v/>
      </c>
      <c r="F69" s="94" t="str">
        <v/>
      </c>
      <c r="G69" s="92" t="str">
        <f t="shared" ref="G69:G100" si="15">IF(B69="","",C69-(D69-C69+1))</f>
        <v/>
      </c>
      <c r="H69" s="92" t="str">
        <f t="shared" ref="H69:H100" si="16">IF(B69="","",C69-1)</f>
        <v/>
      </c>
      <c r="I69" s="90" t="str">
        <f t="shared" ref="I69:I100" si="17">IF(G69="","",H69-G69+1)</f>
        <v/>
      </c>
      <c r="J69" s="94" t="str">
        <v/>
      </c>
      <c r="K69" s="92" t="str">
        <f>IF($J69="","",
IF(VLOOKUP($J69,MASTER!$G$5:$L$201,5,0)="",DATE(YEAR(G69)-1,MONTH(G69),DAY(G69)),
VLOOKUP($J69,MASTER!$G$5:$L$201,5,0)))</f>
        <v/>
      </c>
      <c r="L69" s="92" t="str">
        <f t="shared" ref="L69:L100" si="18">IF($J69="","",IF(O69&lt;&gt;I69,K69+(H69-G69),N69))</f>
        <v/>
      </c>
      <c r="M69" s="90" t="str">
        <f t="shared" ref="M69:M100" si="19">IF(K69="","",L69-K69+1)</f>
        <v/>
      </c>
      <c r="N69" s="93" t="str">
        <f>IF($J69="","",
IF(VLOOKUP($J69,MASTER!$G$5:$L$201,6,0)="",DATE(YEAR(H69)-1,MONTH(H69),DAY(H69)),
VLOOKUP($J69,MASTER!$G$5:$L$201,6,0)))</f>
        <v/>
      </c>
      <c r="O69" s="96" t="str">
        <f t="shared" ref="O69:O100" si="20">IF(K69="","",N69-K69+1)</f>
        <v/>
      </c>
      <c r="Q69" s="94"/>
      <c r="T69" s="98"/>
      <c r="U69" s="100"/>
      <c r="W69" s="94"/>
      <c r="AA69" s="94"/>
      <c r="AD69" s="98"/>
      <c r="AI69" s="94"/>
      <c r="AJ69" s="98"/>
    </row>
    <row r="70" spans="2:36">
      <c r="B70" s="94"/>
      <c r="E70" s="90" t="str">
        <f t="shared" si="14"/>
        <v/>
      </c>
      <c r="F70" s="94" t="str">
        <v/>
      </c>
      <c r="G70" s="92" t="str">
        <f t="shared" si="15"/>
        <v/>
      </c>
      <c r="H70" s="92" t="str">
        <f t="shared" si="16"/>
        <v/>
      </c>
      <c r="I70" s="90" t="str">
        <f t="shared" si="17"/>
        <v/>
      </c>
      <c r="J70" s="94" t="str">
        <v/>
      </c>
      <c r="K70" s="92" t="str">
        <f>IF($J70="","",
IF(VLOOKUP($J70,MASTER!$G$5:$L$201,5,0)="",DATE(YEAR(G70)-1,MONTH(G70),DAY(G70)),
VLOOKUP($J70,MASTER!$G$5:$L$201,5,0)))</f>
        <v/>
      </c>
      <c r="L70" s="92" t="str">
        <f t="shared" si="18"/>
        <v/>
      </c>
      <c r="M70" s="90" t="str">
        <f t="shared" si="19"/>
        <v/>
      </c>
      <c r="N70" s="93" t="str">
        <f>IF($J70="","",
IF(VLOOKUP($J70,MASTER!$G$5:$L$201,6,0)="",DATE(YEAR(H70)-1,MONTH(H70),DAY(H70)),
VLOOKUP($J70,MASTER!$G$5:$L$201,6,0)))</f>
        <v/>
      </c>
      <c r="O70" s="96" t="str">
        <f t="shared" si="20"/>
        <v/>
      </c>
      <c r="Q70" s="94"/>
      <c r="T70" s="98"/>
      <c r="U70" s="100"/>
      <c r="W70" s="94"/>
      <c r="AA70" s="94"/>
      <c r="AD70" s="98"/>
      <c r="AI70" s="94"/>
      <c r="AJ70" s="98"/>
    </row>
    <row r="71" spans="2:36">
      <c r="B71" s="94"/>
      <c r="E71" s="90" t="str">
        <f t="shared" si="14"/>
        <v/>
      </c>
      <c r="F71" s="94" t="str">
        <v/>
      </c>
      <c r="G71" s="92" t="str">
        <f t="shared" si="15"/>
        <v/>
      </c>
      <c r="H71" s="92" t="str">
        <f t="shared" si="16"/>
        <v/>
      </c>
      <c r="I71" s="90" t="str">
        <f t="shared" si="17"/>
        <v/>
      </c>
      <c r="J71" s="94" t="str">
        <v/>
      </c>
      <c r="K71" s="92" t="str">
        <f>IF($J71="","",
IF(VLOOKUP($J71,MASTER!$G$5:$L$201,5,0)="",DATE(YEAR(G71)-1,MONTH(G71),DAY(G71)),
VLOOKUP($J71,MASTER!$G$5:$L$201,5,0)))</f>
        <v/>
      </c>
      <c r="L71" s="92" t="str">
        <f t="shared" si="18"/>
        <v/>
      </c>
      <c r="M71" s="90" t="str">
        <f t="shared" si="19"/>
        <v/>
      </c>
      <c r="N71" s="93" t="str">
        <f>IF($J71="","",
IF(VLOOKUP($J71,MASTER!$G$5:$L$201,6,0)="",DATE(YEAR(H71)-1,MONTH(H71),DAY(H71)),
VLOOKUP($J71,MASTER!$G$5:$L$201,6,0)))</f>
        <v/>
      </c>
      <c r="O71" s="96" t="str">
        <f t="shared" si="20"/>
        <v/>
      </c>
      <c r="Q71" s="94"/>
      <c r="T71" s="98"/>
      <c r="U71" s="100"/>
      <c r="W71" s="94"/>
      <c r="AA71" s="94"/>
      <c r="AD71" s="98"/>
      <c r="AI71" s="94"/>
      <c r="AJ71" s="98"/>
    </row>
    <row r="72" spans="2:36">
      <c r="B72" s="94"/>
      <c r="E72" s="90" t="str">
        <f t="shared" si="14"/>
        <v/>
      </c>
      <c r="F72" s="94" t="str">
        <v/>
      </c>
      <c r="G72" s="92" t="str">
        <f t="shared" si="15"/>
        <v/>
      </c>
      <c r="H72" s="92" t="str">
        <f t="shared" si="16"/>
        <v/>
      </c>
      <c r="I72" s="90" t="str">
        <f t="shared" si="17"/>
        <v/>
      </c>
      <c r="J72" s="94" t="str">
        <v/>
      </c>
      <c r="K72" s="92" t="str">
        <f>IF($J72="","",
IF(VLOOKUP($J72,MASTER!$G$5:$L$201,5,0)="",DATE(YEAR(G72)-1,MONTH(G72),DAY(G72)),
VLOOKUP($J72,MASTER!$G$5:$L$201,5,0)))</f>
        <v/>
      </c>
      <c r="L72" s="92" t="str">
        <f t="shared" si="18"/>
        <v/>
      </c>
      <c r="M72" s="90" t="str">
        <f t="shared" si="19"/>
        <v/>
      </c>
      <c r="N72" s="93" t="str">
        <f>IF($J72="","",
IF(VLOOKUP($J72,MASTER!$G$5:$L$201,6,0)="",DATE(YEAR(H72)-1,MONTH(H72),DAY(H72)),
VLOOKUP($J72,MASTER!$G$5:$L$201,6,0)))</f>
        <v/>
      </c>
      <c r="O72" s="96" t="str">
        <f t="shared" si="20"/>
        <v/>
      </c>
      <c r="Q72" s="94"/>
      <c r="T72" s="98"/>
      <c r="U72" s="100"/>
      <c r="W72" s="94"/>
      <c r="AA72" s="94"/>
      <c r="AD72" s="98"/>
      <c r="AI72" s="94"/>
      <c r="AJ72" s="98"/>
    </row>
    <row r="73" spans="2:36">
      <c r="B73" s="94"/>
      <c r="E73" s="90" t="str">
        <f t="shared" si="14"/>
        <v/>
      </c>
      <c r="F73" s="94" t="str">
        <v/>
      </c>
      <c r="G73" s="92" t="str">
        <f t="shared" si="15"/>
        <v/>
      </c>
      <c r="H73" s="92" t="str">
        <f t="shared" si="16"/>
        <v/>
      </c>
      <c r="I73" s="90" t="str">
        <f t="shared" si="17"/>
        <v/>
      </c>
      <c r="J73" s="94" t="str">
        <v/>
      </c>
      <c r="K73" s="92" t="str">
        <f>IF($J73="","",
IF(VLOOKUP($J73,MASTER!$G$5:$L$201,5,0)="",DATE(YEAR(G73)-1,MONTH(G73),DAY(G73)),
VLOOKUP($J73,MASTER!$G$5:$L$201,5,0)))</f>
        <v/>
      </c>
      <c r="L73" s="92" t="str">
        <f t="shared" si="18"/>
        <v/>
      </c>
      <c r="M73" s="90" t="str">
        <f t="shared" si="19"/>
        <v/>
      </c>
      <c r="N73" s="93" t="str">
        <f>IF($J73="","",
IF(VLOOKUP($J73,MASTER!$G$5:$L$201,6,0)="",DATE(YEAR(H73)-1,MONTH(H73),DAY(H73)),
VLOOKUP($J73,MASTER!$G$5:$L$201,6,0)))</f>
        <v/>
      </c>
      <c r="O73" s="96" t="str">
        <f t="shared" si="20"/>
        <v/>
      </c>
      <c r="Q73" s="94"/>
      <c r="T73" s="98"/>
      <c r="U73" s="100"/>
      <c r="W73" s="94"/>
      <c r="AA73" s="94"/>
      <c r="AD73" s="98"/>
      <c r="AI73" s="94"/>
      <c r="AJ73" s="98"/>
    </row>
    <row r="74" spans="2:36">
      <c r="B74" s="94"/>
      <c r="E74" s="90" t="str">
        <f t="shared" si="14"/>
        <v/>
      </c>
      <c r="F74" s="94" t="str">
        <v/>
      </c>
      <c r="G74" s="92" t="str">
        <f t="shared" si="15"/>
        <v/>
      </c>
      <c r="H74" s="92" t="str">
        <f t="shared" si="16"/>
        <v/>
      </c>
      <c r="I74" s="90" t="str">
        <f t="shared" si="17"/>
        <v/>
      </c>
      <c r="J74" s="94" t="str">
        <v/>
      </c>
      <c r="K74" s="92" t="str">
        <f>IF($J74="","",
IF(VLOOKUP($J74,MASTER!$G$5:$L$201,5,0)="",DATE(YEAR(G74)-1,MONTH(G74),DAY(G74)),
VLOOKUP($J74,MASTER!$G$5:$L$201,5,0)))</f>
        <v/>
      </c>
      <c r="L74" s="92" t="str">
        <f t="shared" si="18"/>
        <v/>
      </c>
      <c r="M74" s="90" t="str">
        <f t="shared" si="19"/>
        <v/>
      </c>
      <c r="N74" s="93" t="str">
        <f>IF($J74="","",
IF(VLOOKUP($J74,MASTER!$G$5:$L$201,6,0)="",DATE(YEAR(H74)-1,MONTH(H74),DAY(H74)),
VLOOKUP($J74,MASTER!$G$5:$L$201,6,0)))</f>
        <v/>
      </c>
      <c r="O74" s="96" t="str">
        <f t="shared" si="20"/>
        <v/>
      </c>
      <c r="Q74" s="94"/>
      <c r="T74" s="98"/>
      <c r="U74" s="100"/>
      <c r="W74" s="94"/>
      <c r="AA74" s="94"/>
      <c r="AD74" s="98"/>
      <c r="AI74" s="94"/>
      <c r="AJ74" s="98"/>
    </row>
    <row r="75" spans="2:36">
      <c r="B75" s="94"/>
      <c r="E75" s="90" t="str">
        <f t="shared" si="14"/>
        <v/>
      </c>
      <c r="F75" s="94" t="str">
        <v/>
      </c>
      <c r="G75" s="92" t="str">
        <f t="shared" si="15"/>
        <v/>
      </c>
      <c r="H75" s="92" t="str">
        <f t="shared" si="16"/>
        <v/>
      </c>
      <c r="I75" s="90" t="str">
        <f t="shared" si="17"/>
        <v/>
      </c>
      <c r="J75" s="94" t="str">
        <v/>
      </c>
      <c r="K75" s="92" t="str">
        <f>IF($J75="","",
IF(VLOOKUP($J75,MASTER!$G$5:$L$201,5,0)="",DATE(YEAR(G75)-1,MONTH(G75),DAY(G75)),
VLOOKUP($J75,MASTER!$G$5:$L$201,5,0)))</f>
        <v/>
      </c>
      <c r="L75" s="92" t="str">
        <f t="shared" si="18"/>
        <v/>
      </c>
      <c r="M75" s="90" t="str">
        <f t="shared" si="19"/>
        <v/>
      </c>
      <c r="N75" s="93" t="str">
        <f>IF($J75="","",
IF(VLOOKUP($J75,MASTER!$G$5:$L$201,6,0)="",DATE(YEAR(H75)-1,MONTH(H75),DAY(H75)),
VLOOKUP($J75,MASTER!$G$5:$L$201,6,0)))</f>
        <v/>
      </c>
      <c r="O75" s="96" t="str">
        <f t="shared" si="20"/>
        <v/>
      </c>
      <c r="Q75" s="94"/>
      <c r="T75" s="98"/>
      <c r="U75" s="100"/>
      <c r="W75" s="94"/>
      <c r="AA75" s="94"/>
      <c r="AD75" s="98"/>
      <c r="AI75" s="94"/>
      <c r="AJ75" s="98"/>
    </row>
    <row r="76" spans="2:36">
      <c r="B76" s="94"/>
      <c r="E76" s="90" t="str">
        <f t="shared" si="14"/>
        <v/>
      </c>
      <c r="F76" s="94" t="str">
        <v/>
      </c>
      <c r="G76" s="92" t="str">
        <f t="shared" si="15"/>
        <v/>
      </c>
      <c r="H76" s="92" t="str">
        <f t="shared" si="16"/>
        <v/>
      </c>
      <c r="I76" s="90" t="str">
        <f t="shared" si="17"/>
        <v/>
      </c>
      <c r="J76" s="94" t="str">
        <v/>
      </c>
      <c r="K76" s="92" t="str">
        <f>IF($J76="","",
IF(VLOOKUP($J76,MASTER!$G$5:$L$201,5,0)="",DATE(YEAR(G76)-1,MONTH(G76),DAY(G76)),
VLOOKUP($J76,MASTER!$G$5:$L$201,5,0)))</f>
        <v/>
      </c>
      <c r="L76" s="92" t="str">
        <f t="shared" si="18"/>
        <v/>
      </c>
      <c r="M76" s="90" t="str">
        <f t="shared" si="19"/>
        <v/>
      </c>
      <c r="N76" s="93" t="str">
        <f>IF($J76="","",
IF(VLOOKUP($J76,MASTER!$G$5:$L$201,6,0)="",DATE(YEAR(H76)-1,MONTH(H76),DAY(H76)),
VLOOKUP($J76,MASTER!$G$5:$L$201,6,0)))</f>
        <v/>
      </c>
      <c r="O76" s="96" t="str">
        <f t="shared" si="20"/>
        <v/>
      </c>
      <c r="Q76" s="94"/>
      <c r="T76" s="98"/>
      <c r="U76" s="100"/>
      <c r="W76" s="94"/>
      <c r="AA76" s="94"/>
      <c r="AD76" s="98"/>
      <c r="AI76" s="94"/>
      <c r="AJ76" s="98"/>
    </row>
    <row r="77" spans="2:36">
      <c r="B77" s="94"/>
      <c r="E77" s="90" t="str">
        <f t="shared" si="14"/>
        <v/>
      </c>
      <c r="F77" s="94" t="str">
        <v/>
      </c>
      <c r="G77" s="92" t="str">
        <f t="shared" si="15"/>
        <v/>
      </c>
      <c r="H77" s="92" t="str">
        <f t="shared" si="16"/>
        <v/>
      </c>
      <c r="I77" s="90" t="str">
        <f t="shared" si="17"/>
        <v/>
      </c>
      <c r="J77" s="94" t="str">
        <v/>
      </c>
      <c r="K77" s="92" t="str">
        <f>IF($J77="","",
IF(VLOOKUP($J77,MASTER!$G$5:$L$201,5,0)="",DATE(YEAR(G77)-1,MONTH(G77),DAY(G77)),
VLOOKUP($J77,MASTER!$G$5:$L$201,5,0)))</f>
        <v/>
      </c>
      <c r="L77" s="92" t="str">
        <f t="shared" si="18"/>
        <v/>
      </c>
      <c r="M77" s="90" t="str">
        <f t="shared" si="19"/>
        <v/>
      </c>
      <c r="N77" s="93" t="str">
        <f>IF($J77="","",
IF(VLOOKUP($J77,MASTER!$G$5:$L$201,6,0)="",DATE(YEAR(H77)-1,MONTH(H77),DAY(H77)),
VLOOKUP($J77,MASTER!$G$5:$L$201,6,0)))</f>
        <v/>
      </c>
      <c r="O77" s="96" t="str">
        <f t="shared" si="20"/>
        <v/>
      </c>
      <c r="Q77" s="94"/>
      <c r="T77" s="98"/>
      <c r="U77" s="100"/>
      <c r="W77" s="94"/>
      <c r="AA77" s="94"/>
      <c r="AD77" s="98"/>
      <c r="AI77" s="94"/>
      <c r="AJ77" s="98"/>
    </row>
    <row r="78" spans="2:36">
      <c r="B78" s="94"/>
      <c r="E78" s="90" t="str">
        <f t="shared" si="14"/>
        <v/>
      </c>
      <c r="F78" s="94" t="str">
        <v/>
      </c>
      <c r="G78" s="92" t="str">
        <f t="shared" si="15"/>
        <v/>
      </c>
      <c r="H78" s="92" t="str">
        <f t="shared" si="16"/>
        <v/>
      </c>
      <c r="I78" s="90" t="str">
        <f t="shared" si="17"/>
        <v/>
      </c>
      <c r="J78" s="94" t="str">
        <v/>
      </c>
      <c r="K78" s="92" t="str">
        <f>IF($J78="","",
IF(VLOOKUP($J78,MASTER!$G$5:$L$201,5,0)="",DATE(YEAR(G78)-1,MONTH(G78),DAY(G78)),
VLOOKUP($J78,MASTER!$G$5:$L$201,5,0)))</f>
        <v/>
      </c>
      <c r="L78" s="92" t="str">
        <f t="shared" si="18"/>
        <v/>
      </c>
      <c r="M78" s="90" t="str">
        <f t="shared" si="19"/>
        <v/>
      </c>
      <c r="N78" s="93" t="str">
        <f>IF($J78="","",
IF(VLOOKUP($J78,MASTER!$G$5:$L$201,6,0)="",DATE(YEAR(H78)-1,MONTH(H78),DAY(H78)),
VLOOKUP($J78,MASTER!$G$5:$L$201,6,0)))</f>
        <v/>
      </c>
      <c r="O78" s="96" t="str">
        <f t="shared" si="20"/>
        <v/>
      </c>
      <c r="Q78" s="94"/>
      <c r="T78" s="98"/>
      <c r="U78" s="100"/>
      <c r="W78" s="94"/>
      <c r="AA78" s="94"/>
      <c r="AD78" s="98"/>
      <c r="AI78" s="94"/>
      <c r="AJ78" s="98"/>
    </row>
    <row r="79" spans="2:36">
      <c r="B79" s="94"/>
      <c r="E79" s="90" t="str">
        <f t="shared" si="14"/>
        <v/>
      </c>
      <c r="F79" s="94" t="str">
        <v/>
      </c>
      <c r="G79" s="92" t="str">
        <f t="shared" si="15"/>
        <v/>
      </c>
      <c r="H79" s="92" t="str">
        <f t="shared" si="16"/>
        <v/>
      </c>
      <c r="I79" s="90" t="str">
        <f t="shared" si="17"/>
        <v/>
      </c>
      <c r="J79" s="94" t="str">
        <v/>
      </c>
      <c r="K79" s="92" t="str">
        <f>IF($J79="","",
IF(VLOOKUP($J79,MASTER!$G$5:$L$201,5,0)="",DATE(YEAR(G79)-1,MONTH(G79),DAY(G79)),
VLOOKUP($J79,MASTER!$G$5:$L$201,5,0)))</f>
        <v/>
      </c>
      <c r="L79" s="92" t="str">
        <f t="shared" si="18"/>
        <v/>
      </c>
      <c r="M79" s="90" t="str">
        <f t="shared" si="19"/>
        <v/>
      </c>
      <c r="N79" s="93" t="str">
        <f>IF($J79="","",
IF(VLOOKUP($J79,MASTER!$G$5:$L$201,6,0)="",DATE(YEAR(H79)-1,MONTH(H79),DAY(H79)),
VLOOKUP($J79,MASTER!$G$5:$L$201,6,0)))</f>
        <v/>
      </c>
      <c r="O79" s="96" t="str">
        <f t="shared" si="20"/>
        <v/>
      </c>
      <c r="Q79" s="94"/>
      <c r="T79" s="98"/>
      <c r="U79" s="100"/>
      <c r="W79" s="94"/>
      <c r="AA79" s="94"/>
      <c r="AD79" s="98"/>
      <c r="AI79" s="94"/>
      <c r="AJ79" s="98"/>
    </row>
    <row r="80" spans="2:36">
      <c r="B80" s="94"/>
      <c r="E80" s="90" t="str">
        <f t="shared" si="14"/>
        <v/>
      </c>
      <c r="F80" s="94" t="str">
        <v/>
      </c>
      <c r="G80" s="92" t="str">
        <f t="shared" si="15"/>
        <v/>
      </c>
      <c r="H80" s="92" t="str">
        <f t="shared" si="16"/>
        <v/>
      </c>
      <c r="I80" s="90" t="str">
        <f t="shared" si="17"/>
        <v/>
      </c>
      <c r="J80" s="94" t="str">
        <v/>
      </c>
      <c r="K80" s="92" t="str">
        <f>IF($J80="","",
IF(VLOOKUP($J80,MASTER!$G$5:$L$201,5,0)="",DATE(YEAR(G80)-1,MONTH(G80),DAY(G80)),
VLOOKUP($J80,MASTER!$G$5:$L$201,5,0)))</f>
        <v/>
      </c>
      <c r="L80" s="92" t="str">
        <f t="shared" si="18"/>
        <v/>
      </c>
      <c r="M80" s="90" t="str">
        <f t="shared" si="19"/>
        <v/>
      </c>
      <c r="N80" s="93" t="str">
        <f>IF($J80="","",
IF(VLOOKUP($J80,MASTER!$G$5:$L$201,6,0)="",DATE(YEAR(H80)-1,MONTH(H80),DAY(H80)),
VLOOKUP($J80,MASTER!$G$5:$L$201,6,0)))</f>
        <v/>
      </c>
      <c r="O80" s="96" t="str">
        <f t="shared" si="20"/>
        <v/>
      </c>
      <c r="Q80" s="94"/>
      <c r="T80" s="98"/>
      <c r="U80" s="100"/>
      <c r="W80" s="94"/>
      <c r="AA80" s="94"/>
      <c r="AD80" s="98"/>
      <c r="AI80" s="94"/>
      <c r="AJ80" s="98"/>
    </row>
    <row r="81" spans="2:36">
      <c r="B81" s="94"/>
      <c r="E81" s="90" t="str">
        <f t="shared" si="14"/>
        <v/>
      </c>
      <c r="F81" s="94" t="str">
        <v/>
      </c>
      <c r="G81" s="92" t="str">
        <f t="shared" si="15"/>
        <v/>
      </c>
      <c r="H81" s="92" t="str">
        <f t="shared" si="16"/>
        <v/>
      </c>
      <c r="I81" s="90" t="str">
        <f t="shared" si="17"/>
        <v/>
      </c>
      <c r="J81" s="94" t="str">
        <v/>
      </c>
      <c r="K81" s="92" t="str">
        <f>IF($J81="","",
IF(VLOOKUP($J81,MASTER!$G$5:$L$201,5,0)="",DATE(YEAR(G81)-1,MONTH(G81),DAY(G81)),
VLOOKUP($J81,MASTER!$G$5:$L$201,5,0)))</f>
        <v/>
      </c>
      <c r="L81" s="92" t="str">
        <f t="shared" si="18"/>
        <v/>
      </c>
      <c r="M81" s="90" t="str">
        <f t="shared" si="19"/>
        <v/>
      </c>
      <c r="N81" s="93" t="str">
        <f>IF($J81="","",
IF(VLOOKUP($J81,MASTER!$G$5:$L$201,6,0)="",DATE(YEAR(H81)-1,MONTH(H81),DAY(H81)),
VLOOKUP($J81,MASTER!$G$5:$L$201,6,0)))</f>
        <v/>
      </c>
      <c r="O81" s="96" t="str">
        <f t="shared" si="20"/>
        <v/>
      </c>
      <c r="Q81" s="94"/>
      <c r="T81" s="98"/>
      <c r="U81" s="100"/>
      <c r="W81" s="94"/>
      <c r="AA81" s="94"/>
      <c r="AD81" s="98"/>
      <c r="AI81" s="94"/>
      <c r="AJ81" s="98"/>
    </row>
    <row r="82" spans="2:36">
      <c r="B82" s="94"/>
      <c r="E82" s="90" t="str">
        <f t="shared" si="14"/>
        <v/>
      </c>
      <c r="F82" s="94" t="str">
        <v/>
      </c>
      <c r="G82" s="92" t="str">
        <f t="shared" si="15"/>
        <v/>
      </c>
      <c r="H82" s="92" t="str">
        <f t="shared" si="16"/>
        <v/>
      </c>
      <c r="I82" s="90" t="str">
        <f t="shared" si="17"/>
        <v/>
      </c>
      <c r="J82" s="94" t="str">
        <v/>
      </c>
      <c r="K82" s="92" t="str">
        <f>IF($J82="","",
IF(VLOOKUP($J82,MASTER!$G$5:$L$201,5,0)="",DATE(YEAR(G82)-1,MONTH(G82),DAY(G82)),
VLOOKUP($J82,MASTER!$G$5:$L$201,5,0)))</f>
        <v/>
      </c>
      <c r="L82" s="92" t="str">
        <f t="shared" si="18"/>
        <v/>
      </c>
      <c r="M82" s="90" t="str">
        <f t="shared" si="19"/>
        <v/>
      </c>
      <c r="N82" s="93" t="str">
        <f>IF($J82="","",
IF(VLOOKUP($J82,MASTER!$G$5:$L$201,6,0)="",DATE(YEAR(H82)-1,MONTH(H82),DAY(H82)),
VLOOKUP($J82,MASTER!$G$5:$L$201,6,0)))</f>
        <v/>
      </c>
      <c r="O82" s="96" t="str">
        <f t="shared" si="20"/>
        <v/>
      </c>
      <c r="Q82" s="94"/>
      <c r="T82" s="98"/>
      <c r="U82" s="100"/>
      <c r="W82" s="94"/>
      <c r="AA82" s="94"/>
      <c r="AD82" s="98"/>
      <c r="AI82" s="94"/>
      <c r="AJ82" s="98"/>
    </row>
    <row r="83" spans="2:36">
      <c r="B83" s="94"/>
      <c r="F83" s="94" t="str">
        <v/>
      </c>
      <c r="G83" s="92" t="str">
        <f t="shared" si="15"/>
        <v/>
      </c>
      <c r="H83" s="92" t="str">
        <f t="shared" si="16"/>
        <v/>
      </c>
      <c r="I83" s="90" t="str">
        <f t="shared" si="17"/>
        <v/>
      </c>
      <c r="J83" s="94" t="str">
        <v/>
      </c>
      <c r="K83" s="92" t="str">
        <f>IF($J83="","",
IF(VLOOKUP($J83,MASTER!$G$5:$L$201,5,0)="",DATE(YEAR(G83)-1,MONTH(G83),DAY(G83)),
VLOOKUP($J83,MASTER!$G$5:$L$201,5,0)))</f>
        <v/>
      </c>
      <c r="L83" s="92" t="str">
        <f t="shared" si="18"/>
        <v/>
      </c>
      <c r="M83" s="90" t="str">
        <f t="shared" si="19"/>
        <v/>
      </c>
      <c r="N83" s="93" t="str">
        <f>IF($J83="","",
IF(VLOOKUP($J83,MASTER!$G$5:$L$201,6,0)="",DATE(YEAR(H83)-1,MONTH(H83),DAY(H83)),
VLOOKUP($J83,MASTER!$G$5:$L$201,6,0)))</f>
        <v/>
      </c>
      <c r="O83" s="96" t="str">
        <f t="shared" si="20"/>
        <v/>
      </c>
      <c r="Q83" s="94"/>
      <c r="T83" s="98"/>
      <c r="U83" s="100"/>
      <c r="W83" s="94"/>
      <c r="AA83" s="94"/>
      <c r="AD83" s="98"/>
      <c r="AI83" s="94"/>
      <c r="AJ83" s="98"/>
    </row>
    <row r="84" spans="2:36">
      <c r="B84" s="94"/>
      <c r="F84" s="94" t="str">
        <v/>
      </c>
      <c r="G84" s="92" t="str">
        <f t="shared" si="15"/>
        <v/>
      </c>
      <c r="H84" s="92" t="str">
        <f t="shared" si="16"/>
        <v/>
      </c>
      <c r="I84" s="90" t="str">
        <f t="shared" si="17"/>
        <v/>
      </c>
      <c r="J84" s="94" t="str">
        <v/>
      </c>
      <c r="K84" s="92" t="str">
        <f>IF($J84="","",
IF(VLOOKUP($J84,MASTER!$G$5:$L$201,5,0)="",DATE(YEAR(G84)-1,MONTH(G84),DAY(G84)),
VLOOKUP($J84,MASTER!$G$5:$L$201,5,0)))</f>
        <v/>
      </c>
      <c r="L84" s="92" t="str">
        <f t="shared" si="18"/>
        <v/>
      </c>
      <c r="M84" s="90" t="str">
        <f t="shared" si="19"/>
        <v/>
      </c>
      <c r="N84" s="93" t="str">
        <f>IF($J84="","",
IF(VLOOKUP($J84,MASTER!$G$5:$L$201,6,0)="",DATE(YEAR(H84)-1,MONTH(H84),DAY(H84)),
VLOOKUP($J84,MASTER!$G$5:$L$201,6,0)))</f>
        <v/>
      </c>
      <c r="O84" s="96" t="str">
        <f t="shared" si="20"/>
        <v/>
      </c>
      <c r="Q84" s="94"/>
      <c r="T84" s="98"/>
      <c r="U84" s="100"/>
      <c r="W84" s="94"/>
      <c r="AA84" s="94"/>
      <c r="AD84" s="98"/>
      <c r="AI84" s="94"/>
      <c r="AJ84" s="98"/>
    </row>
    <row r="85" spans="2:36">
      <c r="B85" s="94"/>
      <c r="F85" s="94" t="str">
        <v/>
      </c>
      <c r="G85" s="92" t="str">
        <f t="shared" si="15"/>
        <v/>
      </c>
      <c r="H85" s="92" t="str">
        <f t="shared" si="16"/>
        <v/>
      </c>
      <c r="I85" s="90" t="str">
        <f t="shared" si="17"/>
        <v/>
      </c>
      <c r="J85" s="94" t="str">
        <v/>
      </c>
      <c r="K85" s="92" t="str">
        <f>IF($J85="","",
IF(VLOOKUP($J85,MASTER!$G$5:$L$201,5,0)="",DATE(YEAR(G85)-1,MONTH(G85),DAY(G85)),
VLOOKUP($J85,MASTER!$G$5:$L$201,5,0)))</f>
        <v/>
      </c>
      <c r="L85" s="92" t="str">
        <f t="shared" si="18"/>
        <v/>
      </c>
      <c r="M85" s="90" t="str">
        <f t="shared" si="19"/>
        <v/>
      </c>
      <c r="N85" s="93" t="str">
        <f>IF($J85="","",
IF(VLOOKUP($J85,MASTER!$G$5:$L$201,6,0)="",DATE(YEAR(H85)-1,MONTH(H85),DAY(H85)),
VLOOKUP($J85,MASTER!$G$5:$L$201,6,0)))</f>
        <v/>
      </c>
      <c r="O85" s="96" t="str">
        <f t="shared" si="20"/>
        <v/>
      </c>
      <c r="Q85" s="94"/>
      <c r="T85" s="98"/>
      <c r="U85" s="100"/>
      <c r="W85" s="94"/>
      <c r="AA85" s="94"/>
      <c r="AD85" s="98"/>
      <c r="AI85" s="94"/>
      <c r="AJ85" s="98"/>
    </row>
    <row r="86" spans="2:36">
      <c r="B86" s="94"/>
      <c r="F86" s="94" t="str">
        <v/>
      </c>
      <c r="G86" s="92" t="str">
        <f t="shared" si="15"/>
        <v/>
      </c>
      <c r="H86" s="92" t="str">
        <f t="shared" si="16"/>
        <v/>
      </c>
      <c r="I86" s="90" t="str">
        <f t="shared" si="17"/>
        <v/>
      </c>
      <c r="J86" s="94" t="str">
        <v/>
      </c>
      <c r="K86" s="92" t="str">
        <f>IF($J86="","",
IF(VLOOKUP($J86,MASTER!$G$5:$L$201,5,0)="",DATE(YEAR(G86)-1,MONTH(G86),DAY(G86)),
VLOOKUP($J86,MASTER!$G$5:$L$201,5,0)))</f>
        <v/>
      </c>
      <c r="L86" s="92" t="str">
        <f t="shared" si="18"/>
        <v/>
      </c>
      <c r="M86" s="90" t="str">
        <f t="shared" si="19"/>
        <v/>
      </c>
      <c r="N86" s="93" t="str">
        <f>IF($J86="","",
IF(VLOOKUP($J86,MASTER!$G$5:$L$201,6,0)="",DATE(YEAR(H86)-1,MONTH(H86),DAY(H86)),
VLOOKUP($J86,MASTER!$G$5:$L$201,6,0)))</f>
        <v/>
      </c>
      <c r="O86" s="96" t="str">
        <f t="shared" si="20"/>
        <v/>
      </c>
      <c r="Q86" s="94"/>
      <c r="T86" s="98"/>
      <c r="U86" s="100"/>
      <c r="W86" s="94"/>
      <c r="AA86" s="94"/>
      <c r="AD86" s="98"/>
      <c r="AI86" s="94"/>
      <c r="AJ86" s="98"/>
    </row>
    <row r="87" spans="2:36">
      <c r="B87" s="94"/>
      <c r="F87" s="94" t="str">
        <v/>
      </c>
      <c r="G87" s="92" t="str">
        <f t="shared" si="15"/>
        <v/>
      </c>
      <c r="H87" s="92" t="str">
        <f t="shared" si="16"/>
        <v/>
      </c>
      <c r="I87" s="90" t="str">
        <f t="shared" si="17"/>
        <v/>
      </c>
      <c r="J87" s="94" t="str">
        <v/>
      </c>
      <c r="K87" s="92" t="str">
        <f>IF($J87="","",
IF(VLOOKUP($J87,MASTER!$G$5:$L$201,5,0)="",DATE(YEAR(G87)-1,MONTH(G87),DAY(G87)),
VLOOKUP($J87,MASTER!$G$5:$L$201,5,0)))</f>
        <v/>
      </c>
      <c r="L87" s="92" t="str">
        <f t="shared" si="18"/>
        <v/>
      </c>
      <c r="M87" s="90" t="str">
        <f t="shared" si="19"/>
        <v/>
      </c>
      <c r="N87" s="93" t="str">
        <f>IF($J87="","",
IF(VLOOKUP($J87,MASTER!$G$5:$L$201,6,0)="",DATE(YEAR(H87)-1,MONTH(H87),DAY(H87)),
VLOOKUP($J87,MASTER!$G$5:$L$201,6,0)))</f>
        <v/>
      </c>
      <c r="O87" s="96" t="str">
        <f t="shared" si="20"/>
        <v/>
      </c>
      <c r="Q87" s="94"/>
      <c r="T87" s="98"/>
      <c r="U87" s="100"/>
      <c r="W87" s="94"/>
      <c r="AA87" s="94"/>
      <c r="AD87" s="98"/>
      <c r="AI87" s="94"/>
      <c r="AJ87" s="98"/>
    </row>
    <row r="88" spans="2:36">
      <c r="B88" s="94"/>
      <c r="F88" s="94" t="str">
        <v/>
      </c>
      <c r="G88" s="92" t="str">
        <f t="shared" si="15"/>
        <v/>
      </c>
      <c r="H88" s="92" t="str">
        <f t="shared" si="16"/>
        <v/>
      </c>
      <c r="I88" s="90" t="str">
        <f t="shared" si="17"/>
        <v/>
      </c>
      <c r="J88" s="94" t="str">
        <v/>
      </c>
      <c r="K88" s="92" t="str">
        <f>IF($J88="","",
IF(VLOOKUP($J88,MASTER!$G$5:$L$201,5,0)="",DATE(YEAR(G88)-1,MONTH(G88),DAY(G88)),
VLOOKUP($J88,MASTER!$G$5:$L$201,5,0)))</f>
        <v/>
      </c>
      <c r="L88" s="92" t="str">
        <f t="shared" si="18"/>
        <v/>
      </c>
      <c r="M88" s="90" t="str">
        <f t="shared" si="19"/>
        <v/>
      </c>
      <c r="N88" s="93" t="str">
        <f>IF($J88="","",
IF(VLOOKUP($J88,MASTER!$G$5:$L$201,6,0)="",DATE(YEAR(H88)-1,MONTH(H88),DAY(H88)),
VLOOKUP($J88,MASTER!$G$5:$L$201,6,0)))</f>
        <v/>
      </c>
      <c r="O88" s="96" t="str">
        <f t="shared" si="20"/>
        <v/>
      </c>
      <c r="Q88" s="94"/>
      <c r="T88" s="98"/>
      <c r="U88" s="100"/>
      <c r="W88" s="94"/>
      <c r="AA88" s="94"/>
      <c r="AD88" s="98"/>
      <c r="AI88" s="94"/>
      <c r="AJ88" s="98"/>
    </row>
    <row r="89" spans="2:36">
      <c r="B89" s="94"/>
      <c r="F89" s="94" t="str">
        <v/>
      </c>
      <c r="G89" s="92" t="str">
        <f t="shared" si="15"/>
        <v/>
      </c>
      <c r="H89" s="92" t="str">
        <f t="shared" si="16"/>
        <v/>
      </c>
      <c r="I89" s="90" t="str">
        <f t="shared" si="17"/>
        <v/>
      </c>
      <c r="J89" s="94" t="str">
        <v/>
      </c>
      <c r="K89" s="92" t="str">
        <f>IF($J89="","",
IF(VLOOKUP($J89,MASTER!$G$5:$L$201,5,0)="",DATE(YEAR(G89)-1,MONTH(G89),DAY(G89)),
VLOOKUP($J89,MASTER!$G$5:$L$201,5,0)))</f>
        <v/>
      </c>
      <c r="L89" s="92" t="str">
        <f t="shared" si="18"/>
        <v/>
      </c>
      <c r="M89" s="90" t="str">
        <f t="shared" si="19"/>
        <v/>
      </c>
      <c r="N89" s="93" t="str">
        <f>IF($J89="","",
IF(VLOOKUP($J89,MASTER!$G$5:$L$201,6,0)="",DATE(YEAR(H89)-1,MONTH(H89),DAY(H89)),
VLOOKUP($J89,MASTER!$G$5:$L$201,6,0)))</f>
        <v/>
      </c>
      <c r="O89" s="96" t="str">
        <f t="shared" si="20"/>
        <v/>
      </c>
      <c r="Q89" s="94"/>
      <c r="T89" s="98"/>
      <c r="U89" s="100"/>
      <c r="W89" s="94"/>
      <c r="AA89" s="94"/>
      <c r="AD89" s="98"/>
      <c r="AI89" s="94"/>
      <c r="AJ89" s="98"/>
    </row>
    <row r="90" spans="2:36">
      <c r="B90" s="94"/>
      <c r="F90" s="94" t="str">
        <v/>
      </c>
      <c r="G90" s="92" t="str">
        <f t="shared" si="15"/>
        <v/>
      </c>
      <c r="H90" s="92" t="str">
        <f t="shared" si="16"/>
        <v/>
      </c>
      <c r="I90" s="90" t="str">
        <f t="shared" si="17"/>
        <v/>
      </c>
      <c r="J90" s="94" t="str">
        <v/>
      </c>
      <c r="K90" s="92" t="str">
        <f>IF($J90="","",
IF(VLOOKUP($J90,MASTER!$G$5:$L$201,5,0)="",DATE(YEAR(G90)-1,MONTH(G90),DAY(G90)),
VLOOKUP($J90,MASTER!$G$5:$L$201,5,0)))</f>
        <v/>
      </c>
      <c r="L90" s="92" t="str">
        <f t="shared" si="18"/>
        <v/>
      </c>
      <c r="M90" s="90" t="str">
        <f t="shared" si="19"/>
        <v/>
      </c>
      <c r="N90" s="93" t="str">
        <f>IF($J90="","",
IF(VLOOKUP($J90,MASTER!$G$5:$L$201,6,0)="",DATE(YEAR(H90)-1,MONTH(H90),DAY(H90)),
VLOOKUP($J90,MASTER!$G$5:$L$201,6,0)))</f>
        <v/>
      </c>
      <c r="O90" s="96" t="str">
        <f t="shared" si="20"/>
        <v/>
      </c>
      <c r="Q90" s="94"/>
      <c r="T90" s="98"/>
      <c r="U90" s="100"/>
      <c r="W90" s="94"/>
      <c r="AA90" s="94"/>
      <c r="AD90" s="98"/>
      <c r="AI90" s="94"/>
      <c r="AJ90" s="98"/>
    </row>
    <row r="91" spans="2:36">
      <c r="B91" s="94"/>
      <c r="F91" s="94" t="str">
        <v/>
      </c>
      <c r="G91" s="92" t="str">
        <f t="shared" si="15"/>
        <v/>
      </c>
      <c r="H91" s="92" t="str">
        <f t="shared" si="16"/>
        <v/>
      </c>
      <c r="I91" s="90" t="str">
        <f t="shared" si="17"/>
        <v/>
      </c>
      <c r="J91" s="94" t="str">
        <v/>
      </c>
      <c r="K91" s="92" t="str">
        <f>IF($J91="","",
IF(VLOOKUP($J91,MASTER!$G$5:$L$201,5,0)="",DATE(YEAR(G91)-1,MONTH(G91),DAY(G91)),
VLOOKUP($J91,MASTER!$G$5:$L$201,5,0)))</f>
        <v/>
      </c>
      <c r="L91" s="92" t="str">
        <f t="shared" si="18"/>
        <v/>
      </c>
      <c r="M91" s="90" t="str">
        <f t="shared" si="19"/>
        <v/>
      </c>
      <c r="N91" s="93" t="str">
        <f>IF($J91="","",
IF(VLOOKUP($J91,MASTER!$G$5:$L$201,6,0)="",DATE(YEAR(H91)-1,MONTH(H91),DAY(H91)),
VLOOKUP($J91,MASTER!$G$5:$L$201,6,0)))</f>
        <v/>
      </c>
      <c r="O91" s="96" t="str">
        <f t="shared" si="20"/>
        <v/>
      </c>
      <c r="Q91" s="94"/>
      <c r="T91" s="98"/>
      <c r="U91" s="100"/>
      <c r="W91" s="94"/>
      <c r="AA91" s="94"/>
      <c r="AD91" s="98"/>
      <c r="AI91" s="94"/>
      <c r="AJ91" s="98"/>
    </row>
    <row r="92" spans="2:36">
      <c r="B92" s="94"/>
      <c r="F92" s="94" t="str">
        <v/>
      </c>
      <c r="G92" s="92" t="str">
        <f t="shared" si="15"/>
        <v/>
      </c>
      <c r="H92" s="92" t="str">
        <f t="shared" si="16"/>
        <v/>
      </c>
      <c r="I92" s="90" t="str">
        <f t="shared" si="17"/>
        <v/>
      </c>
      <c r="J92" s="94" t="str">
        <v/>
      </c>
      <c r="K92" s="92" t="str">
        <f>IF($J92="","",
IF(VLOOKUP($J92,MASTER!$G$5:$L$201,5,0)="",DATE(YEAR(G92)-1,MONTH(G92),DAY(G92)),
VLOOKUP($J92,MASTER!$G$5:$L$201,5,0)))</f>
        <v/>
      </c>
      <c r="L92" s="92" t="str">
        <f t="shared" si="18"/>
        <v/>
      </c>
      <c r="M92" s="90" t="str">
        <f t="shared" si="19"/>
        <v/>
      </c>
      <c r="N92" s="93" t="str">
        <f>IF($J92="","",
IF(VLOOKUP($J92,MASTER!$G$5:$L$201,6,0)="",DATE(YEAR(H92)-1,MONTH(H92),DAY(H92)),
VLOOKUP($J92,MASTER!$G$5:$L$201,6,0)))</f>
        <v/>
      </c>
      <c r="O92" s="96" t="str">
        <f t="shared" si="20"/>
        <v/>
      </c>
      <c r="Q92" s="94"/>
      <c r="T92" s="98"/>
      <c r="U92" s="100"/>
      <c r="W92" s="94"/>
      <c r="AA92" s="94"/>
      <c r="AD92" s="98"/>
      <c r="AI92" s="94"/>
      <c r="AJ92" s="98"/>
    </row>
    <row r="93" spans="2:36">
      <c r="B93" s="94"/>
      <c r="F93" s="94" t="str">
        <v/>
      </c>
      <c r="G93" s="92" t="str">
        <f t="shared" si="15"/>
        <v/>
      </c>
      <c r="H93" s="92" t="str">
        <f t="shared" si="16"/>
        <v/>
      </c>
      <c r="I93" s="90" t="str">
        <f t="shared" si="17"/>
        <v/>
      </c>
      <c r="J93" s="94" t="str">
        <v/>
      </c>
      <c r="K93" s="92" t="str">
        <f>IF($J93="","",
IF(VLOOKUP($J93,MASTER!$G$5:$L$201,5,0)="",DATE(YEAR(G93)-1,MONTH(G93),DAY(G93)),
VLOOKUP($J93,MASTER!$G$5:$L$201,5,0)))</f>
        <v/>
      </c>
      <c r="L93" s="92" t="str">
        <f t="shared" si="18"/>
        <v/>
      </c>
      <c r="M93" s="90" t="str">
        <f t="shared" si="19"/>
        <v/>
      </c>
      <c r="N93" s="93" t="str">
        <f>IF($J93="","",
IF(VLOOKUP($J93,MASTER!$G$5:$L$201,6,0)="",DATE(YEAR(H93)-1,MONTH(H93),DAY(H93)),
VLOOKUP($J93,MASTER!$G$5:$L$201,6,0)))</f>
        <v/>
      </c>
      <c r="O93" s="96" t="str">
        <f t="shared" si="20"/>
        <v/>
      </c>
      <c r="Q93" s="94"/>
      <c r="T93" s="98"/>
      <c r="U93" s="100"/>
      <c r="W93" s="94"/>
      <c r="AA93" s="94"/>
      <c r="AD93" s="98"/>
      <c r="AI93" s="94"/>
      <c r="AJ93" s="98"/>
    </row>
    <row r="94" spans="2:36">
      <c r="B94" s="94"/>
      <c r="F94" s="94" t="str">
        <v/>
      </c>
      <c r="G94" s="92" t="str">
        <f t="shared" si="15"/>
        <v/>
      </c>
      <c r="H94" s="92" t="str">
        <f t="shared" si="16"/>
        <v/>
      </c>
      <c r="I94" s="90" t="str">
        <f t="shared" si="17"/>
        <v/>
      </c>
      <c r="J94" s="94" t="str">
        <v/>
      </c>
      <c r="K94" s="92" t="str">
        <f>IF($J94="","",
IF(VLOOKUP($J94,MASTER!$G$5:$L$201,5,0)="",DATE(YEAR(G94)-1,MONTH(G94),DAY(G94)),
VLOOKUP($J94,MASTER!$G$5:$L$201,5,0)))</f>
        <v/>
      </c>
      <c r="L94" s="92" t="str">
        <f t="shared" si="18"/>
        <v/>
      </c>
      <c r="M94" s="90" t="str">
        <f t="shared" si="19"/>
        <v/>
      </c>
      <c r="N94" s="93" t="str">
        <f>IF($J94="","",
IF(VLOOKUP($J94,MASTER!$G$5:$L$201,6,0)="",DATE(YEAR(H94)-1,MONTH(H94),DAY(H94)),
VLOOKUP($J94,MASTER!$G$5:$L$201,6,0)))</f>
        <v/>
      </c>
      <c r="O94" s="96" t="str">
        <f t="shared" si="20"/>
        <v/>
      </c>
      <c r="Q94" s="94"/>
      <c r="T94" s="98"/>
      <c r="U94" s="100"/>
      <c r="W94" s="94"/>
      <c r="AA94" s="94"/>
      <c r="AD94" s="98"/>
      <c r="AI94" s="94"/>
      <c r="AJ94" s="98"/>
    </row>
    <row r="95" spans="2:36">
      <c r="B95" s="94"/>
      <c r="F95" s="94" t="str">
        <v/>
      </c>
      <c r="G95" s="92" t="str">
        <f t="shared" si="15"/>
        <v/>
      </c>
      <c r="H95" s="92" t="str">
        <f t="shared" si="16"/>
        <v/>
      </c>
      <c r="I95" s="90" t="str">
        <f t="shared" si="17"/>
        <v/>
      </c>
      <c r="J95" s="94" t="str">
        <v/>
      </c>
      <c r="K95" s="92" t="str">
        <f>IF($J95="","",
IF(VLOOKUP($J95,MASTER!$G$5:$L$201,5,0)="",DATE(YEAR(G95)-1,MONTH(G95),DAY(G95)),
VLOOKUP($J95,MASTER!$G$5:$L$201,5,0)))</f>
        <v/>
      </c>
      <c r="L95" s="92" t="str">
        <f t="shared" si="18"/>
        <v/>
      </c>
      <c r="M95" s="90" t="str">
        <f t="shared" si="19"/>
        <v/>
      </c>
      <c r="N95" s="93" t="str">
        <f>IF($J95="","",
IF(VLOOKUP($J95,MASTER!$G$5:$L$201,6,0)="",DATE(YEAR(H95)-1,MONTH(H95),DAY(H95)),
VLOOKUP($J95,MASTER!$G$5:$L$201,6,0)))</f>
        <v/>
      </c>
      <c r="O95" s="96" t="str">
        <f t="shared" si="20"/>
        <v/>
      </c>
      <c r="Q95" s="94"/>
      <c r="T95" s="98"/>
      <c r="U95" s="100"/>
      <c r="W95" s="94"/>
      <c r="AA95" s="94"/>
      <c r="AD95" s="98"/>
      <c r="AI95" s="94"/>
      <c r="AJ95" s="98"/>
    </row>
    <row r="96" spans="2:36">
      <c r="B96" s="94"/>
      <c r="F96" s="94" t="str">
        <v/>
      </c>
      <c r="G96" s="92" t="str">
        <f t="shared" si="15"/>
        <v/>
      </c>
      <c r="H96" s="92" t="str">
        <f t="shared" si="16"/>
        <v/>
      </c>
      <c r="I96" s="90" t="str">
        <f t="shared" si="17"/>
        <v/>
      </c>
      <c r="J96" s="94" t="str">
        <v/>
      </c>
      <c r="K96" s="92" t="str">
        <f>IF($J96="","",
IF(VLOOKUP($J96,MASTER!$G$5:$L$201,5,0)="",DATE(YEAR(G96)-1,MONTH(G96),DAY(G96)),
VLOOKUP($J96,MASTER!$G$5:$L$201,5,0)))</f>
        <v/>
      </c>
      <c r="L96" s="92" t="str">
        <f t="shared" si="18"/>
        <v/>
      </c>
      <c r="M96" s="90" t="str">
        <f t="shared" si="19"/>
        <v/>
      </c>
      <c r="N96" s="93" t="str">
        <f>IF($J96="","",
IF(VLOOKUP($J96,MASTER!$G$5:$L$201,6,0)="",DATE(YEAR(H96)-1,MONTH(H96),DAY(H96)),
VLOOKUP($J96,MASTER!$G$5:$L$201,6,0)))</f>
        <v/>
      </c>
      <c r="O96" s="96" t="str">
        <f t="shared" si="20"/>
        <v/>
      </c>
      <c r="Q96" s="94"/>
      <c r="T96" s="98"/>
      <c r="U96" s="100"/>
      <c r="W96" s="94"/>
      <c r="AA96" s="94"/>
      <c r="AD96" s="98"/>
      <c r="AI96" s="94"/>
      <c r="AJ96" s="98"/>
    </row>
    <row r="97" spans="2:36">
      <c r="B97" s="94"/>
      <c r="F97" s="94" t="str">
        <v/>
      </c>
      <c r="G97" s="92" t="str">
        <f t="shared" si="15"/>
        <v/>
      </c>
      <c r="H97" s="92" t="str">
        <f t="shared" si="16"/>
        <v/>
      </c>
      <c r="I97" s="90" t="str">
        <f t="shared" si="17"/>
        <v/>
      </c>
      <c r="J97" s="94" t="str">
        <v/>
      </c>
      <c r="K97" s="92" t="str">
        <f>IF($J97="","",
IF(VLOOKUP($J97,MASTER!$G$5:$L$201,5,0)="",DATE(YEAR(G97)-1,MONTH(G97),DAY(G97)),
VLOOKUP($J97,MASTER!$G$5:$L$201,5,0)))</f>
        <v/>
      </c>
      <c r="L97" s="92" t="str">
        <f t="shared" si="18"/>
        <v/>
      </c>
      <c r="M97" s="90" t="str">
        <f t="shared" si="19"/>
        <v/>
      </c>
      <c r="N97" s="93" t="str">
        <f>IF($J97="","",
IF(VLOOKUP($J97,MASTER!$G$5:$L$201,6,0)="",DATE(YEAR(H97)-1,MONTH(H97),DAY(H97)),
VLOOKUP($J97,MASTER!$G$5:$L$201,6,0)))</f>
        <v/>
      </c>
      <c r="O97" s="96" t="str">
        <f t="shared" si="20"/>
        <v/>
      </c>
      <c r="Q97" s="94"/>
      <c r="T97" s="98"/>
      <c r="U97" s="100"/>
      <c r="W97" s="94"/>
      <c r="AA97" s="94"/>
      <c r="AD97" s="98"/>
      <c r="AI97" s="94"/>
      <c r="AJ97" s="98"/>
    </row>
    <row r="98" spans="2:36">
      <c r="B98" s="94"/>
      <c r="F98" s="94" t="str">
        <v/>
      </c>
      <c r="G98" s="92" t="str">
        <f t="shared" si="15"/>
        <v/>
      </c>
      <c r="H98" s="92" t="str">
        <f t="shared" si="16"/>
        <v/>
      </c>
      <c r="I98" s="90" t="str">
        <f t="shared" si="17"/>
        <v/>
      </c>
      <c r="J98" s="94" t="str">
        <v/>
      </c>
      <c r="K98" s="92" t="str">
        <f>IF($J98="","",
IF(VLOOKUP($J98,MASTER!$G$5:$L$201,5,0)="",DATE(YEAR(G98)-1,MONTH(G98),DAY(G98)),
VLOOKUP($J98,MASTER!$G$5:$L$201,5,0)))</f>
        <v/>
      </c>
      <c r="L98" s="92" t="str">
        <f t="shared" si="18"/>
        <v/>
      </c>
      <c r="M98" s="90" t="str">
        <f t="shared" si="19"/>
        <v/>
      </c>
      <c r="N98" s="93" t="str">
        <f>IF($J98="","",
IF(VLOOKUP($J98,MASTER!$G$5:$L$201,6,0)="",DATE(YEAR(H98)-1,MONTH(H98),DAY(H98)),
VLOOKUP($J98,MASTER!$G$5:$L$201,6,0)))</f>
        <v/>
      </c>
      <c r="O98" s="96" t="str">
        <f t="shared" si="20"/>
        <v/>
      </c>
      <c r="Q98" s="94"/>
      <c r="T98" s="98"/>
      <c r="U98" s="100"/>
      <c r="W98" s="94"/>
      <c r="AA98" s="94"/>
      <c r="AD98" s="98"/>
      <c r="AI98" s="94"/>
      <c r="AJ98" s="98"/>
    </row>
    <row r="99" spans="2:36">
      <c r="B99" s="94"/>
      <c r="F99" s="94" t="str">
        <v/>
      </c>
      <c r="G99" s="92" t="str">
        <f t="shared" si="15"/>
        <v/>
      </c>
      <c r="H99" s="92" t="str">
        <f t="shared" si="16"/>
        <v/>
      </c>
      <c r="I99" s="90" t="str">
        <f t="shared" si="17"/>
        <v/>
      </c>
      <c r="J99" s="94" t="str">
        <v/>
      </c>
      <c r="K99" s="92" t="str">
        <f>IF($J99="","",
IF(VLOOKUP($J99,MASTER!$G$5:$L$201,5,0)="",DATE(YEAR(G99)-1,MONTH(G99),DAY(G99)),
VLOOKUP($J99,MASTER!$G$5:$L$201,5,0)))</f>
        <v/>
      </c>
      <c r="L99" s="92" t="str">
        <f t="shared" si="18"/>
        <v/>
      </c>
      <c r="M99" s="90" t="str">
        <f t="shared" si="19"/>
        <v/>
      </c>
      <c r="N99" s="93" t="str">
        <f>IF($J99="","",
IF(VLOOKUP($J99,MASTER!$G$5:$L$201,6,0)="",DATE(YEAR(H99)-1,MONTH(H99),DAY(H99)),
VLOOKUP($J99,MASTER!$G$5:$L$201,6,0)))</f>
        <v/>
      </c>
      <c r="O99" s="96" t="str">
        <f t="shared" si="20"/>
        <v/>
      </c>
      <c r="Q99" s="94"/>
      <c r="T99" s="98"/>
      <c r="U99" s="100"/>
      <c r="W99" s="94"/>
      <c r="AA99" s="94"/>
      <c r="AD99" s="98"/>
      <c r="AI99" s="94"/>
      <c r="AJ99" s="98"/>
    </row>
    <row r="100" spans="2:36">
      <c r="B100" s="94"/>
      <c r="F100" s="94" t="str">
        <v/>
      </c>
      <c r="G100" s="92" t="str">
        <f t="shared" si="15"/>
        <v/>
      </c>
      <c r="H100" s="92" t="str">
        <f t="shared" si="16"/>
        <v/>
      </c>
      <c r="I100" s="90" t="str">
        <f t="shared" si="17"/>
        <v/>
      </c>
      <c r="J100" s="94" t="str">
        <v/>
      </c>
      <c r="K100" s="92" t="str">
        <f>IF($J100="","",
IF(VLOOKUP($J100,MASTER!$G$5:$L$201,5,0)="",DATE(YEAR(G100)-1,MONTH(G100),DAY(G100)),
VLOOKUP($J100,MASTER!$G$5:$L$201,5,0)))</f>
        <v/>
      </c>
      <c r="L100" s="92" t="str">
        <f t="shared" si="18"/>
        <v/>
      </c>
      <c r="M100" s="90" t="str">
        <f t="shared" si="19"/>
        <v/>
      </c>
      <c r="N100" s="93" t="str">
        <f>IF($J100="","",
IF(VLOOKUP($J100,MASTER!$G$5:$L$201,6,0)="",DATE(YEAR(H100)-1,MONTH(H100),DAY(H100)),
VLOOKUP($J100,MASTER!$G$5:$L$201,6,0)))</f>
        <v/>
      </c>
      <c r="O100" s="96" t="str">
        <f t="shared" si="20"/>
        <v/>
      </c>
      <c r="Q100" s="94"/>
      <c r="T100" s="98"/>
      <c r="U100" s="100"/>
      <c r="W100" s="94"/>
      <c r="AA100" s="94"/>
      <c r="AD100" s="98"/>
      <c r="AI100" s="94"/>
      <c r="AJ100" s="98"/>
    </row>
    <row r="101" spans="2:36">
      <c r="B101" s="94"/>
      <c r="F101" s="94" t="str">
        <v/>
      </c>
      <c r="G101" s="92" t="str">
        <f t="shared" ref="G101:G132" si="21">IF(B101="","",C101-(D101-C101+1))</f>
        <v/>
      </c>
      <c r="H101" s="92" t="str">
        <f t="shared" ref="H101:H132" si="22">IF(B101="","",C101-1)</f>
        <v/>
      </c>
      <c r="I101" s="90" t="str">
        <f t="shared" ref="I101:I132" si="23">IF(G101="","",H101-G101+1)</f>
        <v/>
      </c>
      <c r="J101" s="94" t="str">
        <v/>
      </c>
      <c r="K101" s="92" t="str">
        <f>IF($J101="","",
IF(VLOOKUP($J101,MASTER!$G$5:$L$201,5,0)="",DATE(YEAR(G101)-1,MONTH(G101),DAY(G101)),
VLOOKUP($J101,MASTER!$G$5:$L$201,5,0)))</f>
        <v/>
      </c>
      <c r="L101" s="92" t="str">
        <f t="shared" ref="L101:L132" si="24">IF($J101="","",IF(O101&lt;&gt;I101,K101+(H101-G101),N101))</f>
        <v/>
      </c>
      <c r="M101" s="90" t="str">
        <f t="shared" ref="M101:M132" si="25">IF(K101="","",L101-K101+1)</f>
        <v/>
      </c>
      <c r="N101" s="93" t="str">
        <f>IF($J101="","",
IF(VLOOKUP($J101,MASTER!$G$5:$L$201,6,0)="",DATE(YEAR(H101)-1,MONTH(H101),DAY(H101)),
VLOOKUP($J101,MASTER!$G$5:$L$201,6,0)))</f>
        <v/>
      </c>
      <c r="O101" s="96" t="str">
        <f t="shared" ref="O101:O132" si="26">IF(K101="","",N101-K101+1)</f>
        <v/>
      </c>
      <c r="Q101" s="94"/>
      <c r="T101" s="98"/>
      <c r="U101" s="100"/>
      <c r="W101" s="94"/>
      <c r="AA101" s="94"/>
      <c r="AD101" s="98"/>
      <c r="AI101" s="94"/>
      <c r="AJ101" s="98"/>
    </row>
    <row r="102" spans="2:36">
      <c r="B102" s="94"/>
      <c r="F102" s="94" t="str">
        <v/>
      </c>
      <c r="G102" s="92" t="str">
        <f t="shared" si="21"/>
        <v/>
      </c>
      <c r="H102" s="92" t="str">
        <f t="shared" si="22"/>
        <v/>
      </c>
      <c r="I102" s="90" t="str">
        <f t="shared" si="23"/>
        <v/>
      </c>
      <c r="J102" s="94" t="str">
        <v/>
      </c>
      <c r="K102" s="92" t="str">
        <f>IF($J102="","",
IF(VLOOKUP($J102,MASTER!$G$5:$L$201,5,0)="",DATE(YEAR(G102)-1,MONTH(G102),DAY(G102)),
VLOOKUP($J102,MASTER!$G$5:$L$201,5,0)))</f>
        <v/>
      </c>
      <c r="L102" s="92" t="str">
        <f t="shared" si="24"/>
        <v/>
      </c>
      <c r="M102" s="90" t="str">
        <f t="shared" si="25"/>
        <v/>
      </c>
      <c r="N102" s="93" t="str">
        <f>IF($J102="","",
IF(VLOOKUP($J102,MASTER!$G$5:$L$201,6,0)="",DATE(YEAR(H102)-1,MONTH(H102),DAY(H102)),
VLOOKUP($J102,MASTER!$G$5:$L$201,6,0)))</f>
        <v/>
      </c>
      <c r="O102" s="96" t="str">
        <f t="shared" si="26"/>
        <v/>
      </c>
      <c r="Q102" s="94"/>
      <c r="T102" s="98"/>
      <c r="U102" s="100"/>
      <c r="W102" s="94"/>
      <c r="AA102" s="94"/>
      <c r="AD102" s="98"/>
      <c r="AI102" s="94"/>
      <c r="AJ102" s="98"/>
    </row>
    <row r="103" spans="2:36">
      <c r="B103" s="94"/>
      <c r="F103" s="94" t="str">
        <v/>
      </c>
      <c r="G103" s="92" t="str">
        <f t="shared" si="21"/>
        <v/>
      </c>
      <c r="H103" s="92" t="str">
        <f t="shared" si="22"/>
        <v/>
      </c>
      <c r="I103" s="90" t="str">
        <f t="shared" si="23"/>
        <v/>
      </c>
      <c r="J103" s="94" t="str">
        <v/>
      </c>
      <c r="K103" s="92" t="str">
        <f>IF($J103="","",
IF(VLOOKUP($J103,MASTER!$G$5:$L$201,5,0)="",DATE(YEAR(G103)-1,MONTH(G103),DAY(G103)),
VLOOKUP($J103,MASTER!$G$5:$L$201,5,0)))</f>
        <v/>
      </c>
      <c r="L103" s="92" t="str">
        <f t="shared" si="24"/>
        <v/>
      </c>
      <c r="M103" s="90" t="str">
        <f t="shared" si="25"/>
        <v/>
      </c>
      <c r="N103" s="93" t="str">
        <f>IF($J103="","",
IF(VLOOKUP($J103,MASTER!$G$5:$L$201,6,0)="",DATE(YEAR(H103)-1,MONTH(H103),DAY(H103)),
VLOOKUP($J103,MASTER!$G$5:$L$201,6,0)))</f>
        <v/>
      </c>
      <c r="O103" s="96" t="str">
        <f t="shared" si="26"/>
        <v/>
      </c>
      <c r="Q103" s="94"/>
      <c r="T103" s="98"/>
      <c r="U103" s="100"/>
      <c r="W103" s="94"/>
      <c r="AA103" s="94"/>
      <c r="AD103" s="98"/>
      <c r="AI103" s="94"/>
      <c r="AJ103" s="98"/>
    </row>
    <row r="104" spans="2:36">
      <c r="B104" s="94"/>
      <c r="F104" s="94" t="str">
        <v/>
      </c>
      <c r="G104" s="92" t="str">
        <f t="shared" si="21"/>
        <v/>
      </c>
      <c r="H104" s="92" t="str">
        <f t="shared" si="22"/>
        <v/>
      </c>
      <c r="I104" s="90" t="str">
        <f t="shared" si="23"/>
        <v/>
      </c>
      <c r="J104" s="94" t="str">
        <v/>
      </c>
      <c r="K104" s="92" t="str">
        <f>IF($J104="","",
IF(VLOOKUP($J104,MASTER!$G$5:$L$201,5,0)="",DATE(YEAR(G104)-1,MONTH(G104),DAY(G104)),
VLOOKUP($J104,MASTER!$G$5:$L$201,5,0)))</f>
        <v/>
      </c>
      <c r="L104" s="92" t="str">
        <f t="shared" si="24"/>
        <v/>
      </c>
      <c r="M104" s="90" t="str">
        <f t="shared" si="25"/>
        <v/>
      </c>
      <c r="N104" s="93" t="str">
        <f>IF($J104="","",
IF(VLOOKUP($J104,MASTER!$G$5:$L$201,6,0)="",DATE(YEAR(H104)-1,MONTH(H104),DAY(H104)),
VLOOKUP($J104,MASTER!$G$5:$L$201,6,0)))</f>
        <v/>
      </c>
      <c r="O104" s="96" t="str">
        <f t="shared" si="26"/>
        <v/>
      </c>
      <c r="Q104" s="94"/>
      <c r="T104" s="98"/>
      <c r="U104" s="100"/>
      <c r="W104" s="94"/>
      <c r="AA104" s="94"/>
      <c r="AD104" s="98"/>
      <c r="AI104" s="94"/>
      <c r="AJ104" s="98"/>
    </row>
    <row r="105" spans="2:36">
      <c r="B105" s="94"/>
      <c r="F105" s="94" t="str">
        <v/>
      </c>
      <c r="G105" s="92" t="str">
        <f t="shared" si="21"/>
        <v/>
      </c>
      <c r="H105" s="92" t="str">
        <f t="shared" si="22"/>
        <v/>
      </c>
      <c r="I105" s="90" t="str">
        <f t="shared" si="23"/>
        <v/>
      </c>
      <c r="J105" s="94" t="str">
        <v/>
      </c>
      <c r="K105" s="92" t="str">
        <f>IF($J105="","",
IF(VLOOKUP($J105,MASTER!$G$5:$L$201,5,0)="",DATE(YEAR(G105)-1,MONTH(G105),DAY(G105)),
VLOOKUP($J105,MASTER!$G$5:$L$201,5,0)))</f>
        <v/>
      </c>
      <c r="L105" s="92" t="str">
        <f t="shared" si="24"/>
        <v/>
      </c>
      <c r="M105" s="90" t="str">
        <f t="shared" si="25"/>
        <v/>
      </c>
      <c r="N105" s="93" t="str">
        <f>IF($J105="","",
IF(VLOOKUP($J105,MASTER!$G$5:$L$201,6,0)="",DATE(YEAR(H105)-1,MONTH(H105),DAY(H105)),
VLOOKUP($J105,MASTER!$G$5:$L$201,6,0)))</f>
        <v/>
      </c>
      <c r="O105" s="96" t="str">
        <f t="shared" si="26"/>
        <v/>
      </c>
      <c r="Q105" s="94"/>
      <c r="T105" s="98"/>
      <c r="U105" s="100"/>
      <c r="W105" s="94"/>
      <c r="AA105" s="94"/>
      <c r="AD105" s="98"/>
      <c r="AI105" s="94"/>
      <c r="AJ105" s="98"/>
    </row>
    <row r="106" spans="2:36">
      <c r="B106" s="94"/>
      <c r="F106" s="94" t="str">
        <v/>
      </c>
      <c r="G106" s="92" t="str">
        <f t="shared" si="21"/>
        <v/>
      </c>
      <c r="H106" s="92" t="str">
        <f t="shared" si="22"/>
        <v/>
      </c>
      <c r="I106" s="90" t="str">
        <f t="shared" si="23"/>
        <v/>
      </c>
      <c r="J106" s="94" t="str">
        <v/>
      </c>
      <c r="K106" s="92" t="str">
        <f>IF($J106="","",
IF(VLOOKUP($J106,MASTER!$G$5:$L$201,5,0)="",DATE(YEAR(G106)-1,MONTH(G106),DAY(G106)),
VLOOKUP($J106,MASTER!$G$5:$L$201,5,0)))</f>
        <v/>
      </c>
      <c r="L106" s="92" t="str">
        <f t="shared" si="24"/>
        <v/>
      </c>
      <c r="M106" s="90" t="str">
        <f t="shared" si="25"/>
        <v/>
      </c>
      <c r="N106" s="93" t="str">
        <f>IF($J106="","",
IF(VLOOKUP($J106,MASTER!$G$5:$L$201,6,0)="",DATE(YEAR(H106)-1,MONTH(H106),DAY(H106)),
VLOOKUP($J106,MASTER!$G$5:$L$201,6,0)))</f>
        <v/>
      </c>
      <c r="O106" s="96" t="str">
        <f t="shared" si="26"/>
        <v/>
      </c>
      <c r="Q106" s="94"/>
      <c r="T106" s="98"/>
      <c r="U106" s="100"/>
      <c r="W106" s="94"/>
      <c r="AA106" s="94"/>
      <c r="AD106" s="98"/>
      <c r="AI106" s="94"/>
      <c r="AJ106" s="98"/>
    </row>
    <row r="107" spans="2:36">
      <c r="B107" s="94"/>
      <c r="F107" s="94" t="str">
        <v/>
      </c>
      <c r="G107" s="92" t="str">
        <f t="shared" si="21"/>
        <v/>
      </c>
      <c r="H107" s="92" t="str">
        <f t="shared" si="22"/>
        <v/>
      </c>
      <c r="I107" s="90" t="str">
        <f t="shared" si="23"/>
        <v/>
      </c>
      <c r="J107" s="94" t="str">
        <v/>
      </c>
      <c r="K107" s="92" t="str">
        <f>IF($J107="","",
IF(VLOOKUP($J107,MASTER!$G$5:$L$201,5,0)="",DATE(YEAR(G107)-1,MONTH(G107),DAY(G107)),
VLOOKUP($J107,MASTER!$G$5:$L$201,5,0)))</f>
        <v/>
      </c>
      <c r="L107" s="92" t="str">
        <f t="shared" si="24"/>
        <v/>
      </c>
      <c r="M107" s="90" t="str">
        <f t="shared" si="25"/>
        <v/>
      </c>
      <c r="N107" s="93" t="str">
        <f>IF($J107="","",
IF(VLOOKUP($J107,MASTER!$G$5:$L$201,6,0)="",DATE(YEAR(H107)-1,MONTH(H107),DAY(H107)),
VLOOKUP($J107,MASTER!$G$5:$L$201,6,0)))</f>
        <v/>
      </c>
      <c r="O107" s="96" t="str">
        <f t="shared" si="26"/>
        <v/>
      </c>
      <c r="Q107" s="94"/>
      <c r="T107" s="98"/>
      <c r="U107" s="100"/>
      <c r="W107" s="94"/>
      <c r="AA107" s="94"/>
      <c r="AD107" s="98"/>
      <c r="AI107" s="94"/>
      <c r="AJ107" s="98"/>
    </row>
    <row r="108" spans="2:36">
      <c r="B108" s="94"/>
      <c r="F108" s="94" t="str">
        <v/>
      </c>
      <c r="G108" s="92" t="str">
        <f t="shared" si="21"/>
        <v/>
      </c>
      <c r="H108" s="92" t="str">
        <f t="shared" si="22"/>
        <v/>
      </c>
      <c r="I108" s="90" t="str">
        <f t="shared" si="23"/>
        <v/>
      </c>
      <c r="J108" s="94" t="str">
        <v/>
      </c>
      <c r="K108" s="92" t="str">
        <f>IF($J108="","",
IF(VLOOKUP($J108,MASTER!$G$5:$L$201,5,0)="",DATE(YEAR(G108)-1,MONTH(G108),DAY(G108)),
VLOOKUP($J108,MASTER!$G$5:$L$201,5,0)))</f>
        <v/>
      </c>
      <c r="L108" s="92" t="str">
        <f t="shared" si="24"/>
        <v/>
      </c>
      <c r="M108" s="90" t="str">
        <f t="shared" si="25"/>
        <v/>
      </c>
      <c r="N108" s="93" t="str">
        <f>IF($J108="","",
IF(VLOOKUP($J108,MASTER!$G$5:$L$201,6,0)="",DATE(YEAR(H108)-1,MONTH(H108),DAY(H108)),
VLOOKUP($J108,MASTER!$G$5:$L$201,6,0)))</f>
        <v/>
      </c>
      <c r="O108" s="96" t="str">
        <f t="shared" si="26"/>
        <v/>
      </c>
      <c r="Q108" s="94"/>
      <c r="T108" s="98"/>
      <c r="U108" s="100"/>
      <c r="W108" s="94"/>
      <c r="AA108" s="94"/>
      <c r="AD108" s="98"/>
      <c r="AI108" s="94"/>
      <c r="AJ108" s="98"/>
    </row>
    <row r="109" spans="2:36">
      <c r="B109" s="94"/>
      <c r="F109" s="94" t="str">
        <v/>
      </c>
      <c r="G109" s="92" t="str">
        <f t="shared" si="21"/>
        <v/>
      </c>
      <c r="H109" s="92" t="str">
        <f t="shared" si="22"/>
        <v/>
      </c>
      <c r="I109" s="90" t="str">
        <f t="shared" si="23"/>
        <v/>
      </c>
      <c r="J109" s="94" t="str">
        <v/>
      </c>
      <c r="K109" s="92" t="str">
        <f>IF($J109="","",
IF(VLOOKUP($J109,MASTER!$G$5:$L$201,5,0)="",DATE(YEAR(G109)-1,MONTH(G109),DAY(G109)),
VLOOKUP($J109,MASTER!$G$5:$L$201,5,0)))</f>
        <v/>
      </c>
      <c r="L109" s="92" t="str">
        <f t="shared" si="24"/>
        <v/>
      </c>
      <c r="M109" s="90" t="str">
        <f t="shared" si="25"/>
        <v/>
      </c>
      <c r="N109" s="93" t="str">
        <f>IF($J109="","",
IF(VLOOKUP($J109,MASTER!$G$5:$L$201,6,0)="",DATE(YEAR(H109)-1,MONTH(H109),DAY(H109)),
VLOOKUP($J109,MASTER!$G$5:$L$201,6,0)))</f>
        <v/>
      </c>
      <c r="O109" s="96" t="str">
        <f t="shared" si="26"/>
        <v/>
      </c>
      <c r="Q109" s="94"/>
      <c r="T109" s="98"/>
      <c r="U109" s="100"/>
      <c r="W109" s="94"/>
      <c r="AA109" s="94"/>
      <c r="AD109" s="98"/>
      <c r="AI109" s="94"/>
      <c r="AJ109" s="98"/>
    </row>
    <row r="110" spans="2:36">
      <c r="B110" s="94"/>
      <c r="F110" s="94" t="str">
        <v/>
      </c>
      <c r="G110" s="92" t="str">
        <f t="shared" si="21"/>
        <v/>
      </c>
      <c r="H110" s="92" t="str">
        <f t="shared" si="22"/>
        <v/>
      </c>
      <c r="I110" s="90" t="str">
        <f t="shared" si="23"/>
        <v/>
      </c>
      <c r="J110" s="94" t="str">
        <v/>
      </c>
      <c r="K110" s="92" t="str">
        <f>IF($J110="","",
IF(VLOOKUP($J110,MASTER!$G$5:$L$201,5,0)="",DATE(YEAR(G110)-1,MONTH(G110),DAY(G110)),
VLOOKUP($J110,MASTER!$G$5:$L$201,5,0)))</f>
        <v/>
      </c>
      <c r="L110" s="92" t="str">
        <f t="shared" si="24"/>
        <v/>
      </c>
      <c r="M110" s="90" t="str">
        <f t="shared" si="25"/>
        <v/>
      </c>
      <c r="N110" s="93" t="str">
        <f>IF($J110="","",
IF(VLOOKUP($J110,MASTER!$G$5:$L$201,6,0)="",DATE(YEAR(H110)-1,MONTH(H110),DAY(H110)),
VLOOKUP($J110,MASTER!$G$5:$L$201,6,0)))</f>
        <v/>
      </c>
      <c r="O110" s="96" t="str">
        <f t="shared" si="26"/>
        <v/>
      </c>
      <c r="Q110" s="94"/>
      <c r="T110" s="98"/>
      <c r="U110" s="100"/>
      <c r="W110" s="94"/>
      <c r="AA110" s="94"/>
      <c r="AD110" s="98"/>
      <c r="AI110" s="94"/>
      <c r="AJ110" s="98"/>
    </row>
    <row r="111" spans="2:36">
      <c r="B111" s="94"/>
      <c r="F111" s="94" t="str">
        <v/>
      </c>
      <c r="G111" s="92" t="str">
        <f t="shared" si="21"/>
        <v/>
      </c>
      <c r="H111" s="92" t="str">
        <f t="shared" si="22"/>
        <v/>
      </c>
      <c r="I111" s="90" t="str">
        <f t="shared" si="23"/>
        <v/>
      </c>
      <c r="J111" s="94" t="str">
        <v/>
      </c>
      <c r="K111" s="92" t="str">
        <f>IF($J111="","",
IF(VLOOKUP($J111,MASTER!$G$5:$L$201,5,0)="",DATE(YEAR(G111)-1,MONTH(G111),DAY(G111)),
VLOOKUP($J111,MASTER!$G$5:$L$201,5,0)))</f>
        <v/>
      </c>
      <c r="L111" s="92" t="str">
        <f t="shared" si="24"/>
        <v/>
      </c>
      <c r="M111" s="90" t="str">
        <f t="shared" si="25"/>
        <v/>
      </c>
      <c r="N111" s="93" t="str">
        <f>IF($J111="","",
IF(VLOOKUP($J111,MASTER!$G$5:$L$201,6,0)="",DATE(YEAR(H111)-1,MONTH(H111),DAY(H111)),
VLOOKUP($J111,MASTER!$G$5:$L$201,6,0)))</f>
        <v/>
      </c>
      <c r="O111" s="96" t="str">
        <f t="shared" si="26"/>
        <v/>
      </c>
      <c r="Q111" s="94"/>
      <c r="T111" s="98"/>
      <c r="U111" s="100"/>
      <c r="W111" s="94"/>
      <c r="AA111" s="94"/>
      <c r="AD111" s="98"/>
      <c r="AI111" s="94"/>
      <c r="AJ111" s="98"/>
    </row>
    <row r="112" spans="2:36">
      <c r="B112" s="94"/>
      <c r="F112" s="94" t="str">
        <v/>
      </c>
      <c r="G112" s="92" t="str">
        <f t="shared" si="21"/>
        <v/>
      </c>
      <c r="H112" s="92" t="str">
        <f t="shared" si="22"/>
        <v/>
      </c>
      <c r="I112" s="90" t="str">
        <f t="shared" si="23"/>
        <v/>
      </c>
      <c r="J112" s="94" t="str">
        <v/>
      </c>
      <c r="K112" s="92" t="str">
        <f>IF($J112="","",
IF(VLOOKUP($J112,MASTER!$G$5:$L$201,5,0)="",DATE(YEAR(G112)-1,MONTH(G112),DAY(G112)),
VLOOKUP($J112,MASTER!$G$5:$L$201,5,0)))</f>
        <v/>
      </c>
      <c r="L112" s="92" t="str">
        <f t="shared" si="24"/>
        <v/>
      </c>
      <c r="M112" s="90" t="str">
        <f t="shared" si="25"/>
        <v/>
      </c>
      <c r="N112" s="93" t="str">
        <f>IF($J112="","",
IF(VLOOKUP($J112,MASTER!$G$5:$L$201,6,0)="",DATE(YEAR(H112)-1,MONTH(H112),DAY(H112)),
VLOOKUP($J112,MASTER!$G$5:$L$201,6,0)))</f>
        <v/>
      </c>
      <c r="O112" s="96" t="str">
        <f t="shared" si="26"/>
        <v/>
      </c>
      <c r="Q112" s="94"/>
      <c r="T112" s="98"/>
      <c r="U112" s="100"/>
      <c r="W112" s="94"/>
      <c r="AA112" s="94"/>
      <c r="AD112" s="98"/>
      <c r="AI112" s="94"/>
      <c r="AJ112" s="98"/>
    </row>
    <row r="113" spans="2:36">
      <c r="B113" s="94"/>
      <c r="F113" s="94" t="str">
        <v/>
      </c>
      <c r="G113" s="92" t="str">
        <f t="shared" si="21"/>
        <v/>
      </c>
      <c r="H113" s="92" t="str">
        <f t="shared" si="22"/>
        <v/>
      </c>
      <c r="I113" s="90" t="str">
        <f t="shared" si="23"/>
        <v/>
      </c>
      <c r="J113" s="94" t="str">
        <v/>
      </c>
      <c r="K113" s="92" t="str">
        <f>IF($J113="","",
IF(VLOOKUP($J113,MASTER!$G$5:$L$201,5,0)="",DATE(YEAR(G113)-1,MONTH(G113),DAY(G113)),
VLOOKUP($J113,MASTER!$G$5:$L$201,5,0)))</f>
        <v/>
      </c>
      <c r="L113" s="92" t="str">
        <f t="shared" si="24"/>
        <v/>
      </c>
      <c r="M113" s="90" t="str">
        <f t="shared" si="25"/>
        <v/>
      </c>
      <c r="N113" s="93" t="str">
        <f>IF($J113="","",
IF(VLOOKUP($J113,MASTER!$G$5:$L$201,6,0)="",DATE(YEAR(H113)-1,MONTH(H113),DAY(H113)),
VLOOKUP($J113,MASTER!$G$5:$L$201,6,0)))</f>
        <v/>
      </c>
      <c r="O113" s="96" t="str">
        <f t="shared" si="26"/>
        <v/>
      </c>
      <c r="Q113" s="94"/>
      <c r="T113" s="98"/>
      <c r="U113" s="100"/>
      <c r="W113" s="94"/>
      <c r="AA113" s="94"/>
      <c r="AD113" s="98"/>
      <c r="AI113" s="94"/>
      <c r="AJ113" s="98"/>
    </row>
    <row r="114" spans="2:36">
      <c r="B114" s="94"/>
      <c r="F114" s="94" t="str">
        <v/>
      </c>
      <c r="G114" s="92" t="str">
        <f t="shared" si="21"/>
        <v/>
      </c>
      <c r="H114" s="92" t="str">
        <f t="shared" si="22"/>
        <v/>
      </c>
      <c r="I114" s="90" t="str">
        <f t="shared" si="23"/>
        <v/>
      </c>
      <c r="J114" s="94" t="str">
        <v/>
      </c>
      <c r="K114" s="92" t="str">
        <f>IF($J114="","",
IF(VLOOKUP($J114,MASTER!$G$5:$L$201,5,0)="",DATE(YEAR(G114)-1,MONTH(G114),DAY(G114)),
VLOOKUP($J114,MASTER!$G$5:$L$201,5,0)))</f>
        <v/>
      </c>
      <c r="L114" s="92" t="str">
        <f t="shared" si="24"/>
        <v/>
      </c>
      <c r="M114" s="90" t="str">
        <f t="shared" si="25"/>
        <v/>
      </c>
      <c r="N114" s="93" t="str">
        <f>IF($J114="","",
IF(VLOOKUP($J114,MASTER!$G$5:$L$201,6,0)="",DATE(YEAR(H114)-1,MONTH(H114),DAY(H114)),
VLOOKUP($J114,MASTER!$G$5:$L$201,6,0)))</f>
        <v/>
      </c>
      <c r="O114" s="96" t="str">
        <f t="shared" si="26"/>
        <v/>
      </c>
      <c r="Q114" s="94"/>
      <c r="T114" s="98"/>
      <c r="U114" s="100"/>
      <c r="W114" s="94"/>
      <c r="AA114" s="94"/>
      <c r="AD114" s="98"/>
      <c r="AI114" s="94"/>
      <c r="AJ114" s="98"/>
    </row>
    <row r="115" spans="2:36">
      <c r="B115" s="94"/>
      <c r="F115" s="94" t="str">
        <v/>
      </c>
      <c r="G115" s="92" t="str">
        <f t="shared" si="21"/>
        <v/>
      </c>
      <c r="H115" s="92" t="str">
        <f t="shared" si="22"/>
        <v/>
      </c>
      <c r="I115" s="90" t="str">
        <f t="shared" si="23"/>
        <v/>
      </c>
      <c r="J115" s="94" t="str">
        <v/>
      </c>
      <c r="K115" s="92" t="str">
        <f>IF($J115="","",
IF(VLOOKUP($J115,MASTER!$G$5:$L$201,5,0)="",DATE(YEAR(G115)-1,MONTH(G115),DAY(G115)),
VLOOKUP($J115,MASTER!$G$5:$L$201,5,0)))</f>
        <v/>
      </c>
      <c r="L115" s="92" t="str">
        <f t="shared" si="24"/>
        <v/>
      </c>
      <c r="M115" s="90" t="str">
        <f t="shared" si="25"/>
        <v/>
      </c>
      <c r="N115" s="93" t="str">
        <f>IF($J115="","",
IF(VLOOKUP($J115,MASTER!$G$5:$L$201,6,0)="",DATE(YEAR(H115)-1,MONTH(H115),DAY(H115)),
VLOOKUP($J115,MASTER!$G$5:$L$201,6,0)))</f>
        <v/>
      </c>
      <c r="O115" s="96" t="str">
        <f t="shared" si="26"/>
        <v/>
      </c>
      <c r="Q115" s="94"/>
      <c r="T115" s="98"/>
      <c r="U115" s="100"/>
      <c r="W115" s="94"/>
      <c r="AA115" s="94"/>
      <c r="AD115" s="98"/>
      <c r="AI115" s="94"/>
      <c r="AJ115" s="98"/>
    </row>
    <row r="116" spans="2:36">
      <c r="B116" s="94"/>
      <c r="F116" s="94" t="str">
        <v/>
      </c>
      <c r="G116" s="92" t="str">
        <f t="shared" si="21"/>
        <v/>
      </c>
      <c r="H116" s="92" t="str">
        <f t="shared" si="22"/>
        <v/>
      </c>
      <c r="I116" s="90" t="str">
        <f t="shared" si="23"/>
        <v/>
      </c>
      <c r="J116" s="94" t="str">
        <v/>
      </c>
      <c r="K116" s="92" t="str">
        <f>IF($J116="","",
IF(VLOOKUP($J116,MASTER!$G$5:$L$201,5,0)="",DATE(YEAR(G116)-1,MONTH(G116),DAY(G116)),
VLOOKUP($J116,MASTER!$G$5:$L$201,5,0)))</f>
        <v/>
      </c>
      <c r="L116" s="92" t="str">
        <f t="shared" si="24"/>
        <v/>
      </c>
      <c r="M116" s="90" t="str">
        <f t="shared" si="25"/>
        <v/>
      </c>
      <c r="N116" s="93" t="str">
        <f>IF($J116="","",
IF(VLOOKUP($J116,MASTER!$G$5:$L$201,6,0)="",DATE(YEAR(H116)-1,MONTH(H116),DAY(H116)),
VLOOKUP($J116,MASTER!$G$5:$L$201,6,0)))</f>
        <v/>
      </c>
      <c r="O116" s="96" t="str">
        <f t="shared" si="26"/>
        <v/>
      </c>
      <c r="Q116" s="94"/>
      <c r="T116" s="98"/>
      <c r="U116" s="100"/>
      <c r="W116" s="94"/>
      <c r="AA116" s="94"/>
      <c r="AD116" s="98"/>
      <c r="AI116" s="94"/>
      <c r="AJ116" s="98"/>
    </row>
    <row r="117" spans="2:36">
      <c r="B117" s="94"/>
      <c r="F117" s="94" t="str">
        <v/>
      </c>
      <c r="G117" s="92" t="str">
        <f t="shared" si="21"/>
        <v/>
      </c>
      <c r="H117" s="92" t="str">
        <f t="shared" si="22"/>
        <v/>
      </c>
      <c r="I117" s="90" t="str">
        <f t="shared" si="23"/>
        <v/>
      </c>
      <c r="J117" s="94" t="str">
        <v/>
      </c>
      <c r="K117" s="92" t="str">
        <f>IF($J117="","",
IF(VLOOKUP($J117,MASTER!$G$5:$L$201,5,0)="",DATE(YEAR(G117)-1,MONTH(G117),DAY(G117)),
VLOOKUP($J117,MASTER!$G$5:$L$201,5,0)))</f>
        <v/>
      </c>
      <c r="L117" s="92" t="str">
        <f t="shared" si="24"/>
        <v/>
      </c>
      <c r="M117" s="90" t="str">
        <f t="shared" si="25"/>
        <v/>
      </c>
      <c r="N117" s="93" t="str">
        <f>IF($J117="","",
IF(VLOOKUP($J117,MASTER!$G$5:$L$201,6,0)="",DATE(YEAR(H117)-1,MONTH(H117),DAY(H117)),
VLOOKUP($J117,MASTER!$G$5:$L$201,6,0)))</f>
        <v/>
      </c>
      <c r="O117" s="96" t="str">
        <f t="shared" si="26"/>
        <v/>
      </c>
      <c r="Q117" s="94"/>
      <c r="T117" s="98"/>
      <c r="U117" s="100"/>
      <c r="W117" s="94"/>
      <c r="AA117" s="94"/>
      <c r="AD117" s="98"/>
      <c r="AI117" s="94"/>
      <c r="AJ117" s="98"/>
    </row>
    <row r="118" spans="2:36">
      <c r="B118" s="94"/>
      <c r="F118" s="94" t="str">
        <v/>
      </c>
      <c r="G118" s="92" t="str">
        <f t="shared" si="21"/>
        <v/>
      </c>
      <c r="H118" s="92" t="str">
        <f t="shared" si="22"/>
        <v/>
      </c>
      <c r="I118" s="90" t="str">
        <f t="shared" si="23"/>
        <v/>
      </c>
      <c r="J118" s="94" t="str">
        <v/>
      </c>
      <c r="K118" s="92" t="str">
        <f>IF($J118="","",
IF(VLOOKUP($J118,MASTER!$G$5:$L$201,5,0)="",DATE(YEAR(G118)-1,MONTH(G118),DAY(G118)),
VLOOKUP($J118,MASTER!$G$5:$L$201,5,0)))</f>
        <v/>
      </c>
      <c r="L118" s="92" t="str">
        <f t="shared" si="24"/>
        <v/>
      </c>
      <c r="M118" s="90" t="str">
        <f t="shared" si="25"/>
        <v/>
      </c>
      <c r="N118" s="93" t="str">
        <f>IF($J118="","",
IF(VLOOKUP($J118,MASTER!$G$5:$L$201,6,0)="",DATE(YEAR(H118)-1,MONTH(H118),DAY(H118)),
VLOOKUP($J118,MASTER!$G$5:$L$201,6,0)))</f>
        <v/>
      </c>
      <c r="O118" s="96" t="str">
        <f t="shared" si="26"/>
        <v/>
      </c>
      <c r="Q118" s="94"/>
      <c r="T118" s="98"/>
      <c r="U118" s="100"/>
      <c r="W118" s="94"/>
      <c r="AA118" s="94"/>
      <c r="AD118" s="98"/>
      <c r="AI118" s="94"/>
      <c r="AJ118" s="98"/>
    </row>
    <row r="119" spans="2:36">
      <c r="B119" s="94"/>
      <c r="F119" s="94" t="str">
        <v/>
      </c>
      <c r="G119" s="92" t="str">
        <f t="shared" si="21"/>
        <v/>
      </c>
      <c r="H119" s="92" t="str">
        <f t="shared" si="22"/>
        <v/>
      </c>
      <c r="I119" s="90" t="str">
        <f t="shared" si="23"/>
        <v/>
      </c>
      <c r="J119" s="94" t="str">
        <v/>
      </c>
      <c r="K119" s="92" t="str">
        <f>IF($J119="","",
IF(VLOOKUP($J119,MASTER!$G$5:$L$201,5,0)="",DATE(YEAR(G119)-1,MONTH(G119),DAY(G119)),
VLOOKUP($J119,MASTER!$G$5:$L$201,5,0)))</f>
        <v/>
      </c>
      <c r="L119" s="92" t="str">
        <f t="shared" si="24"/>
        <v/>
      </c>
      <c r="M119" s="90" t="str">
        <f t="shared" si="25"/>
        <v/>
      </c>
      <c r="N119" s="93" t="str">
        <f>IF($J119="","",
IF(VLOOKUP($J119,MASTER!$G$5:$L$201,6,0)="",DATE(YEAR(H119)-1,MONTH(H119),DAY(H119)),
VLOOKUP($J119,MASTER!$G$5:$L$201,6,0)))</f>
        <v/>
      </c>
      <c r="O119" s="96" t="str">
        <f t="shared" si="26"/>
        <v/>
      </c>
      <c r="Q119" s="94"/>
      <c r="T119" s="98"/>
      <c r="U119" s="100"/>
      <c r="W119" s="94"/>
      <c r="AA119" s="94"/>
      <c r="AD119" s="98"/>
      <c r="AI119" s="94"/>
      <c r="AJ119" s="98"/>
    </row>
    <row r="120" spans="2:36">
      <c r="B120" s="94"/>
      <c r="F120" s="94" t="str">
        <v/>
      </c>
      <c r="G120" s="92" t="str">
        <f t="shared" si="21"/>
        <v/>
      </c>
      <c r="H120" s="92" t="str">
        <f t="shared" si="22"/>
        <v/>
      </c>
      <c r="I120" s="90" t="str">
        <f t="shared" si="23"/>
        <v/>
      </c>
      <c r="J120" s="94" t="str">
        <v/>
      </c>
      <c r="K120" s="92" t="str">
        <f>IF($J120="","",
IF(VLOOKUP($J120,MASTER!$G$5:$L$201,5,0)="",DATE(YEAR(G120)-1,MONTH(G120),DAY(G120)),
VLOOKUP($J120,MASTER!$G$5:$L$201,5,0)))</f>
        <v/>
      </c>
      <c r="L120" s="92" t="str">
        <f t="shared" si="24"/>
        <v/>
      </c>
      <c r="M120" s="90" t="str">
        <f t="shared" si="25"/>
        <v/>
      </c>
      <c r="N120" s="93" t="str">
        <f>IF($J120="","",
IF(VLOOKUP($J120,MASTER!$G$5:$L$201,6,0)="",DATE(YEAR(H120)-1,MONTH(H120),DAY(H120)),
VLOOKUP($J120,MASTER!$G$5:$L$201,6,0)))</f>
        <v/>
      </c>
      <c r="O120" s="96" t="str">
        <f t="shared" si="26"/>
        <v/>
      </c>
      <c r="Q120" s="94"/>
      <c r="T120" s="98"/>
      <c r="U120" s="100"/>
      <c r="W120" s="94"/>
      <c r="AA120" s="94"/>
      <c r="AD120" s="98"/>
      <c r="AI120" s="94"/>
      <c r="AJ120" s="98"/>
    </row>
    <row r="121" spans="2:36">
      <c r="B121" s="94"/>
      <c r="F121" s="94" t="str">
        <v/>
      </c>
      <c r="G121" s="92" t="str">
        <f t="shared" si="21"/>
        <v/>
      </c>
      <c r="H121" s="92" t="str">
        <f t="shared" si="22"/>
        <v/>
      </c>
      <c r="I121" s="90" t="str">
        <f t="shared" si="23"/>
        <v/>
      </c>
      <c r="J121" s="94" t="str">
        <v/>
      </c>
      <c r="K121" s="92" t="str">
        <f>IF($J121="","",
IF(VLOOKUP($J121,MASTER!$G$5:$L$201,5,0)="",DATE(YEAR(G121)-1,MONTH(G121),DAY(G121)),
VLOOKUP($J121,MASTER!$G$5:$L$201,5,0)))</f>
        <v/>
      </c>
      <c r="L121" s="92" t="str">
        <f t="shared" si="24"/>
        <v/>
      </c>
      <c r="M121" s="90" t="str">
        <f t="shared" si="25"/>
        <v/>
      </c>
      <c r="N121" s="93" t="str">
        <f>IF($J121="","",
IF(VLOOKUP($J121,MASTER!$G$5:$L$201,6,0)="",DATE(YEAR(H121)-1,MONTH(H121),DAY(H121)),
VLOOKUP($J121,MASTER!$G$5:$L$201,6,0)))</f>
        <v/>
      </c>
      <c r="O121" s="96" t="str">
        <f t="shared" si="26"/>
        <v/>
      </c>
      <c r="Q121" s="94"/>
      <c r="T121" s="98"/>
      <c r="U121" s="100"/>
      <c r="W121" s="94"/>
      <c r="AA121" s="94"/>
      <c r="AD121" s="98"/>
      <c r="AI121" s="94"/>
      <c r="AJ121" s="98"/>
    </row>
    <row r="122" spans="2:36">
      <c r="B122" s="94"/>
      <c r="F122" s="94" t="str">
        <v/>
      </c>
      <c r="G122" s="92" t="str">
        <f t="shared" si="21"/>
        <v/>
      </c>
      <c r="H122" s="92" t="str">
        <f t="shared" si="22"/>
        <v/>
      </c>
      <c r="I122" s="90" t="str">
        <f t="shared" si="23"/>
        <v/>
      </c>
      <c r="J122" s="94" t="str">
        <v/>
      </c>
      <c r="K122" s="92" t="str">
        <f>IF($J122="","",
IF(VLOOKUP($J122,MASTER!$G$5:$L$201,5,0)="",DATE(YEAR(G122)-1,MONTH(G122),DAY(G122)),
VLOOKUP($J122,MASTER!$G$5:$L$201,5,0)))</f>
        <v/>
      </c>
      <c r="L122" s="92" t="str">
        <f t="shared" si="24"/>
        <v/>
      </c>
      <c r="M122" s="90" t="str">
        <f t="shared" si="25"/>
        <v/>
      </c>
      <c r="N122" s="93" t="str">
        <f>IF($J122="","",
IF(VLOOKUP($J122,MASTER!$G$5:$L$201,6,0)="",DATE(YEAR(H122)-1,MONTH(H122),DAY(H122)),
VLOOKUP($J122,MASTER!$G$5:$L$201,6,0)))</f>
        <v/>
      </c>
      <c r="O122" s="96" t="str">
        <f t="shared" si="26"/>
        <v/>
      </c>
      <c r="Q122" s="94"/>
      <c r="T122" s="98"/>
      <c r="U122" s="100"/>
      <c r="W122" s="94"/>
      <c r="AA122" s="94"/>
      <c r="AD122" s="98"/>
      <c r="AI122" s="94"/>
      <c r="AJ122" s="98"/>
    </row>
    <row r="123" spans="2:36">
      <c r="B123" s="94"/>
      <c r="F123" s="94" t="str">
        <v/>
      </c>
      <c r="G123" s="92" t="str">
        <f t="shared" si="21"/>
        <v/>
      </c>
      <c r="H123" s="92" t="str">
        <f t="shared" si="22"/>
        <v/>
      </c>
      <c r="I123" s="90" t="str">
        <f t="shared" si="23"/>
        <v/>
      </c>
      <c r="J123" s="94" t="str">
        <v/>
      </c>
      <c r="K123" s="92" t="str">
        <f>IF($J123="","",
IF(VLOOKUP($J123,MASTER!$G$5:$L$201,5,0)="",DATE(YEAR(G123)-1,MONTH(G123),DAY(G123)),
VLOOKUP($J123,MASTER!$G$5:$L$201,5,0)))</f>
        <v/>
      </c>
      <c r="L123" s="92" t="str">
        <f t="shared" si="24"/>
        <v/>
      </c>
      <c r="M123" s="90" t="str">
        <f t="shared" si="25"/>
        <v/>
      </c>
      <c r="N123" s="93" t="str">
        <f>IF($J123="","",
IF(VLOOKUP($J123,MASTER!$G$5:$L$201,6,0)="",DATE(YEAR(H123)-1,MONTH(H123),DAY(H123)),
VLOOKUP($J123,MASTER!$G$5:$L$201,6,0)))</f>
        <v/>
      </c>
      <c r="O123" s="96" t="str">
        <f t="shared" si="26"/>
        <v/>
      </c>
      <c r="Q123" s="94"/>
      <c r="T123" s="98"/>
      <c r="U123" s="100"/>
      <c r="W123" s="94"/>
      <c r="AA123" s="94"/>
      <c r="AD123" s="98"/>
      <c r="AI123" s="94"/>
      <c r="AJ123" s="98"/>
    </row>
    <row r="124" spans="2:36">
      <c r="B124" s="94"/>
      <c r="F124" s="94" t="str">
        <v/>
      </c>
      <c r="G124" s="92" t="str">
        <f t="shared" si="21"/>
        <v/>
      </c>
      <c r="H124" s="92" t="str">
        <f t="shared" si="22"/>
        <v/>
      </c>
      <c r="I124" s="90" t="str">
        <f t="shared" si="23"/>
        <v/>
      </c>
      <c r="J124" s="94" t="str">
        <v/>
      </c>
      <c r="K124" s="92" t="str">
        <f>IF($J124="","",
IF(VLOOKUP($J124,MASTER!$G$5:$L$201,5,0)="",DATE(YEAR(G124)-1,MONTH(G124),DAY(G124)),
VLOOKUP($J124,MASTER!$G$5:$L$201,5,0)))</f>
        <v/>
      </c>
      <c r="L124" s="92" t="str">
        <f t="shared" si="24"/>
        <v/>
      </c>
      <c r="M124" s="90" t="str">
        <f t="shared" si="25"/>
        <v/>
      </c>
      <c r="N124" s="93" t="str">
        <f>IF($J124="","",
IF(VLOOKUP($J124,MASTER!$G$5:$L$201,6,0)="",DATE(YEAR(H124)-1,MONTH(H124),DAY(H124)),
VLOOKUP($J124,MASTER!$G$5:$L$201,6,0)))</f>
        <v/>
      </c>
      <c r="O124" s="96" t="str">
        <f t="shared" si="26"/>
        <v/>
      </c>
      <c r="Q124" s="94"/>
      <c r="T124" s="98"/>
      <c r="U124" s="100"/>
      <c r="W124" s="94"/>
      <c r="AA124" s="94"/>
      <c r="AD124" s="98"/>
      <c r="AI124" s="94"/>
      <c r="AJ124" s="98"/>
    </row>
    <row r="125" spans="2:36">
      <c r="B125" s="94"/>
      <c r="F125" s="94" t="str">
        <v/>
      </c>
      <c r="G125" s="92" t="str">
        <f t="shared" si="21"/>
        <v/>
      </c>
      <c r="H125" s="92" t="str">
        <f t="shared" si="22"/>
        <v/>
      </c>
      <c r="I125" s="90" t="str">
        <f t="shared" si="23"/>
        <v/>
      </c>
      <c r="J125" s="94" t="str">
        <v/>
      </c>
      <c r="K125" s="92" t="str">
        <f>IF($J125="","",
IF(VLOOKUP($J125,MASTER!$G$5:$L$201,5,0)="",DATE(YEAR(G125)-1,MONTH(G125),DAY(G125)),
VLOOKUP($J125,MASTER!$G$5:$L$201,5,0)))</f>
        <v/>
      </c>
      <c r="L125" s="92" t="str">
        <f t="shared" si="24"/>
        <v/>
      </c>
      <c r="M125" s="90" t="str">
        <f t="shared" si="25"/>
        <v/>
      </c>
      <c r="N125" s="93" t="str">
        <f>IF($J125="","",
IF(VLOOKUP($J125,MASTER!$G$5:$L$201,6,0)="",DATE(YEAR(H125)-1,MONTH(H125),DAY(H125)),
VLOOKUP($J125,MASTER!$G$5:$L$201,6,0)))</f>
        <v/>
      </c>
      <c r="O125" s="96" t="str">
        <f t="shared" si="26"/>
        <v/>
      </c>
      <c r="Q125" s="94"/>
      <c r="T125" s="98"/>
      <c r="U125" s="100"/>
      <c r="W125" s="94"/>
      <c r="AA125" s="94"/>
      <c r="AD125" s="98"/>
      <c r="AI125" s="94"/>
      <c r="AJ125" s="98"/>
    </row>
    <row r="126" spans="2:36">
      <c r="B126" s="94"/>
      <c r="F126" s="94" t="str">
        <v/>
      </c>
      <c r="G126" s="92" t="str">
        <f t="shared" si="21"/>
        <v/>
      </c>
      <c r="H126" s="92" t="str">
        <f t="shared" si="22"/>
        <v/>
      </c>
      <c r="I126" s="90" t="str">
        <f t="shared" si="23"/>
        <v/>
      </c>
      <c r="J126" s="94" t="str">
        <v/>
      </c>
      <c r="K126" s="92" t="str">
        <f>IF($J126="","",
IF(VLOOKUP($J126,MASTER!$G$5:$L$201,5,0)="",DATE(YEAR(G126)-1,MONTH(G126),DAY(G126)),
VLOOKUP($J126,MASTER!$G$5:$L$201,5,0)))</f>
        <v/>
      </c>
      <c r="L126" s="92" t="str">
        <f t="shared" si="24"/>
        <v/>
      </c>
      <c r="M126" s="90" t="str">
        <f t="shared" si="25"/>
        <v/>
      </c>
      <c r="N126" s="93" t="str">
        <f>IF($J126="","",
IF(VLOOKUP($J126,MASTER!$G$5:$L$201,6,0)="",DATE(YEAR(H126)-1,MONTH(H126),DAY(H126)),
VLOOKUP($J126,MASTER!$G$5:$L$201,6,0)))</f>
        <v/>
      </c>
      <c r="O126" s="96" t="str">
        <f t="shared" si="26"/>
        <v/>
      </c>
      <c r="Q126" s="94"/>
      <c r="T126" s="98"/>
      <c r="U126" s="100"/>
      <c r="W126" s="94"/>
      <c r="AA126" s="94"/>
      <c r="AD126" s="98"/>
      <c r="AI126" s="94"/>
      <c r="AJ126" s="98"/>
    </row>
    <row r="127" spans="2:36">
      <c r="B127" s="94"/>
      <c r="F127" s="94" t="str">
        <v/>
      </c>
      <c r="G127" s="92" t="str">
        <f t="shared" si="21"/>
        <v/>
      </c>
      <c r="H127" s="92" t="str">
        <f t="shared" si="22"/>
        <v/>
      </c>
      <c r="I127" s="90" t="str">
        <f t="shared" si="23"/>
        <v/>
      </c>
      <c r="J127" s="94" t="str">
        <v/>
      </c>
      <c r="K127" s="92" t="str">
        <f>IF($J127="","",
IF(VLOOKUP($J127,MASTER!$G$5:$L$201,5,0)="",DATE(YEAR(G127)-1,MONTH(G127),DAY(G127)),
VLOOKUP($J127,MASTER!$G$5:$L$201,5,0)))</f>
        <v/>
      </c>
      <c r="L127" s="92" t="str">
        <f t="shared" si="24"/>
        <v/>
      </c>
      <c r="M127" s="90" t="str">
        <f t="shared" si="25"/>
        <v/>
      </c>
      <c r="N127" s="93" t="str">
        <f>IF($J127="","",
IF(VLOOKUP($J127,MASTER!$G$5:$L$201,6,0)="",DATE(YEAR(H127)-1,MONTH(H127),DAY(H127)),
VLOOKUP($J127,MASTER!$G$5:$L$201,6,0)))</f>
        <v/>
      </c>
      <c r="O127" s="96" t="str">
        <f t="shared" si="26"/>
        <v/>
      </c>
      <c r="Q127" s="94"/>
      <c r="T127" s="98"/>
      <c r="U127" s="100"/>
      <c r="W127" s="94"/>
      <c r="AA127" s="94"/>
      <c r="AD127" s="98"/>
      <c r="AI127" s="94"/>
      <c r="AJ127" s="98"/>
    </row>
    <row r="128" spans="2:36">
      <c r="B128" s="94"/>
      <c r="F128" s="94" t="str">
        <v/>
      </c>
      <c r="G128" s="92" t="str">
        <f t="shared" si="21"/>
        <v/>
      </c>
      <c r="H128" s="92" t="str">
        <f t="shared" si="22"/>
        <v/>
      </c>
      <c r="I128" s="90" t="str">
        <f t="shared" si="23"/>
        <v/>
      </c>
      <c r="J128" s="94" t="str">
        <v/>
      </c>
      <c r="K128" s="92" t="str">
        <f>IF($J128="","",
IF(VLOOKUP($J128,MASTER!$G$5:$L$201,5,0)="",DATE(YEAR(G128)-1,MONTH(G128),DAY(G128)),
VLOOKUP($J128,MASTER!$G$5:$L$201,5,0)))</f>
        <v/>
      </c>
      <c r="L128" s="92" t="str">
        <f t="shared" si="24"/>
        <v/>
      </c>
      <c r="M128" s="90" t="str">
        <f t="shared" si="25"/>
        <v/>
      </c>
      <c r="N128" s="93" t="str">
        <f>IF($J128="","",
IF(VLOOKUP($J128,MASTER!$G$5:$L$201,6,0)="",DATE(YEAR(H128)-1,MONTH(H128),DAY(H128)),
VLOOKUP($J128,MASTER!$G$5:$L$201,6,0)))</f>
        <v/>
      </c>
      <c r="O128" s="96" t="str">
        <f t="shared" si="26"/>
        <v/>
      </c>
      <c r="Q128" s="94"/>
      <c r="T128" s="98"/>
      <c r="U128" s="100"/>
      <c r="W128" s="94"/>
      <c r="AA128" s="94"/>
      <c r="AD128" s="98"/>
      <c r="AI128" s="94"/>
      <c r="AJ128" s="98"/>
    </row>
    <row r="129" spans="2:36">
      <c r="B129" s="94"/>
      <c r="F129" s="94" t="str">
        <v/>
      </c>
      <c r="G129" s="92" t="str">
        <f t="shared" si="21"/>
        <v/>
      </c>
      <c r="H129" s="92" t="str">
        <f t="shared" si="22"/>
        <v/>
      </c>
      <c r="I129" s="90" t="str">
        <f t="shared" si="23"/>
        <v/>
      </c>
      <c r="J129" s="94" t="str">
        <v/>
      </c>
      <c r="K129" s="92" t="str">
        <f>IF($J129="","",
IF(VLOOKUP($J129,MASTER!$G$5:$L$201,5,0)="",DATE(YEAR(G129)-1,MONTH(G129),DAY(G129)),
VLOOKUP($J129,MASTER!$G$5:$L$201,5,0)))</f>
        <v/>
      </c>
      <c r="L129" s="92" t="str">
        <f t="shared" si="24"/>
        <v/>
      </c>
      <c r="M129" s="90" t="str">
        <f t="shared" si="25"/>
        <v/>
      </c>
      <c r="N129" s="93" t="str">
        <f>IF($J129="","",
IF(VLOOKUP($J129,MASTER!$G$5:$L$201,6,0)="",DATE(YEAR(H129)-1,MONTH(H129),DAY(H129)),
VLOOKUP($J129,MASTER!$G$5:$L$201,6,0)))</f>
        <v/>
      </c>
      <c r="O129" s="96" t="str">
        <f t="shared" si="26"/>
        <v/>
      </c>
      <c r="Q129" s="94"/>
      <c r="T129" s="98"/>
      <c r="U129" s="100"/>
      <c r="W129" s="94"/>
      <c r="AA129" s="94"/>
      <c r="AD129" s="98"/>
      <c r="AI129" s="94"/>
      <c r="AJ129" s="98"/>
    </row>
    <row r="130" spans="2:36">
      <c r="B130" s="94"/>
      <c r="F130" s="94" t="str">
        <v/>
      </c>
      <c r="G130" s="92" t="str">
        <f t="shared" si="21"/>
        <v/>
      </c>
      <c r="H130" s="92" t="str">
        <f t="shared" si="22"/>
        <v/>
      </c>
      <c r="I130" s="90" t="str">
        <f t="shared" si="23"/>
        <v/>
      </c>
      <c r="J130" s="94" t="str">
        <v/>
      </c>
      <c r="K130" s="92" t="str">
        <f>IF($J130="","",
IF(VLOOKUP($J130,MASTER!$G$5:$L$201,5,0)="",DATE(YEAR(G130)-1,MONTH(G130),DAY(G130)),
VLOOKUP($J130,MASTER!$G$5:$L$201,5,0)))</f>
        <v/>
      </c>
      <c r="L130" s="92" t="str">
        <f t="shared" si="24"/>
        <v/>
      </c>
      <c r="M130" s="90" t="str">
        <f t="shared" si="25"/>
        <v/>
      </c>
      <c r="N130" s="93" t="str">
        <f>IF($J130="","",
IF(VLOOKUP($J130,MASTER!$G$5:$L$201,6,0)="",DATE(YEAR(H130)-1,MONTH(H130),DAY(H130)),
VLOOKUP($J130,MASTER!$G$5:$L$201,6,0)))</f>
        <v/>
      </c>
      <c r="O130" s="96" t="str">
        <f t="shared" si="26"/>
        <v/>
      </c>
      <c r="Q130" s="94"/>
      <c r="T130" s="98"/>
      <c r="U130" s="100"/>
      <c r="W130" s="94"/>
      <c r="AA130" s="94"/>
      <c r="AD130" s="98"/>
      <c r="AI130" s="94"/>
      <c r="AJ130" s="98"/>
    </row>
    <row r="131" spans="2:36">
      <c r="B131" s="94"/>
      <c r="F131" s="94" t="str">
        <v/>
      </c>
      <c r="G131" s="92" t="str">
        <f t="shared" si="21"/>
        <v/>
      </c>
      <c r="H131" s="92" t="str">
        <f t="shared" si="22"/>
        <v/>
      </c>
      <c r="I131" s="90" t="str">
        <f t="shared" si="23"/>
        <v/>
      </c>
      <c r="J131" s="94" t="str">
        <v/>
      </c>
      <c r="K131" s="92" t="str">
        <f>IF($J131="","",
IF(VLOOKUP($J131,MASTER!$G$5:$L$201,5,0)="",DATE(YEAR(G131)-1,MONTH(G131),DAY(G131)),
VLOOKUP($J131,MASTER!$G$5:$L$201,5,0)))</f>
        <v/>
      </c>
      <c r="L131" s="92" t="str">
        <f t="shared" si="24"/>
        <v/>
      </c>
      <c r="M131" s="90" t="str">
        <f t="shared" si="25"/>
        <v/>
      </c>
      <c r="N131" s="93" t="str">
        <f>IF($J131="","",
IF(VLOOKUP($J131,MASTER!$G$5:$L$201,6,0)="",DATE(YEAR(H131)-1,MONTH(H131),DAY(H131)),
VLOOKUP($J131,MASTER!$G$5:$L$201,6,0)))</f>
        <v/>
      </c>
      <c r="O131" s="96" t="str">
        <f t="shared" si="26"/>
        <v/>
      </c>
      <c r="Q131" s="94"/>
      <c r="T131" s="98"/>
      <c r="U131" s="100"/>
      <c r="W131" s="94"/>
      <c r="AA131" s="94"/>
      <c r="AD131" s="98"/>
      <c r="AI131" s="94"/>
      <c r="AJ131" s="98"/>
    </row>
    <row r="132" spans="2:36">
      <c r="B132" s="94"/>
      <c r="F132" s="94" t="str">
        <v/>
      </c>
      <c r="G132" s="92" t="str">
        <f t="shared" si="21"/>
        <v/>
      </c>
      <c r="H132" s="92" t="str">
        <f t="shared" si="22"/>
        <v/>
      </c>
      <c r="I132" s="90" t="str">
        <f t="shared" si="23"/>
        <v/>
      </c>
      <c r="J132" s="94" t="str">
        <v/>
      </c>
      <c r="K132" s="92" t="str">
        <f>IF($J132="","",
IF(VLOOKUP($J132,MASTER!$G$5:$L$201,5,0)="",DATE(YEAR(G132)-1,MONTH(G132),DAY(G132)),
VLOOKUP($J132,MASTER!$G$5:$L$201,5,0)))</f>
        <v/>
      </c>
      <c r="L132" s="92" t="str">
        <f t="shared" si="24"/>
        <v/>
      </c>
      <c r="M132" s="90" t="str">
        <f t="shared" si="25"/>
        <v/>
      </c>
      <c r="N132" s="93" t="str">
        <f>IF($J132="","",
IF(VLOOKUP($J132,MASTER!$G$5:$L$201,6,0)="",DATE(YEAR(H132)-1,MONTH(H132),DAY(H132)),
VLOOKUP($J132,MASTER!$G$5:$L$201,6,0)))</f>
        <v/>
      </c>
      <c r="O132" s="96" t="str">
        <f t="shared" si="26"/>
        <v/>
      </c>
      <c r="Q132" s="94"/>
      <c r="T132" s="98"/>
      <c r="U132" s="100"/>
      <c r="W132" s="94"/>
      <c r="AA132" s="94"/>
      <c r="AD132" s="98"/>
      <c r="AI132" s="94"/>
      <c r="AJ132" s="98"/>
    </row>
    <row r="133" spans="2:36">
      <c r="B133" s="94"/>
      <c r="F133" s="94" t="str">
        <v/>
      </c>
      <c r="G133" s="92" t="str">
        <f t="shared" ref="G133:G164" si="27">IF(B133="","",C133-(D133-C133+1))</f>
        <v/>
      </c>
      <c r="H133" s="92" t="str">
        <f t="shared" ref="H133:H164" si="28">IF(B133="","",C133-1)</f>
        <v/>
      </c>
      <c r="I133" s="90" t="str">
        <f t="shared" ref="I133:I164" si="29">IF(G133="","",H133-G133+1)</f>
        <v/>
      </c>
      <c r="J133" s="94" t="str">
        <v/>
      </c>
      <c r="K133" s="92" t="str">
        <f>IF($J133="","",
IF(VLOOKUP($J133,MASTER!$G$5:$L$201,5,0)="",DATE(YEAR(G133)-1,MONTH(G133),DAY(G133)),
VLOOKUP($J133,MASTER!$G$5:$L$201,5,0)))</f>
        <v/>
      </c>
      <c r="L133" s="92" t="str">
        <f t="shared" ref="L133:L164" si="30">IF($J133="","",IF(O133&lt;&gt;I133,K133+(H133-G133),N133))</f>
        <v/>
      </c>
      <c r="M133" s="90" t="str">
        <f t="shared" ref="M133:M164" si="31">IF(K133="","",L133-K133+1)</f>
        <v/>
      </c>
      <c r="N133" s="93" t="str">
        <f>IF($J133="","",
IF(VLOOKUP($J133,MASTER!$G$5:$L$201,6,0)="",DATE(YEAR(H133)-1,MONTH(H133),DAY(H133)),
VLOOKUP($J133,MASTER!$G$5:$L$201,6,0)))</f>
        <v/>
      </c>
      <c r="O133" s="96" t="str">
        <f t="shared" ref="O133:O164" si="32">IF(K133="","",N133-K133+1)</f>
        <v/>
      </c>
      <c r="Q133" s="94"/>
      <c r="T133" s="98"/>
      <c r="U133" s="100"/>
      <c r="W133" s="94"/>
      <c r="AA133" s="94"/>
      <c r="AD133" s="98"/>
      <c r="AI133" s="94"/>
      <c r="AJ133" s="98"/>
    </row>
    <row r="134" spans="2:36">
      <c r="B134" s="94"/>
      <c r="F134" s="94" t="str">
        <v/>
      </c>
      <c r="G134" s="92" t="str">
        <f t="shared" si="27"/>
        <v/>
      </c>
      <c r="H134" s="92" t="str">
        <f t="shared" si="28"/>
        <v/>
      </c>
      <c r="I134" s="90" t="str">
        <f t="shared" si="29"/>
        <v/>
      </c>
      <c r="J134" s="94" t="str">
        <v/>
      </c>
      <c r="K134" s="92" t="str">
        <f>IF($J134="","",
IF(VLOOKUP($J134,MASTER!$G$5:$L$201,5,0)="",DATE(YEAR(G134)-1,MONTH(G134),DAY(G134)),
VLOOKUP($J134,MASTER!$G$5:$L$201,5,0)))</f>
        <v/>
      </c>
      <c r="L134" s="92" t="str">
        <f t="shared" si="30"/>
        <v/>
      </c>
      <c r="M134" s="90" t="str">
        <f t="shared" si="31"/>
        <v/>
      </c>
      <c r="N134" s="93" t="str">
        <f>IF($J134="","",
IF(VLOOKUP($J134,MASTER!$G$5:$L$201,6,0)="",DATE(YEAR(H134)-1,MONTH(H134),DAY(H134)),
VLOOKUP($J134,MASTER!$G$5:$L$201,6,0)))</f>
        <v/>
      </c>
      <c r="O134" s="96" t="str">
        <f t="shared" si="32"/>
        <v/>
      </c>
      <c r="Q134" s="94"/>
      <c r="T134" s="98"/>
      <c r="U134" s="100"/>
      <c r="W134" s="94"/>
      <c r="AA134" s="94"/>
      <c r="AD134" s="98"/>
      <c r="AI134" s="94"/>
      <c r="AJ134" s="98"/>
    </row>
    <row r="135" spans="2:36">
      <c r="B135" s="94"/>
      <c r="F135" s="94" t="str">
        <v/>
      </c>
      <c r="G135" s="92" t="str">
        <f t="shared" si="27"/>
        <v/>
      </c>
      <c r="H135" s="92" t="str">
        <f t="shared" si="28"/>
        <v/>
      </c>
      <c r="I135" s="90" t="str">
        <f t="shared" si="29"/>
        <v/>
      </c>
      <c r="J135" s="94" t="str">
        <v/>
      </c>
      <c r="K135" s="92" t="str">
        <f>IF($J135="","",
IF(VLOOKUP($J135,MASTER!$G$5:$L$201,5,0)="",DATE(YEAR(G135)-1,MONTH(G135),DAY(G135)),
VLOOKUP($J135,MASTER!$G$5:$L$201,5,0)))</f>
        <v/>
      </c>
      <c r="L135" s="92" t="str">
        <f t="shared" si="30"/>
        <v/>
      </c>
      <c r="M135" s="90" t="str">
        <f t="shared" si="31"/>
        <v/>
      </c>
      <c r="N135" s="93" t="str">
        <f>IF($J135="","",
IF(VLOOKUP($J135,MASTER!$G$5:$L$201,6,0)="",DATE(YEAR(H135)-1,MONTH(H135),DAY(H135)),
VLOOKUP($J135,MASTER!$G$5:$L$201,6,0)))</f>
        <v/>
      </c>
      <c r="O135" s="96" t="str">
        <f t="shared" si="32"/>
        <v/>
      </c>
      <c r="Q135" s="94"/>
      <c r="T135" s="98"/>
      <c r="U135" s="100"/>
      <c r="W135" s="94"/>
      <c r="AA135" s="94"/>
      <c r="AD135" s="98"/>
      <c r="AI135" s="94"/>
      <c r="AJ135" s="98"/>
    </row>
    <row r="136" spans="2:36">
      <c r="B136" s="94"/>
      <c r="F136" s="94" t="str">
        <v/>
      </c>
      <c r="G136" s="92" t="str">
        <f t="shared" si="27"/>
        <v/>
      </c>
      <c r="H136" s="92" t="str">
        <f t="shared" si="28"/>
        <v/>
      </c>
      <c r="I136" s="90" t="str">
        <f t="shared" si="29"/>
        <v/>
      </c>
      <c r="J136" s="94" t="str">
        <v/>
      </c>
      <c r="K136" s="92" t="str">
        <f>IF($J136="","",
IF(VLOOKUP($J136,MASTER!$G$5:$L$201,5,0)="",DATE(YEAR(G136)-1,MONTH(G136),DAY(G136)),
VLOOKUP($J136,MASTER!$G$5:$L$201,5,0)))</f>
        <v/>
      </c>
      <c r="L136" s="92" t="str">
        <f t="shared" si="30"/>
        <v/>
      </c>
      <c r="M136" s="90" t="str">
        <f t="shared" si="31"/>
        <v/>
      </c>
      <c r="N136" s="93" t="str">
        <f>IF($J136="","",
IF(VLOOKUP($J136,MASTER!$G$5:$L$201,6,0)="",DATE(YEAR(H136)-1,MONTH(H136),DAY(H136)),
VLOOKUP($J136,MASTER!$G$5:$L$201,6,0)))</f>
        <v/>
      </c>
      <c r="O136" s="96" t="str">
        <f t="shared" si="32"/>
        <v/>
      </c>
      <c r="Q136" s="94"/>
      <c r="T136" s="98"/>
      <c r="U136" s="100"/>
      <c r="W136" s="94"/>
      <c r="AA136" s="94"/>
      <c r="AD136" s="98"/>
      <c r="AI136" s="94"/>
      <c r="AJ136" s="98"/>
    </row>
    <row r="137" spans="2:36">
      <c r="B137" s="94"/>
      <c r="F137" s="94" t="str">
        <v/>
      </c>
      <c r="G137" s="92" t="str">
        <f t="shared" si="27"/>
        <v/>
      </c>
      <c r="H137" s="92" t="str">
        <f t="shared" si="28"/>
        <v/>
      </c>
      <c r="I137" s="90" t="str">
        <f t="shared" si="29"/>
        <v/>
      </c>
      <c r="J137" s="94" t="str">
        <v/>
      </c>
      <c r="K137" s="92" t="str">
        <f>IF($J137="","",
IF(VLOOKUP($J137,MASTER!$G$5:$L$201,5,0)="",DATE(YEAR(G137)-1,MONTH(G137),DAY(G137)),
VLOOKUP($J137,MASTER!$G$5:$L$201,5,0)))</f>
        <v/>
      </c>
      <c r="L137" s="92" t="str">
        <f t="shared" si="30"/>
        <v/>
      </c>
      <c r="M137" s="90" t="str">
        <f t="shared" si="31"/>
        <v/>
      </c>
      <c r="N137" s="93" t="str">
        <f>IF($J137="","",
IF(VLOOKUP($J137,MASTER!$G$5:$L$201,6,0)="",DATE(YEAR(H137)-1,MONTH(H137),DAY(H137)),
VLOOKUP($J137,MASTER!$G$5:$L$201,6,0)))</f>
        <v/>
      </c>
      <c r="O137" s="96" t="str">
        <f t="shared" si="32"/>
        <v/>
      </c>
      <c r="Q137" s="94"/>
      <c r="T137" s="98"/>
      <c r="U137" s="100"/>
      <c r="W137" s="94"/>
      <c r="AA137" s="94"/>
      <c r="AD137" s="98"/>
      <c r="AI137" s="94"/>
      <c r="AJ137" s="98"/>
    </row>
    <row r="138" spans="2:36">
      <c r="B138" s="94"/>
      <c r="F138" s="94" t="str">
        <v/>
      </c>
      <c r="G138" s="92" t="str">
        <f t="shared" si="27"/>
        <v/>
      </c>
      <c r="H138" s="92" t="str">
        <f t="shared" si="28"/>
        <v/>
      </c>
      <c r="I138" s="90" t="str">
        <f t="shared" si="29"/>
        <v/>
      </c>
      <c r="J138" s="94" t="str">
        <v/>
      </c>
      <c r="K138" s="92" t="str">
        <f>IF($J138="","",
IF(VLOOKUP($J138,MASTER!$G$5:$L$201,5,0)="",DATE(YEAR(G138)-1,MONTH(G138),DAY(G138)),
VLOOKUP($J138,MASTER!$G$5:$L$201,5,0)))</f>
        <v/>
      </c>
      <c r="L138" s="92" t="str">
        <f t="shared" si="30"/>
        <v/>
      </c>
      <c r="M138" s="90" t="str">
        <f t="shared" si="31"/>
        <v/>
      </c>
      <c r="N138" s="93" t="str">
        <f>IF($J138="","",
IF(VLOOKUP($J138,MASTER!$G$5:$L$201,6,0)="",DATE(YEAR(H138)-1,MONTH(H138),DAY(H138)),
VLOOKUP($J138,MASTER!$G$5:$L$201,6,0)))</f>
        <v/>
      </c>
      <c r="O138" s="96" t="str">
        <f t="shared" si="32"/>
        <v/>
      </c>
      <c r="Q138" s="94"/>
      <c r="T138" s="98"/>
      <c r="U138" s="100"/>
      <c r="W138" s="94"/>
      <c r="AA138" s="94"/>
      <c r="AD138" s="98"/>
      <c r="AI138" s="94"/>
      <c r="AJ138" s="98"/>
    </row>
    <row r="139" spans="2:36">
      <c r="B139" s="94"/>
      <c r="F139" s="94" t="str">
        <v/>
      </c>
      <c r="G139" s="92" t="str">
        <f t="shared" si="27"/>
        <v/>
      </c>
      <c r="H139" s="92" t="str">
        <f t="shared" si="28"/>
        <v/>
      </c>
      <c r="I139" s="90" t="str">
        <f t="shared" si="29"/>
        <v/>
      </c>
      <c r="J139" s="94" t="str">
        <v/>
      </c>
      <c r="K139" s="92" t="str">
        <f>IF($J139="","",
IF(VLOOKUP($J139,MASTER!$G$5:$L$201,5,0)="",DATE(YEAR(G139)-1,MONTH(G139),DAY(G139)),
VLOOKUP($J139,MASTER!$G$5:$L$201,5,0)))</f>
        <v/>
      </c>
      <c r="L139" s="92" t="str">
        <f t="shared" si="30"/>
        <v/>
      </c>
      <c r="M139" s="90" t="str">
        <f t="shared" si="31"/>
        <v/>
      </c>
      <c r="N139" s="93" t="str">
        <f>IF($J139="","",
IF(VLOOKUP($J139,MASTER!$G$5:$L$201,6,0)="",DATE(YEAR(H139)-1,MONTH(H139),DAY(H139)),
VLOOKUP($J139,MASTER!$G$5:$L$201,6,0)))</f>
        <v/>
      </c>
      <c r="O139" s="96" t="str">
        <f t="shared" si="32"/>
        <v/>
      </c>
      <c r="Q139" s="94"/>
      <c r="T139" s="98"/>
      <c r="U139" s="100"/>
      <c r="W139" s="94"/>
      <c r="AA139" s="94"/>
      <c r="AD139" s="98"/>
      <c r="AI139" s="94"/>
      <c r="AJ139" s="98"/>
    </row>
    <row r="140" spans="2:36">
      <c r="B140" s="94"/>
      <c r="F140" s="94" t="str">
        <v/>
      </c>
      <c r="G140" s="92" t="str">
        <f t="shared" si="27"/>
        <v/>
      </c>
      <c r="H140" s="92" t="str">
        <f t="shared" si="28"/>
        <v/>
      </c>
      <c r="I140" s="90" t="str">
        <f t="shared" si="29"/>
        <v/>
      </c>
      <c r="J140" s="94" t="str">
        <v/>
      </c>
      <c r="K140" s="92" t="str">
        <f>IF($J140="","",
IF(VLOOKUP($J140,MASTER!$G$5:$L$201,5,0)="",DATE(YEAR(G140)-1,MONTH(G140),DAY(G140)),
VLOOKUP($J140,MASTER!$G$5:$L$201,5,0)))</f>
        <v/>
      </c>
      <c r="L140" s="92" t="str">
        <f t="shared" si="30"/>
        <v/>
      </c>
      <c r="M140" s="90" t="str">
        <f t="shared" si="31"/>
        <v/>
      </c>
      <c r="N140" s="93" t="str">
        <f>IF($J140="","",
IF(VLOOKUP($J140,MASTER!$G$5:$L$201,6,0)="",DATE(YEAR(H140)-1,MONTH(H140),DAY(H140)),
VLOOKUP($J140,MASTER!$G$5:$L$201,6,0)))</f>
        <v/>
      </c>
      <c r="O140" s="96" t="str">
        <f t="shared" si="32"/>
        <v/>
      </c>
      <c r="Q140" s="94"/>
      <c r="T140" s="98"/>
      <c r="U140" s="100"/>
      <c r="W140" s="94"/>
      <c r="AA140" s="94"/>
      <c r="AD140" s="98"/>
      <c r="AI140" s="94"/>
      <c r="AJ140" s="98"/>
    </row>
    <row r="141" spans="2:36">
      <c r="B141" s="94"/>
      <c r="F141" s="94" t="str">
        <v/>
      </c>
      <c r="G141" s="92" t="str">
        <f t="shared" si="27"/>
        <v/>
      </c>
      <c r="H141" s="92" t="str">
        <f t="shared" si="28"/>
        <v/>
      </c>
      <c r="I141" s="90" t="str">
        <f t="shared" si="29"/>
        <v/>
      </c>
      <c r="J141" s="94" t="str">
        <v/>
      </c>
      <c r="K141" s="92" t="str">
        <f>IF($J141="","",
IF(VLOOKUP($J141,MASTER!$G$5:$L$201,5,0)="",DATE(YEAR(G141)-1,MONTH(G141),DAY(G141)),
VLOOKUP($J141,MASTER!$G$5:$L$201,5,0)))</f>
        <v/>
      </c>
      <c r="L141" s="92" t="str">
        <f t="shared" si="30"/>
        <v/>
      </c>
      <c r="M141" s="90" t="str">
        <f t="shared" si="31"/>
        <v/>
      </c>
      <c r="N141" s="93" t="str">
        <f>IF($J141="","",
IF(VLOOKUP($J141,MASTER!$G$5:$L$201,6,0)="",DATE(YEAR(H141)-1,MONTH(H141),DAY(H141)),
VLOOKUP($J141,MASTER!$G$5:$L$201,6,0)))</f>
        <v/>
      </c>
      <c r="O141" s="96" t="str">
        <f t="shared" si="32"/>
        <v/>
      </c>
      <c r="Q141" s="94"/>
      <c r="T141" s="98"/>
      <c r="U141" s="100"/>
      <c r="W141" s="94"/>
      <c r="AA141" s="94"/>
      <c r="AD141" s="98"/>
      <c r="AI141" s="94"/>
      <c r="AJ141" s="98"/>
    </row>
    <row r="142" spans="2:36">
      <c r="B142" s="94"/>
      <c r="F142" s="94" t="str">
        <v/>
      </c>
      <c r="G142" s="92" t="str">
        <f t="shared" si="27"/>
        <v/>
      </c>
      <c r="H142" s="92" t="str">
        <f t="shared" si="28"/>
        <v/>
      </c>
      <c r="I142" s="90" t="str">
        <f t="shared" si="29"/>
        <v/>
      </c>
      <c r="J142" s="94" t="str">
        <v/>
      </c>
      <c r="K142" s="92" t="str">
        <f>IF($J142="","",
IF(VLOOKUP($J142,MASTER!$G$5:$L$201,5,0)="",DATE(YEAR(G142)-1,MONTH(G142),DAY(G142)),
VLOOKUP($J142,MASTER!$G$5:$L$201,5,0)))</f>
        <v/>
      </c>
      <c r="L142" s="92" t="str">
        <f t="shared" si="30"/>
        <v/>
      </c>
      <c r="M142" s="90" t="str">
        <f t="shared" si="31"/>
        <v/>
      </c>
      <c r="N142" s="93" t="str">
        <f>IF($J142="","",
IF(VLOOKUP($J142,MASTER!$G$5:$L$201,6,0)="",DATE(YEAR(H142)-1,MONTH(H142),DAY(H142)),
VLOOKUP($J142,MASTER!$G$5:$L$201,6,0)))</f>
        <v/>
      </c>
      <c r="O142" s="96" t="str">
        <f t="shared" si="32"/>
        <v/>
      </c>
      <c r="Q142" s="94"/>
      <c r="T142" s="98"/>
      <c r="U142" s="100"/>
      <c r="W142" s="94"/>
      <c r="AA142" s="94"/>
      <c r="AD142" s="98"/>
      <c r="AI142" s="94"/>
      <c r="AJ142" s="98"/>
    </row>
    <row r="143" spans="2:36">
      <c r="B143" s="94"/>
      <c r="F143" s="94" t="str">
        <v/>
      </c>
      <c r="G143" s="92" t="str">
        <f t="shared" si="27"/>
        <v/>
      </c>
      <c r="H143" s="92" t="str">
        <f t="shared" si="28"/>
        <v/>
      </c>
      <c r="I143" s="90" t="str">
        <f t="shared" si="29"/>
        <v/>
      </c>
      <c r="J143" s="94" t="str">
        <v/>
      </c>
      <c r="K143" s="92" t="str">
        <f>IF($J143="","",
IF(VLOOKUP($J143,MASTER!$G$5:$L$201,5,0)="",DATE(YEAR(G143)-1,MONTH(G143),DAY(G143)),
VLOOKUP($J143,MASTER!$G$5:$L$201,5,0)))</f>
        <v/>
      </c>
      <c r="L143" s="92" t="str">
        <f t="shared" si="30"/>
        <v/>
      </c>
      <c r="M143" s="90" t="str">
        <f t="shared" si="31"/>
        <v/>
      </c>
      <c r="N143" s="93" t="str">
        <f>IF($J143="","",
IF(VLOOKUP($J143,MASTER!$G$5:$L$201,6,0)="",DATE(YEAR(H143)-1,MONTH(H143),DAY(H143)),
VLOOKUP($J143,MASTER!$G$5:$L$201,6,0)))</f>
        <v/>
      </c>
      <c r="O143" s="96" t="str">
        <f t="shared" si="32"/>
        <v/>
      </c>
      <c r="Q143" s="94"/>
      <c r="T143" s="98"/>
      <c r="U143" s="100"/>
      <c r="W143" s="94"/>
      <c r="AA143" s="94"/>
      <c r="AD143" s="98"/>
      <c r="AI143" s="94"/>
      <c r="AJ143" s="98"/>
    </row>
    <row r="144" spans="2:36">
      <c r="B144" s="94"/>
      <c r="F144" s="94" t="str">
        <v/>
      </c>
      <c r="G144" s="92" t="str">
        <f t="shared" si="27"/>
        <v/>
      </c>
      <c r="H144" s="92" t="str">
        <f t="shared" si="28"/>
        <v/>
      </c>
      <c r="I144" s="90" t="str">
        <f t="shared" si="29"/>
        <v/>
      </c>
      <c r="J144" s="94" t="str">
        <v/>
      </c>
      <c r="K144" s="92" t="str">
        <f>IF($J144="","",
IF(VLOOKUP($J144,MASTER!$G$5:$L$201,5,0)="",DATE(YEAR(G144)-1,MONTH(G144),DAY(G144)),
VLOOKUP($J144,MASTER!$G$5:$L$201,5,0)))</f>
        <v/>
      </c>
      <c r="L144" s="92" t="str">
        <f t="shared" si="30"/>
        <v/>
      </c>
      <c r="M144" s="90" t="str">
        <f t="shared" si="31"/>
        <v/>
      </c>
      <c r="N144" s="93" t="str">
        <f>IF($J144="","",
IF(VLOOKUP($J144,MASTER!$G$5:$L$201,6,0)="",DATE(YEAR(H144)-1,MONTH(H144),DAY(H144)),
VLOOKUP($J144,MASTER!$G$5:$L$201,6,0)))</f>
        <v/>
      </c>
      <c r="O144" s="96" t="str">
        <f t="shared" si="32"/>
        <v/>
      </c>
      <c r="Q144" s="94"/>
      <c r="T144" s="98"/>
      <c r="U144" s="100"/>
      <c r="W144" s="94"/>
      <c r="AA144" s="94"/>
      <c r="AD144" s="98"/>
      <c r="AI144" s="94"/>
      <c r="AJ144" s="98"/>
    </row>
    <row r="145" spans="2:36">
      <c r="B145" s="94"/>
      <c r="F145" s="94" t="str">
        <v/>
      </c>
      <c r="G145" s="92" t="str">
        <f t="shared" si="27"/>
        <v/>
      </c>
      <c r="H145" s="92" t="str">
        <f t="shared" si="28"/>
        <v/>
      </c>
      <c r="I145" s="90" t="str">
        <f t="shared" si="29"/>
        <v/>
      </c>
      <c r="J145" s="94" t="str">
        <v/>
      </c>
      <c r="K145" s="92" t="str">
        <f>IF($J145="","",
IF(VLOOKUP($J145,MASTER!$G$5:$L$201,5,0)="",DATE(YEAR(G145)-1,MONTH(G145),DAY(G145)),
VLOOKUP($J145,MASTER!$G$5:$L$201,5,0)))</f>
        <v/>
      </c>
      <c r="L145" s="92" t="str">
        <f t="shared" si="30"/>
        <v/>
      </c>
      <c r="M145" s="90" t="str">
        <f t="shared" si="31"/>
        <v/>
      </c>
      <c r="N145" s="93" t="str">
        <f>IF($J145="","",
IF(VLOOKUP($J145,MASTER!$G$5:$L$201,6,0)="",DATE(YEAR(H145)-1,MONTH(H145),DAY(H145)),
VLOOKUP($J145,MASTER!$G$5:$L$201,6,0)))</f>
        <v/>
      </c>
      <c r="O145" s="96" t="str">
        <f t="shared" si="32"/>
        <v/>
      </c>
      <c r="Q145" s="94"/>
      <c r="T145" s="98"/>
      <c r="U145" s="100"/>
      <c r="W145" s="94"/>
      <c r="AA145" s="94"/>
      <c r="AD145" s="98"/>
      <c r="AI145" s="94"/>
      <c r="AJ145" s="98"/>
    </row>
    <row r="146" spans="2:36">
      <c r="B146" s="94"/>
      <c r="F146" s="94" t="str">
        <v/>
      </c>
      <c r="G146" s="92" t="str">
        <f t="shared" si="27"/>
        <v/>
      </c>
      <c r="H146" s="92" t="str">
        <f t="shared" si="28"/>
        <v/>
      </c>
      <c r="I146" s="90" t="str">
        <f t="shared" si="29"/>
        <v/>
      </c>
      <c r="J146" s="94" t="str">
        <v/>
      </c>
      <c r="K146" s="92" t="str">
        <f>IF($J146="","",
IF(VLOOKUP($J146,MASTER!$G$5:$L$201,5,0)="",DATE(YEAR(G146)-1,MONTH(G146),DAY(G146)),
VLOOKUP($J146,MASTER!$G$5:$L$201,5,0)))</f>
        <v/>
      </c>
      <c r="L146" s="92" t="str">
        <f t="shared" si="30"/>
        <v/>
      </c>
      <c r="M146" s="90" t="str">
        <f t="shared" si="31"/>
        <v/>
      </c>
      <c r="N146" s="93" t="str">
        <f>IF($J146="","",
IF(VLOOKUP($J146,MASTER!$G$5:$L$201,6,0)="",DATE(YEAR(H146)-1,MONTH(H146),DAY(H146)),
VLOOKUP($J146,MASTER!$G$5:$L$201,6,0)))</f>
        <v/>
      </c>
      <c r="O146" s="96" t="str">
        <f t="shared" si="32"/>
        <v/>
      </c>
      <c r="Q146" s="94"/>
      <c r="T146" s="98"/>
      <c r="U146" s="100"/>
      <c r="W146" s="94"/>
      <c r="AA146" s="94"/>
      <c r="AD146" s="98"/>
      <c r="AI146" s="94"/>
      <c r="AJ146" s="98"/>
    </row>
    <row r="147" spans="2:36">
      <c r="B147" s="94"/>
      <c r="F147" s="94" t="str">
        <v/>
      </c>
      <c r="G147" s="92" t="str">
        <f t="shared" si="27"/>
        <v/>
      </c>
      <c r="H147" s="92" t="str">
        <f t="shared" si="28"/>
        <v/>
      </c>
      <c r="I147" s="90" t="str">
        <f t="shared" si="29"/>
        <v/>
      </c>
      <c r="J147" s="94" t="str">
        <v/>
      </c>
      <c r="K147" s="92" t="str">
        <f>IF($J147="","",
IF(VLOOKUP($J147,MASTER!$G$5:$L$201,5,0)="",DATE(YEAR(G147)-1,MONTH(G147),DAY(G147)),
VLOOKUP($J147,MASTER!$G$5:$L$201,5,0)))</f>
        <v/>
      </c>
      <c r="L147" s="92" t="str">
        <f t="shared" si="30"/>
        <v/>
      </c>
      <c r="M147" s="90" t="str">
        <f t="shared" si="31"/>
        <v/>
      </c>
      <c r="N147" s="93" t="str">
        <f>IF($J147="","",
IF(VLOOKUP($J147,MASTER!$G$5:$L$201,6,0)="",DATE(YEAR(H147)-1,MONTH(H147),DAY(H147)),
VLOOKUP($J147,MASTER!$G$5:$L$201,6,0)))</f>
        <v/>
      </c>
      <c r="O147" s="96" t="str">
        <f t="shared" si="32"/>
        <v/>
      </c>
      <c r="Q147" s="94"/>
      <c r="T147" s="98"/>
      <c r="U147" s="100"/>
      <c r="W147" s="94"/>
      <c r="AA147" s="94"/>
      <c r="AD147" s="98"/>
      <c r="AI147" s="94"/>
      <c r="AJ147" s="98"/>
    </row>
    <row r="148" spans="2:36">
      <c r="B148" s="94"/>
      <c r="F148" s="94" t="str">
        <v/>
      </c>
      <c r="G148" s="92" t="str">
        <f t="shared" si="27"/>
        <v/>
      </c>
      <c r="H148" s="92" t="str">
        <f t="shared" si="28"/>
        <v/>
      </c>
      <c r="I148" s="90" t="str">
        <f t="shared" si="29"/>
        <v/>
      </c>
      <c r="J148" s="94" t="str">
        <v/>
      </c>
      <c r="K148" s="92" t="str">
        <f>IF($J148="","",
IF(VLOOKUP($J148,MASTER!$G$5:$L$201,5,0)="",DATE(YEAR(G148)-1,MONTH(G148),DAY(G148)),
VLOOKUP($J148,MASTER!$G$5:$L$201,5,0)))</f>
        <v/>
      </c>
      <c r="L148" s="92" t="str">
        <f t="shared" si="30"/>
        <v/>
      </c>
      <c r="M148" s="90" t="str">
        <f t="shared" si="31"/>
        <v/>
      </c>
      <c r="N148" s="93" t="str">
        <f>IF($J148="","",
IF(VLOOKUP($J148,MASTER!$G$5:$L$201,6,0)="",DATE(YEAR(H148)-1,MONTH(H148),DAY(H148)),
VLOOKUP($J148,MASTER!$G$5:$L$201,6,0)))</f>
        <v/>
      </c>
      <c r="O148" s="96" t="str">
        <f t="shared" si="32"/>
        <v/>
      </c>
      <c r="Q148" s="94"/>
      <c r="T148" s="98"/>
      <c r="U148" s="100"/>
      <c r="W148" s="94"/>
      <c r="AA148" s="94"/>
      <c r="AD148" s="98"/>
      <c r="AI148" s="94"/>
      <c r="AJ148" s="98"/>
    </row>
    <row r="149" spans="2:36">
      <c r="B149" s="94"/>
      <c r="F149" s="94" t="str">
        <v/>
      </c>
      <c r="G149" s="92" t="str">
        <f t="shared" si="27"/>
        <v/>
      </c>
      <c r="H149" s="92" t="str">
        <f t="shared" si="28"/>
        <v/>
      </c>
      <c r="I149" s="90" t="str">
        <f t="shared" si="29"/>
        <v/>
      </c>
      <c r="J149" s="94" t="str">
        <v/>
      </c>
      <c r="K149" s="92" t="str">
        <f>IF($J149="","",
IF(VLOOKUP($J149,MASTER!$G$5:$L$201,5,0)="",DATE(YEAR(G149)-1,MONTH(G149),DAY(G149)),
VLOOKUP($J149,MASTER!$G$5:$L$201,5,0)))</f>
        <v/>
      </c>
      <c r="L149" s="92" t="str">
        <f t="shared" si="30"/>
        <v/>
      </c>
      <c r="M149" s="90" t="str">
        <f t="shared" si="31"/>
        <v/>
      </c>
      <c r="N149" s="93" t="str">
        <f>IF($J149="","",
IF(VLOOKUP($J149,MASTER!$G$5:$L$201,6,0)="",DATE(YEAR(H149)-1,MONTH(H149),DAY(H149)),
VLOOKUP($J149,MASTER!$G$5:$L$201,6,0)))</f>
        <v/>
      </c>
      <c r="O149" s="96" t="str">
        <f t="shared" si="32"/>
        <v/>
      </c>
      <c r="Q149" s="94"/>
      <c r="T149" s="98"/>
      <c r="U149" s="100"/>
      <c r="W149" s="94"/>
      <c r="AA149" s="94"/>
      <c r="AD149" s="98"/>
      <c r="AI149" s="94"/>
      <c r="AJ149" s="98"/>
    </row>
    <row r="150" spans="2:36">
      <c r="B150" s="94"/>
      <c r="F150" s="94" t="str">
        <v/>
      </c>
      <c r="G150" s="92" t="str">
        <f t="shared" si="27"/>
        <v/>
      </c>
      <c r="H150" s="92" t="str">
        <f t="shared" si="28"/>
        <v/>
      </c>
      <c r="I150" s="90" t="str">
        <f t="shared" si="29"/>
        <v/>
      </c>
      <c r="J150" s="94" t="str">
        <v/>
      </c>
      <c r="K150" s="92" t="str">
        <f>IF($J150="","",
IF(VLOOKUP($J150,MASTER!$G$5:$L$201,5,0)="",DATE(YEAR(G150)-1,MONTH(G150),DAY(G150)),
VLOOKUP($J150,MASTER!$G$5:$L$201,5,0)))</f>
        <v/>
      </c>
      <c r="L150" s="92" t="str">
        <f t="shared" si="30"/>
        <v/>
      </c>
      <c r="M150" s="90" t="str">
        <f t="shared" si="31"/>
        <v/>
      </c>
      <c r="N150" s="93" t="str">
        <f>IF($J150="","",
IF(VLOOKUP($J150,MASTER!$G$5:$L$201,6,0)="",DATE(YEAR(H150)-1,MONTH(H150),DAY(H150)),
VLOOKUP($J150,MASTER!$G$5:$L$201,6,0)))</f>
        <v/>
      </c>
      <c r="O150" s="96" t="str">
        <f t="shared" si="32"/>
        <v/>
      </c>
      <c r="Q150" s="94"/>
      <c r="T150" s="98"/>
      <c r="U150" s="100"/>
      <c r="W150" s="94"/>
      <c r="AA150" s="94"/>
      <c r="AD150" s="98"/>
      <c r="AI150" s="94"/>
      <c r="AJ150" s="98"/>
    </row>
    <row r="151" spans="2:36">
      <c r="B151" s="94"/>
      <c r="F151" s="94" t="str">
        <v/>
      </c>
      <c r="G151" s="92" t="str">
        <f t="shared" si="27"/>
        <v/>
      </c>
      <c r="H151" s="92" t="str">
        <f t="shared" si="28"/>
        <v/>
      </c>
      <c r="I151" s="90" t="str">
        <f t="shared" si="29"/>
        <v/>
      </c>
      <c r="J151" s="94" t="str">
        <v/>
      </c>
      <c r="K151" s="92" t="str">
        <f>IF($J151="","",
IF(VLOOKUP($J151,MASTER!$G$5:$L$201,5,0)="",DATE(YEAR(G151)-1,MONTH(G151),DAY(G151)),
VLOOKUP($J151,MASTER!$G$5:$L$201,5,0)))</f>
        <v/>
      </c>
      <c r="L151" s="92" t="str">
        <f t="shared" si="30"/>
        <v/>
      </c>
      <c r="M151" s="90" t="str">
        <f t="shared" si="31"/>
        <v/>
      </c>
      <c r="N151" s="93" t="str">
        <f>IF($J151="","",
IF(VLOOKUP($J151,MASTER!$G$5:$L$201,6,0)="",DATE(YEAR(H151)-1,MONTH(H151),DAY(H151)),
VLOOKUP($J151,MASTER!$G$5:$L$201,6,0)))</f>
        <v/>
      </c>
      <c r="O151" s="96" t="str">
        <f t="shared" si="32"/>
        <v/>
      </c>
      <c r="Q151" s="94"/>
      <c r="T151" s="98"/>
      <c r="U151" s="100"/>
      <c r="W151" s="94"/>
      <c r="AA151" s="94"/>
      <c r="AD151" s="98"/>
      <c r="AI151" s="94"/>
      <c r="AJ151" s="98"/>
    </row>
    <row r="152" spans="2:36">
      <c r="B152" s="94"/>
      <c r="F152" s="94" t="str">
        <v/>
      </c>
      <c r="G152" s="92" t="str">
        <f t="shared" si="27"/>
        <v/>
      </c>
      <c r="H152" s="92" t="str">
        <f t="shared" si="28"/>
        <v/>
      </c>
      <c r="I152" s="90" t="str">
        <f t="shared" si="29"/>
        <v/>
      </c>
      <c r="J152" s="94" t="str">
        <v/>
      </c>
      <c r="K152" s="92" t="str">
        <f>IF($J152="","",
IF(VLOOKUP($J152,MASTER!$G$5:$L$201,5,0)="",DATE(YEAR(G152)-1,MONTH(G152),DAY(G152)),
VLOOKUP($J152,MASTER!$G$5:$L$201,5,0)))</f>
        <v/>
      </c>
      <c r="L152" s="92" t="str">
        <f t="shared" si="30"/>
        <v/>
      </c>
      <c r="M152" s="90" t="str">
        <f t="shared" si="31"/>
        <v/>
      </c>
      <c r="N152" s="93" t="str">
        <f>IF($J152="","",
IF(VLOOKUP($J152,MASTER!$G$5:$L$201,6,0)="",DATE(YEAR(H152)-1,MONTH(H152),DAY(H152)),
VLOOKUP($J152,MASTER!$G$5:$L$201,6,0)))</f>
        <v/>
      </c>
      <c r="O152" s="96" t="str">
        <f t="shared" si="32"/>
        <v/>
      </c>
      <c r="Q152" s="94"/>
      <c r="T152" s="98"/>
      <c r="U152" s="100"/>
      <c r="W152" s="94"/>
      <c r="AA152" s="94"/>
      <c r="AD152" s="98"/>
      <c r="AI152" s="94"/>
      <c r="AJ152" s="98"/>
    </row>
    <row r="153" spans="2:36">
      <c r="B153" s="94"/>
      <c r="F153" s="94" t="str">
        <v/>
      </c>
      <c r="G153" s="92" t="str">
        <f t="shared" si="27"/>
        <v/>
      </c>
      <c r="H153" s="92" t="str">
        <f t="shared" si="28"/>
        <v/>
      </c>
      <c r="I153" s="90" t="str">
        <f t="shared" si="29"/>
        <v/>
      </c>
      <c r="J153" s="94" t="str">
        <v/>
      </c>
      <c r="K153" s="92" t="str">
        <f>IF($J153="","",
IF(VLOOKUP($J153,MASTER!$G$5:$L$201,5,0)="",DATE(YEAR(G153)-1,MONTH(G153),DAY(G153)),
VLOOKUP($J153,MASTER!$G$5:$L$201,5,0)))</f>
        <v/>
      </c>
      <c r="L153" s="92" t="str">
        <f t="shared" si="30"/>
        <v/>
      </c>
      <c r="M153" s="90" t="str">
        <f t="shared" si="31"/>
        <v/>
      </c>
      <c r="N153" s="93" t="str">
        <f>IF($J153="","",
IF(VLOOKUP($J153,MASTER!$G$5:$L$201,6,0)="",DATE(YEAR(H153)-1,MONTH(H153),DAY(H153)),
VLOOKUP($J153,MASTER!$G$5:$L$201,6,0)))</f>
        <v/>
      </c>
      <c r="O153" s="96" t="str">
        <f t="shared" si="32"/>
        <v/>
      </c>
      <c r="Q153" s="94"/>
      <c r="T153" s="98"/>
      <c r="U153" s="100"/>
      <c r="W153" s="94"/>
      <c r="AA153" s="94"/>
      <c r="AD153" s="98"/>
      <c r="AI153" s="94"/>
      <c r="AJ153" s="98"/>
    </row>
    <row r="154" spans="2:36">
      <c r="B154" s="94"/>
      <c r="F154" s="94" t="str">
        <v/>
      </c>
      <c r="G154" s="92" t="str">
        <f t="shared" si="27"/>
        <v/>
      </c>
      <c r="H154" s="92" t="str">
        <f t="shared" si="28"/>
        <v/>
      </c>
      <c r="I154" s="90" t="str">
        <f t="shared" si="29"/>
        <v/>
      </c>
      <c r="J154" s="94" t="str">
        <v/>
      </c>
      <c r="K154" s="92" t="str">
        <f>IF($J154="","",
IF(VLOOKUP($J154,MASTER!$G$5:$L$201,5,0)="",DATE(YEAR(G154)-1,MONTH(G154),DAY(G154)),
VLOOKUP($J154,MASTER!$G$5:$L$201,5,0)))</f>
        <v/>
      </c>
      <c r="L154" s="92" t="str">
        <f t="shared" si="30"/>
        <v/>
      </c>
      <c r="M154" s="90" t="str">
        <f t="shared" si="31"/>
        <v/>
      </c>
      <c r="N154" s="93" t="str">
        <f>IF($J154="","",
IF(VLOOKUP($J154,MASTER!$G$5:$L$201,6,0)="",DATE(YEAR(H154)-1,MONTH(H154),DAY(H154)),
VLOOKUP($J154,MASTER!$G$5:$L$201,6,0)))</f>
        <v/>
      </c>
      <c r="O154" s="96" t="str">
        <f t="shared" si="32"/>
        <v/>
      </c>
      <c r="Q154" s="94"/>
      <c r="T154" s="98"/>
      <c r="U154" s="100"/>
      <c r="W154" s="94"/>
      <c r="AA154" s="94"/>
      <c r="AD154" s="98"/>
      <c r="AI154" s="94"/>
      <c r="AJ154" s="98"/>
    </row>
    <row r="155" spans="2:36">
      <c r="B155" s="94"/>
      <c r="F155" s="94" t="str">
        <v/>
      </c>
      <c r="G155" s="92" t="str">
        <f t="shared" si="27"/>
        <v/>
      </c>
      <c r="H155" s="92" t="str">
        <f t="shared" si="28"/>
        <v/>
      </c>
      <c r="I155" s="90" t="str">
        <f t="shared" si="29"/>
        <v/>
      </c>
      <c r="J155" s="94" t="str">
        <v/>
      </c>
      <c r="K155" s="92" t="str">
        <f>IF($J155="","",
IF(VLOOKUP($J155,MASTER!$G$5:$L$201,5,0)="",DATE(YEAR(G155)-1,MONTH(G155),DAY(G155)),
VLOOKUP($J155,MASTER!$G$5:$L$201,5,0)))</f>
        <v/>
      </c>
      <c r="L155" s="92" t="str">
        <f t="shared" si="30"/>
        <v/>
      </c>
      <c r="M155" s="90" t="str">
        <f t="shared" si="31"/>
        <v/>
      </c>
      <c r="N155" s="93" t="str">
        <f>IF($J155="","",
IF(VLOOKUP($J155,MASTER!$G$5:$L$201,6,0)="",DATE(YEAR(H155)-1,MONTH(H155),DAY(H155)),
VLOOKUP($J155,MASTER!$G$5:$L$201,6,0)))</f>
        <v/>
      </c>
      <c r="O155" s="96" t="str">
        <f t="shared" si="32"/>
        <v/>
      </c>
      <c r="Q155" s="94"/>
      <c r="T155" s="98"/>
      <c r="U155" s="100"/>
      <c r="W155" s="94"/>
      <c r="AA155" s="94"/>
      <c r="AD155" s="98"/>
      <c r="AI155" s="94"/>
      <c r="AJ155" s="98"/>
    </row>
    <row r="156" spans="2:36">
      <c r="B156" s="94"/>
      <c r="F156" s="94" t="str">
        <v/>
      </c>
      <c r="G156" s="92" t="str">
        <f t="shared" si="27"/>
        <v/>
      </c>
      <c r="H156" s="92" t="str">
        <f t="shared" si="28"/>
        <v/>
      </c>
      <c r="I156" s="90" t="str">
        <f t="shared" si="29"/>
        <v/>
      </c>
      <c r="J156" s="94" t="str">
        <v/>
      </c>
      <c r="K156" s="92" t="str">
        <f>IF($J156="","",
IF(VLOOKUP($J156,MASTER!$G$5:$L$201,5,0)="",DATE(YEAR(G156)-1,MONTH(G156),DAY(G156)),
VLOOKUP($J156,MASTER!$G$5:$L$201,5,0)))</f>
        <v/>
      </c>
      <c r="L156" s="92" t="str">
        <f t="shared" si="30"/>
        <v/>
      </c>
      <c r="M156" s="90" t="str">
        <f t="shared" si="31"/>
        <v/>
      </c>
      <c r="N156" s="93" t="str">
        <f>IF($J156="","",
IF(VLOOKUP($J156,MASTER!$G$5:$L$201,6,0)="",DATE(YEAR(H156)-1,MONTH(H156),DAY(H156)),
VLOOKUP($J156,MASTER!$G$5:$L$201,6,0)))</f>
        <v/>
      </c>
      <c r="O156" s="96" t="str">
        <f t="shared" si="32"/>
        <v/>
      </c>
      <c r="Q156" s="94"/>
      <c r="T156" s="98"/>
      <c r="U156" s="100"/>
      <c r="W156" s="94"/>
      <c r="AA156" s="94"/>
      <c r="AD156" s="98"/>
      <c r="AI156" s="94"/>
      <c r="AJ156" s="98"/>
    </row>
    <row r="157" spans="2:36">
      <c r="B157" s="94"/>
      <c r="F157" s="94" t="str">
        <v/>
      </c>
      <c r="G157" s="92" t="str">
        <f t="shared" si="27"/>
        <v/>
      </c>
      <c r="H157" s="92" t="str">
        <f t="shared" si="28"/>
        <v/>
      </c>
      <c r="I157" s="90" t="str">
        <f t="shared" si="29"/>
        <v/>
      </c>
      <c r="J157" s="94" t="str">
        <v/>
      </c>
      <c r="K157" s="92" t="str">
        <f>IF($J157="","",
IF(VLOOKUP($J157,MASTER!$G$5:$L$201,5,0)="",DATE(YEAR(G157)-1,MONTH(G157),DAY(G157)),
VLOOKUP($J157,MASTER!$G$5:$L$201,5,0)))</f>
        <v/>
      </c>
      <c r="L157" s="92" t="str">
        <f t="shared" si="30"/>
        <v/>
      </c>
      <c r="M157" s="90" t="str">
        <f t="shared" si="31"/>
        <v/>
      </c>
      <c r="N157" s="93" t="str">
        <f>IF($J157="","",
IF(VLOOKUP($J157,MASTER!$G$5:$L$201,6,0)="",DATE(YEAR(H157)-1,MONTH(H157),DAY(H157)),
VLOOKUP($J157,MASTER!$G$5:$L$201,6,0)))</f>
        <v/>
      </c>
      <c r="O157" s="96" t="str">
        <f t="shared" si="32"/>
        <v/>
      </c>
      <c r="Q157" s="94"/>
      <c r="T157" s="98"/>
      <c r="U157" s="100"/>
      <c r="W157" s="94"/>
      <c r="AA157" s="94"/>
      <c r="AD157" s="98"/>
      <c r="AI157" s="94"/>
      <c r="AJ157" s="98"/>
    </row>
    <row r="158" spans="2:36">
      <c r="B158" s="94"/>
      <c r="F158" s="94" t="str">
        <v/>
      </c>
      <c r="G158" s="92" t="str">
        <f t="shared" si="27"/>
        <v/>
      </c>
      <c r="H158" s="92" t="str">
        <f t="shared" si="28"/>
        <v/>
      </c>
      <c r="I158" s="90" t="str">
        <f t="shared" si="29"/>
        <v/>
      </c>
      <c r="J158" s="94" t="str">
        <v/>
      </c>
      <c r="K158" s="92" t="str">
        <f>IF($J158="","",
IF(VLOOKUP($J158,MASTER!$G$5:$L$201,5,0)="",DATE(YEAR(G158)-1,MONTH(G158),DAY(G158)),
VLOOKUP($J158,MASTER!$G$5:$L$201,5,0)))</f>
        <v/>
      </c>
      <c r="L158" s="92" t="str">
        <f t="shared" si="30"/>
        <v/>
      </c>
      <c r="M158" s="90" t="str">
        <f t="shared" si="31"/>
        <v/>
      </c>
      <c r="N158" s="93" t="str">
        <f>IF($J158="","",
IF(VLOOKUP($J158,MASTER!$G$5:$L$201,6,0)="",DATE(YEAR(H158)-1,MONTH(H158),DAY(H158)),
VLOOKUP($J158,MASTER!$G$5:$L$201,6,0)))</f>
        <v/>
      </c>
      <c r="O158" s="96" t="str">
        <f t="shared" si="32"/>
        <v/>
      </c>
      <c r="Q158" s="94"/>
      <c r="T158" s="98"/>
      <c r="U158" s="100"/>
      <c r="W158" s="94"/>
      <c r="AA158" s="94"/>
      <c r="AD158" s="98"/>
      <c r="AI158" s="94"/>
      <c r="AJ158" s="98"/>
    </row>
    <row r="159" spans="2:36">
      <c r="B159" s="94"/>
      <c r="F159" s="94" t="str">
        <v/>
      </c>
      <c r="G159" s="92" t="str">
        <f t="shared" si="27"/>
        <v/>
      </c>
      <c r="H159" s="92" t="str">
        <f t="shared" si="28"/>
        <v/>
      </c>
      <c r="I159" s="90" t="str">
        <f t="shared" si="29"/>
        <v/>
      </c>
      <c r="J159" s="94" t="str">
        <v/>
      </c>
      <c r="K159" s="92" t="str">
        <f>IF($J159="","",
IF(VLOOKUP($J159,MASTER!$G$5:$L$201,5,0)="",DATE(YEAR(G159)-1,MONTH(G159),DAY(G159)),
VLOOKUP($J159,MASTER!$G$5:$L$201,5,0)))</f>
        <v/>
      </c>
      <c r="L159" s="92" t="str">
        <f t="shared" si="30"/>
        <v/>
      </c>
      <c r="M159" s="90" t="str">
        <f t="shared" si="31"/>
        <v/>
      </c>
      <c r="N159" s="93" t="str">
        <f>IF($J159="","",
IF(VLOOKUP($J159,MASTER!$G$5:$L$201,6,0)="",DATE(YEAR(H159)-1,MONTH(H159),DAY(H159)),
VLOOKUP($J159,MASTER!$G$5:$L$201,6,0)))</f>
        <v/>
      </c>
      <c r="O159" s="96" t="str">
        <f t="shared" si="32"/>
        <v/>
      </c>
      <c r="Q159" s="94"/>
      <c r="T159" s="98"/>
      <c r="U159" s="100"/>
      <c r="W159" s="94"/>
      <c r="AA159" s="94"/>
      <c r="AD159" s="98"/>
      <c r="AI159" s="94"/>
      <c r="AJ159" s="98"/>
    </row>
    <row r="160" spans="2:36">
      <c r="B160" s="94"/>
      <c r="F160" s="94" t="str">
        <v/>
      </c>
      <c r="G160" s="92" t="str">
        <f t="shared" si="27"/>
        <v/>
      </c>
      <c r="H160" s="92" t="str">
        <f t="shared" si="28"/>
        <v/>
      </c>
      <c r="I160" s="90" t="str">
        <f t="shared" si="29"/>
        <v/>
      </c>
      <c r="J160" s="94" t="str">
        <v/>
      </c>
      <c r="K160" s="92" t="str">
        <f>IF($J160="","",
IF(VLOOKUP($J160,MASTER!$G$5:$L$201,5,0)="",DATE(YEAR(G160)-1,MONTH(G160),DAY(G160)),
VLOOKUP($J160,MASTER!$G$5:$L$201,5,0)))</f>
        <v/>
      </c>
      <c r="L160" s="92" t="str">
        <f t="shared" si="30"/>
        <v/>
      </c>
      <c r="M160" s="90" t="str">
        <f t="shared" si="31"/>
        <v/>
      </c>
      <c r="N160" s="93" t="str">
        <f>IF($J160="","",
IF(VLOOKUP($J160,MASTER!$G$5:$L$201,6,0)="",DATE(YEAR(H160)-1,MONTH(H160),DAY(H160)),
VLOOKUP($J160,MASTER!$G$5:$L$201,6,0)))</f>
        <v/>
      </c>
      <c r="O160" s="96" t="str">
        <f t="shared" si="32"/>
        <v/>
      </c>
      <c r="Q160" s="94"/>
      <c r="T160" s="98"/>
      <c r="U160" s="100"/>
      <c r="W160" s="94"/>
      <c r="AA160" s="94"/>
      <c r="AD160" s="98"/>
      <c r="AI160" s="94"/>
      <c r="AJ160" s="98"/>
    </row>
    <row r="161" spans="2:36">
      <c r="B161" s="94"/>
      <c r="F161" s="94" t="str">
        <v/>
      </c>
      <c r="G161" s="92" t="str">
        <f t="shared" si="27"/>
        <v/>
      </c>
      <c r="H161" s="92" t="str">
        <f t="shared" si="28"/>
        <v/>
      </c>
      <c r="I161" s="90" t="str">
        <f t="shared" si="29"/>
        <v/>
      </c>
      <c r="J161" s="94" t="str">
        <v/>
      </c>
      <c r="K161" s="92" t="str">
        <f>IF($J161="","",
IF(VLOOKUP($J161,MASTER!$G$5:$L$201,5,0)="",DATE(YEAR(G161)-1,MONTH(G161),DAY(G161)),
VLOOKUP($J161,MASTER!$G$5:$L$201,5,0)))</f>
        <v/>
      </c>
      <c r="L161" s="92" t="str">
        <f t="shared" si="30"/>
        <v/>
      </c>
      <c r="M161" s="90" t="str">
        <f t="shared" si="31"/>
        <v/>
      </c>
      <c r="N161" s="93" t="str">
        <f>IF($J161="","",
IF(VLOOKUP($J161,MASTER!$G$5:$L$201,6,0)="",DATE(YEAR(H161)-1,MONTH(H161),DAY(H161)),
VLOOKUP($J161,MASTER!$G$5:$L$201,6,0)))</f>
        <v/>
      </c>
      <c r="O161" s="96" t="str">
        <f t="shared" si="32"/>
        <v/>
      </c>
      <c r="Q161" s="94"/>
      <c r="T161" s="98"/>
      <c r="U161" s="100"/>
      <c r="W161" s="94"/>
      <c r="AA161" s="94"/>
      <c r="AD161" s="98"/>
      <c r="AI161" s="94"/>
      <c r="AJ161" s="98"/>
    </row>
    <row r="162" spans="2:36">
      <c r="B162" s="94"/>
      <c r="F162" s="94" t="str">
        <v/>
      </c>
      <c r="G162" s="92" t="str">
        <f t="shared" si="27"/>
        <v/>
      </c>
      <c r="H162" s="92" t="str">
        <f t="shared" si="28"/>
        <v/>
      </c>
      <c r="I162" s="90" t="str">
        <f t="shared" si="29"/>
        <v/>
      </c>
      <c r="J162" s="94" t="str">
        <v/>
      </c>
      <c r="K162" s="92" t="str">
        <f>IF($J162="","",
IF(VLOOKUP($J162,MASTER!$G$5:$L$201,5,0)="",DATE(YEAR(G162)-1,MONTH(G162),DAY(G162)),
VLOOKUP($J162,MASTER!$G$5:$L$201,5,0)))</f>
        <v/>
      </c>
      <c r="L162" s="92" t="str">
        <f t="shared" si="30"/>
        <v/>
      </c>
      <c r="M162" s="90" t="str">
        <f t="shared" si="31"/>
        <v/>
      </c>
      <c r="N162" s="93" t="str">
        <f>IF($J162="","",
IF(VLOOKUP($J162,MASTER!$G$5:$L$201,6,0)="",DATE(YEAR(H162)-1,MONTH(H162),DAY(H162)),
VLOOKUP($J162,MASTER!$G$5:$L$201,6,0)))</f>
        <v/>
      </c>
      <c r="O162" s="96" t="str">
        <f t="shared" si="32"/>
        <v/>
      </c>
      <c r="Q162" s="94"/>
      <c r="T162" s="98"/>
      <c r="U162" s="100"/>
      <c r="W162" s="94"/>
      <c r="AA162" s="94"/>
      <c r="AD162" s="98"/>
      <c r="AI162" s="94"/>
      <c r="AJ162" s="98"/>
    </row>
    <row r="163" spans="2:36">
      <c r="B163" s="94"/>
      <c r="F163" s="94" t="str">
        <v/>
      </c>
      <c r="G163" s="92" t="str">
        <f t="shared" si="27"/>
        <v/>
      </c>
      <c r="H163" s="92" t="str">
        <f t="shared" si="28"/>
        <v/>
      </c>
      <c r="I163" s="90" t="str">
        <f t="shared" si="29"/>
        <v/>
      </c>
      <c r="J163" s="94" t="str">
        <v/>
      </c>
      <c r="K163" s="92" t="str">
        <f>IF($J163="","",
IF(VLOOKUP($J163,MASTER!$G$5:$L$201,5,0)="",DATE(YEAR(G163)-1,MONTH(G163),DAY(G163)),
VLOOKUP($J163,MASTER!$G$5:$L$201,5,0)))</f>
        <v/>
      </c>
      <c r="L163" s="92" t="str">
        <f t="shared" si="30"/>
        <v/>
      </c>
      <c r="M163" s="90" t="str">
        <f t="shared" si="31"/>
        <v/>
      </c>
      <c r="N163" s="93" t="str">
        <f>IF($J163="","",
IF(VLOOKUP($J163,MASTER!$G$5:$L$201,6,0)="",DATE(YEAR(H163)-1,MONTH(H163),DAY(H163)),
VLOOKUP($J163,MASTER!$G$5:$L$201,6,0)))</f>
        <v/>
      </c>
      <c r="O163" s="96" t="str">
        <f t="shared" si="32"/>
        <v/>
      </c>
      <c r="Q163" s="94"/>
      <c r="T163" s="98"/>
      <c r="U163" s="100"/>
      <c r="W163" s="94"/>
      <c r="AA163" s="94"/>
      <c r="AD163" s="98"/>
      <c r="AI163" s="94"/>
      <c r="AJ163" s="98"/>
    </row>
    <row r="164" spans="2:36">
      <c r="B164" s="94"/>
      <c r="F164" s="94" t="str">
        <v/>
      </c>
      <c r="G164" s="92" t="str">
        <f t="shared" si="27"/>
        <v/>
      </c>
      <c r="H164" s="92" t="str">
        <f t="shared" si="28"/>
        <v/>
      </c>
      <c r="I164" s="90" t="str">
        <f t="shared" si="29"/>
        <v/>
      </c>
      <c r="J164" s="94" t="str">
        <v/>
      </c>
      <c r="K164" s="92" t="str">
        <f>IF($J164="","",
IF(VLOOKUP($J164,MASTER!$G$5:$L$201,5,0)="",DATE(YEAR(G164)-1,MONTH(G164),DAY(G164)),
VLOOKUP($J164,MASTER!$G$5:$L$201,5,0)))</f>
        <v/>
      </c>
      <c r="L164" s="92" t="str">
        <f t="shared" si="30"/>
        <v/>
      </c>
      <c r="M164" s="90" t="str">
        <f t="shared" si="31"/>
        <v/>
      </c>
      <c r="N164" s="93" t="str">
        <f>IF($J164="","",
IF(VLOOKUP($J164,MASTER!$G$5:$L$201,6,0)="",DATE(YEAR(H164)-1,MONTH(H164),DAY(H164)),
VLOOKUP($J164,MASTER!$G$5:$L$201,6,0)))</f>
        <v/>
      </c>
      <c r="O164" s="96" t="str">
        <f t="shared" si="32"/>
        <v/>
      </c>
      <c r="Q164" s="94"/>
      <c r="T164" s="98"/>
      <c r="U164" s="100"/>
      <c r="W164" s="94"/>
      <c r="AA164" s="94"/>
      <c r="AD164" s="98"/>
      <c r="AI164" s="94"/>
      <c r="AJ164" s="98"/>
    </row>
    <row r="165" spans="2:36">
      <c r="B165" s="94"/>
      <c r="F165" s="94" t="str">
        <v/>
      </c>
      <c r="G165" s="92" t="str">
        <f t="shared" ref="G165:G200" si="33">IF(B165="","",C165-(D165-C165+1))</f>
        <v/>
      </c>
      <c r="H165" s="92" t="str">
        <f t="shared" ref="H165:H200" si="34">IF(B165="","",C165-1)</f>
        <v/>
      </c>
      <c r="I165" s="90" t="str">
        <f t="shared" ref="I165:I196" si="35">IF(G165="","",H165-G165+1)</f>
        <v/>
      </c>
      <c r="J165" s="94" t="str">
        <v/>
      </c>
      <c r="K165" s="92" t="str">
        <f>IF($J165="","",
IF(VLOOKUP($J165,MASTER!$G$5:$L$201,5,0)="",DATE(YEAR(G165)-1,MONTH(G165),DAY(G165)),
VLOOKUP($J165,MASTER!$G$5:$L$201,5,0)))</f>
        <v/>
      </c>
      <c r="L165" s="92" t="str">
        <f t="shared" ref="L165:L196" si="36">IF($J165="","",IF(O165&lt;&gt;I165,K165+(H165-G165),N165))</f>
        <v/>
      </c>
      <c r="M165" s="90" t="str">
        <f t="shared" ref="M165:M196" si="37">IF(K165="","",L165-K165+1)</f>
        <v/>
      </c>
      <c r="N165" s="93" t="str">
        <f>IF($J165="","",
IF(VLOOKUP($J165,MASTER!$G$5:$L$201,6,0)="",DATE(YEAR(H165)-1,MONTH(H165),DAY(H165)),
VLOOKUP($J165,MASTER!$G$5:$L$201,6,0)))</f>
        <v/>
      </c>
      <c r="O165" s="96" t="str">
        <f t="shared" ref="O165:O196" si="38">IF(K165="","",N165-K165+1)</f>
        <v/>
      </c>
      <c r="Q165" s="94"/>
      <c r="T165" s="98"/>
      <c r="U165" s="100"/>
      <c r="W165" s="94"/>
      <c r="AA165" s="94"/>
      <c r="AD165" s="98"/>
      <c r="AI165" s="94"/>
      <c r="AJ165" s="98"/>
    </row>
    <row r="166" spans="2:36">
      <c r="B166" s="94"/>
      <c r="F166" s="94" t="str">
        <v/>
      </c>
      <c r="G166" s="92" t="str">
        <f t="shared" si="33"/>
        <v/>
      </c>
      <c r="H166" s="92" t="str">
        <f t="shared" si="34"/>
        <v/>
      </c>
      <c r="I166" s="90" t="str">
        <f t="shared" si="35"/>
        <v/>
      </c>
      <c r="J166" s="94" t="str">
        <v/>
      </c>
      <c r="K166" s="92" t="str">
        <f>IF($J166="","",
IF(VLOOKUP($J166,MASTER!$G$5:$L$201,5,0)="",DATE(YEAR(G166)-1,MONTH(G166),DAY(G166)),
VLOOKUP($J166,MASTER!$G$5:$L$201,5,0)))</f>
        <v/>
      </c>
      <c r="L166" s="92" t="str">
        <f t="shared" si="36"/>
        <v/>
      </c>
      <c r="M166" s="90" t="str">
        <f t="shared" si="37"/>
        <v/>
      </c>
      <c r="N166" s="93" t="str">
        <f>IF($J166="","",
IF(VLOOKUP($J166,MASTER!$G$5:$L$201,6,0)="",DATE(YEAR(H166)-1,MONTH(H166),DAY(H166)),
VLOOKUP($J166,MASTER!$G$5:$L$201,6,0)))</f>
        <v/>
      </c>
      <c r="O166" s="96" t="str">
        <f t="shared" si="38"/>
        <v/>
      </c>
      <c r="Q166" s="94"/>
      <c r="T166" s="98"/>
      <c r="U166" s="100"/>
      <c r="W166" s="94"/>
      <c r="AA166" s="94"/>
      <c r="AD166" s="98"/>
      <c r="AI166" s="94"/>
      <c r="AJ166" s="98"/>
    </row>
    <row r="167" spans="2:36">
      <c r="B167" s="94"/>
      <c r="F167" s="94" t="str">
        <v/>
      </c>
      <c r="G167" s="92" t="str">
        <f t="shared" si="33"/>
        <v/>
      </c>
      <c r="H167" s="92" t="str">
        <f t="shared" si="34"/>
        <v/>
      </c>
      <c r="I167" s="90" t="str">
        <f t="shared" si="35"/>
        <v/>
      </c>
      <c r="J167" s="94" t="str">
        <v/>
      </c>
      <c r="K167" s="92" t="str">
        <f>IF($J167="","",
IF(VLOOKUP($J167,MASTER!$G$5:$L$201,5,0)="",DATE(YEAR(G167)-1,MONTH(G167),DAY(G167)),
VLOOKUP($J167,MASTER!$G$5:$L$201,5,0)))</f>
        <v/>
      </c>
      <c r="L167" s="92" t="str">
        <f t="shared" si="36"/>
        <v/>
      </c>
      <c r="M167" s="90" t="str">
        <f t="shared" si="37"/>
        <v/>
      </c>
      <c r="N167" s="93" t="str">
        <f>IF($J167="","",
IF(VLOOKUP($J167,MASTER!$G$5:$L$201,6,0)="",DATE(YEAR(H167)-1,MONTH(H167),DAY(H167)),
VLOOKUP($J167,MASTER!$G$5:$L$201,6,0)))</f>
        <v/>
      </c>
      <c r="O167" s="96" t="str">
        <f t="shared" si="38"/>
        <v/>
      </c>
      <c r="Q167" s="94"/>
      <c r="T167" s="98"/>
      <c r="U167" s="100"/>
      <c r="W167" s="94"/>
      <c r="AA167" s="94"/>
      <c r="AD167" s="98"/>
      <c r="AI167" s="94"/>
      <c r="AJ167" s="98"/>
    </row>
    <row r="168" spans="2:36">
      <c r="B168" s="94"/>
      <c r="F168" s="94" t="str">
        <v/>
      </c>
      <c r="G168" s="92" t="str">
        <f t="shared" si="33"/>
        <v/>
      </c>
      <c r="H168" s="92" t="str">
        <f t="shared" si="34"/>
        <v/>
      </c>
      <c r="I168" s="90" t="str">
        <f t="shared" si="35"/>
        <v/>
      </c>
      <c r="J168" s="94" t="str">
        <v/>
      </c>
      <c r="K168" s="92" t="str">
        <f>IF($J168="","",
IF(VLOOKUP($J168,MASTER!$G$5:$L$201,5,0)="",DATE(YEAR(G168)-1,MONTH(G168),DAY(G168)),
VLOOKUP($J168,MASTER!$G$5:$L$201,5,0)))</f>
        <v/>
      </c>
      <c r="L168" s="92" t="str">
        <f t="shared" si="36"/>
        <v/>
      </c>
      <c r="M168" s="90" t="str">
        <f t="shared" si="37"/>
        <v/>
      </c>
      <c r="N168" s="93" t="str">
        <f>IF($J168="","",
IF(VLOOKUP($J168,MASTER!$G$5:$L$201,6,0)="",DATE(YEAR(H168)-1,MONTH(H168),DAY(H168)),
VLOOKUP($J168,MASTER!$G$5:$L$201,6,0)))</f>
        <v/>
      </c>
      <c r="O168" s="96" t="str">
        <f t="shared" si="38"/>
        <v/>
      </c>
      <c r="Q168" s="94"/>
      <c r="T168" s="98"/>
      <c r="U168" s="100"/>
      <c r="W168" s="94"/>
      <c r="AA168" s="94"/>
      <c r="AD168" s="98"/>
      <c r="AI168" s="94"/>
      <c r="AJ168" s="98"/>
    </row>
    <row r="169" spans="2:36">
      <c r="B169" s="94"/>
      <c r="F169" s="94" t="str">
        <v/>
      </c>
      <c r="G169" s="92" t="str">
        <f t="shared" si="33"/>
        <v/>
      </c>
      <c r="H169" s="92" t="str">
        <f t="shared" si="34"/>
        <v/>
      </c>
      <c r="I169" s="90" t="str">
        <f t="shared" si="35"/>
        <v/>
      </c>
      <c r="J169" s="94" t="str">
        <v/>
      </c>
      <c r="K169" s="92" t="str">
        <f>IF($J169="","",
IF(VLOOKUP($J169,MASTER!$G$5:$L$201,5,0)="",DATE(YEAR(G169)-1,MONTH(G169),DAY(G169)),
VLOOKUP($J169,MASTER!$G$5:$L$201,5,0)))</f>
        <v/>
      </c>
      <c r="L169" s="92" t="str">
        <f t="shared" si="36"/>
        <v/>
      </c>
      <c r="M169" s="90" t="str">
        <f t="shared" si="37"/>
        <v/>
      </c>
      <c r="N169" s="93" t="str">
        <f>IF($J169="","",
IF(VLOOKUP($J169,MASTER!$G$5:$L$201,6,0)="",DATE(YEAR(H169)-1,MONTH(H169),DAY(H169)),
VLOOKUP($J169,MASTER!$G$5:$L$201,6,0)))</f>
        <v/>
      </c>
      <c r="O169" s="96" t="str">
        <f t="shared" si="38"/>
        <v/>
      </c>
      <c r="Q169" s="94"/>
      <c r="T169" s="98"/>
      <c r="U169" s="100"/>
      <c r="W169" s="94"/>
      <c r="AA169" s="94"/>
      <c r="AD169" s="98"/>
      <c r="AI169" s="94"/>
      <c r="AJ169" s="98"/>
    </row>
    <row r="170" spans="2:36">
      <c r="B170" s="94"/>
      <c r="F170" s="94" t="str">
        <v/>
      </c>
      <c r="G170" s="92" t="str">
        <f t="shared" si="33"/>
        <v/>
      </c>
      <c r="H170" s="92" t="str">
        <f t="shared" si="34"/>
        <v/>
      </c>
      <c r="I170" s="90" t="str">
        <f t="shared" si="35"/>
        <v/>
      </c>
      <c r="J170" s="94" t="str">
        <v/>
      </c>
      <c r="K170" s="92" t="str">
        <f>IF($J170="","",
IF(VLOOKUP($J170,MASTER!$G$5:$L$201,5,0)="",DATE(YEAR(G170)-1,MONTH(G170),DAY(G170)),
VLOOKUP($J170,MASTER!$G$5:$L$201,5,0)))</f>
        <v/>
      </c>
      <c r="L170" s="92" t="str">
        <f t="shared" si="36"/>
        <v/>
      </c>
      <c r="M170" s="90" t="str">
        <f t="shared" si="37"/>
        <v/>
      </c>
      <c r="N170" s="93" t="str">
        <f>IF($J170="","",
IF(VLOOKUP($J170,MASTER!$G$5:$L$201,6,0)="",DATE(YEAR(H170)-1,MONTH(H170),DAY(H170)),
VLOOKUP($J170,MASTER!$G$5:$L$201,6,0)))</f>
        <v/>
      </c>
      <c r="O170" s="96" t="str">
        <f t="shared" si="38"/>
        <v/>
      </c>
      <c r="Q170" s="94"/>
      <c r="T170" s="98"/>
      <c r="U170" s="100"/>
      <c r="W170" s="94"/>
      <c r="AA170" s="94"/>
      <c r="AD170" s="98"/>
      <c r="AI170" s="94"/>
      <c r="AJ170" s="98"/>
    </row>
    <row r="171" spans="2:36">
      <c r="B171" s="94"/>
      <c r="F171" s="94" t="str">
        <v/>
      </c>
      <c r="G171" s="92" t="str">
        <f t="shared" si="33"/>
        <v/>
      </c>
      <c r="H171" s="92" t="str">
        <f t="shared" si="34"/>
        <v/>
      </c>
      <c r="I171" s="90" t="str">
        <f t="shared" si="35"/>
        <v/>
      </c>
      <c r="J171" s="94" t="str">
        <v/>
      </c>
      <c r="K171" s="92" t="str">
        <f>IF($J171="","",
IF(VLOOKUP($J171,MASTER!$G$5:$L$201,5,0)="",DATE(YEAR(G171)-1,MONTH(G171),DAY(G171)),
VLOOKUP($J171,MASTER!$G$5:$L$201,5,0)))</f>
        <v/>
      </c>
      <c r="L171" s="92" t="str">
        <f t="shared" si="36"/>
        <v/>
      </c>
      <c r="M171" s="90" t="str">
        <f t="shared" si="37"/>
        <v/>
      </c>
      <c r="N171" s="93" t="str">
        <f>IF($J171="","",
IF(VLOOKUP($J171,MASTER!$G$5:$L$201,6,0)="",DATE(YEAR(H171)-1,MONTH(H171),DAY(H171)),
VLOOKUP($J171,MASTER!$G$5:$L$201,6,0)))</f>
        <v/>
      </c>
      <c r="O171" s="96" t="str">
        <f t="shared" si="38"/>
        <v/>
      </c>
      <c r="Q171" s="94"/>
      <c r="T171" s="98"/>
      <c r="U171" s="100"/>
      <c r="W171" s="94"/>
      <c r="AA171" s="94"/>
      <c r="AD171" s="98"/>
      <c r="AI171" s="94"/>
      <c r="AJ171" s="98"/>
    </row>
    <row r="172" spans="2:36">
      <c r="B172" s="94"/>
      <c r="F172" s="94" t="str">
        <v/>
      </c>
      <c r="G172" s="92" t="str">
        <f t="shared" si="33"/>
        <v/>
      </c>
      <c r="H172" s="92" t="str">
        <f t="shared" si="34"/>
        <v/>
      </c>
      <c r="I172" s="90" t="str">
        <f t="shared" si="35"/>
        <v/>
      </c>
      <c r="J172" s="94" t="str">
        <v/>
      </c>
      <c r="K172" s="92" t="str">
        <f>IF($J172="","",
IF(VLOOKUP($J172,MASTER!$G$5:$L$201,5,0)="",DATE(YEAR(G172)-1,MONTH(G172),DAY(G172)),
VLOOKUP($J172,MASTER!$G$5:$L$201,5,0)))</f>
        <v/>
      </c>
      <c r="L172" s="92" t="str">
        <f t="shared" si="36"/>
        <v/>
      </c>
      <c r="M172" s="90" t="str">
        <f t="shared" si="37"/>
        <v/>
      </c>
      <c r="N172" s="93" t="str">
        <f>IF($J172="","",
IF(VLOOKUP($J172,MASTER!$G$5:$L$201,6,0)="",DATE(YEAR(H172)-1,MONTH(H172),DAY(H172)),
VLOOKUP($J172,MASTER!$G$5:$L$201,6,0)))</f>
        <v/>
      </c>
      <c r="O172" s="96" t="str">
        <f t="shared" si="38"/>
        <v/>
      </c>
      <c r="Q172" s="94"/>
      <c r="T172" s="98"/>
      <c r="U172" s="100"/>
      <c r="W172" s="94"/>
      <c r="AA172" s="94"/>
      <c r="AD172" s="98"/>
      <c r="AI172" s="94"/>
      <c r="AJ172" s="98"/>
    </row>
    <row r="173" spans="2:36">
      <c r="B173" s="94"/>
      <c r="F173" s="94" t="str">
        <v/>
      </c>
      <c r="G173" s="92" t="str">
        <f t="shared" si="33"/>
        <v/>
      </c>
      <c r="H173" s="92" t="str">
        <f t="shared" si="34"/>
        <v/>
      </c>
      <c r="I173" s="90" t="str">
        <f t="shared" si="35"/>
        <v/>
      </c>
      <c r="J173" s="94" t="str">
        <v/>
      </c>
      <c r="K173" s="92" t="str">
        <f>IF($J173="","",
IF(VLOOKUP($J173,MASTER!$G$5:$L$201,5,0)="",DATE(YEAR(G173)-1,MONTH(G173),DAY(G173)),
VLOOKUP($J173,MASTER!$G$5:$L$201,5,0)))</f>
        <v/>
      </c>
      <c r="L173" s="92" t="str">
        <f t="shared" si="36"/>
        <v/>
      </c>
      <c r="M173" s="90" t="str">
        <f t="shared" si="37"/>
        <v/>
      </c>
      <c r="N173" s="93" t="str">
        <f>IF($J173="","",
IF(VLOOKUP($J173,MASTER!$G$5:$L$201,6,0)="",DATE(YEAR(H173)-1,MONTH(H173),DAY(H173)),
VLOOKUP($J173,MASTER!$G$5:$L$201,6,0)))</f>
        <v/>
      </c>
      <c r="O173" s="96" t="str">
        <f t="shared" si="38"/>
        <v/>
      </c>
      <c r="Q173" s="94"/>
      <c r="T173" s="98"/>
      <c r="U173" s="100"/>
      <c r="W173" s="94"/>
      <c r="AA173" s="94"/>
      <c r="AD173" s="98"/>
      <c r="AI173" s="94"/>
      <c r="AJ173" s="98"/>
    </row>
    <row r="174" spans="2:36">
      <c r="B174" s="94"/>
      <c r="F174" s="94" t="str">
        <v/>
      </c>
      <c r="G174" s="92" t="str">
        <f t="shared" si="33"/>
        <v/>
      </c>
      <c r="H174" s="92" t="str">
        <f t="shared" si="34"/>
        <v/>
      </c>
      <c r="I174" s="90" t="str">
        <f t="shared" si="35"/>
        <v/>
      </c>
      <c r="J174" s="94" t="str">
        <v/>
      </c>
      <c r="K174" s="92" t="str">
        <f>IF($J174="","",
IF(VLOOKUP($J174,MASTER!$G$5:$L$201,5,0)="",DATE(YEAR(G174)-1,MONTH(G174),DAY(G174)),
VLOOKUP($J174,MASTER!$G$5:$L$201,5,0)))</f>
        <v/>
      </c>
      <c r="L174" s="92" t="str">
        <f t="shared" si="36"/>
        <v/>
      </c>
      <c r="M174" s="90" t="str">
        <f t="shared" si="37"/>
        <v/>
      </c>
      <c r="N174" s="93" t="str">
        <f>IF($J174="","",
IF(VLOOKUP($J174,MASTER!$G$5:$L$201,6,0)="",DATE(YEAR(H174)-1,MONTH(H174),DAY(H174)),
VLOOKUP($J174,MASTER!$G$5:$L$201,6,0)))</f>
        <v/>
      </c>
      <c r="O174" s="96" t="str">
        <f t="shared" si="38"/>
        <v/>
      </c>
      <c r="Q174" s="94"/>
      <c r="T174" s="98"/>
      <c r="U174" s="100"/>
      <c r="W174" s="94"/>
      <c r="AA174" s="94"/>
      <c r="AD174" s="98"/>
      <c r="AI174" s="94"/>
      <c r="AJ174" s="98"/>
    </row>
    <row r="175" spans="2:36">
      <c r="B175" s="94"/>
      <c r="F175" s="94" t="str">
        <v/>
      </c>
      <c r="G175" s="92" t="str">
        <f t="shared" si="33"/>
        <v/>
      </c>
      <c r="H175" s="92" t="str">
        <f t="shared" si="34"/>
        <v/>
      </c>
      <c r="I175" s="90" t="str">
        <f t="shared" si="35"/>
        <v/>
      </c>
      <c r="J175" s="94" t="str">
        <v/>
      </c>
      <c r="K175" s="92" t="str">
        <f>IF($J175="","",
IF(VLOOKUP($J175,MASTER!$G$5:$L$201,5,0)="",DATE(YEAR(G175)-1,MONTH(G175),DAY(G175)),
VLOOKUP($J175,MASTER!$G$5:$L$201,5,0)))</f>
        <v/>
      </c>
      <c r="L175" s="92" t="str">
        <f t="shared" si="36"/>
        <v/>
      </c>
      <c r="M175" s="90" t="str">
        <f t="shared" si="37"/>
        <v/>
      </c>
      <c r="N175" s="93" t="str">
        <f>IF($J175="","",
IF(VLOOKUP($J175,MASTER!$G$5:$L$201,6,0)="",DATE(YEAR(H175)-1,MONTH(H175),DAY(H175)),
VLOOKUP($J175,MASTER!$G$5:$L$201,6,0)))</f>
        <v/>
      </c>
      <c r="O175" s="96" t="str">
        <f t="shared" si="38"/>
        <v/>
      </c>
      <c r="Q175" s="94"/>
      <c r="T175" s="98"/>
      <c r="U175" s="100"/>
      <c r="W175" s="94"/>
      <c r="AA175" s="94"/>
      <c r="AD175" s="98"/>
      <c r="AI175" s="94"/>
      <c r="AJ175" s="98"/>
    </row>
    <row r="176" spans="2:36">
      <c r="B176" s="94"/>
      <c r="F176" s="94" t="str">
        <v/>
      </c>
      <c r="G176" s="92" t="str">
        <f t="shared" si="33"/>
        <v/>
      </c>
      <c r="H176" s="92" t="str">
        <f t="shared" si="34"/>
        <v/>
      </c>
      <c r="I176" s="90" t="str">
        <f t="shared" si="35"/>
        <v/>
      </c>
      <c r="J176" s="94" t="str">
        <v/>
      </c>
      <c r="K176" s="92" t="str">
        <f>IF($J176="","",
IF(VLOOKUP($J176,MASTER!$G$5:$L$201,5,0)="",DATE(YEAR(G176)-1,MONTH(G176),DAY(G176)),
VLOOKUP($J176,MASTER!$G$5:$L$201,5,0)))</f>
        <v/>
      </c>
      <c r="L176" s="92" t="str">
        <f t="shared" si="36"/>
        <v/>
      </c>
      <c r="M176" s="90" t="str">
        <f t="shared" si="37"/>
        <v/>
      </c>
      <c r="N176" s="93" t="str">
        <f>IF($J176="","",
IF(VLOOKUP($J176,MASTER!$G$5:$L$201,6,0)="",DATE(YEAR(H176)-1,MONTH(H176),DAY(H176)),
VLOOKUP($J176,MASTER!$G$5:$L$201,6,0)))</f>
        <v/>
      </c>
      <c r="O176" s="96" t="str">
        <f t="shared" si="38"/>
        <v/>
      </c>
      <c r="Q176" s="94"/>
      <c r="T176" s="98"/>
      <c r="U176" s="100"/>
      <c r="W176" s="94"/>
      <c r="AA176" s="94"/>
      <c r="AD176" s="98"/>
      <c r="AI176" s="94"/>
      <c r="AJ176" s="98"/>
    </row>
    <row r="177" spans="2:36">
      <c r="B177" s="94"/>
      <c r="F177" s="94" t="str">
        <v/>
      </c>
      <c r="G177" s="92" t="str">
        <f t="shared" si="33"/>
        <v/>
      </c>
      <c r="H177" s="92" t="str">
        <f t="shared" si="34"/>
        <v/>
      </c>
      <c r="I177" s="90" t="str">
        <f t="shared" si="35"/>
        <v/>
      </c>
      <c r="J177" s="94" t="str">
        <v/>
      </c>
      <c r="K177" s="92" t="str">
        <f>IF($J177="","",
IF(VLOOKUP($J177,MASTER!$G$5:$L$201,5,0)="",DATE(YEAR(G177)-1,MONTH(G177),DAY(G177)),
VLOOKUP($J177,MASTER!$G$5:$L$201,5,0)))</f>
        <v/>
      </c>
      <c r="L177" s="92" t="str">
        <f t="shared" si="36"/>
        <v/>
      </c>
      <c r="M177" s="90" t="str">
        <f t="shared" si="37"/>
        <v/>
      </c>
      <c r="N177" s="93" t="str">
        <f>IF($J177="","",
IF(VLOOKUP($J177,MASTER!$G$5:$L$201,6,0)="",DATE(YEAR(H177)-1,MONTH(H177),DAY(H177)),
VLOOKUP($J177,MASTER!$G$5:$L$201,6,0)))</f>
        <v/>
      </c>
      <c r="O177" s="96" t="str">
        <f t="shared" si="38"/>
        <v/>
      </c>
      <c r="Q177" s="94"/>
      <c r="T177" s="98"/>
      <c r="U177" s="100"/>
      <c r="W177" s="94"/>
      <c r="AA177" s="94"/>
      <c r="AD177" s="98"/>
      <c r="AI177" s="94"/>
      <c r="AJ177" s="98"/>
    </row>
    <row r="178" spans="2:36">
      <c r="B178" s="94"/>
      <c r="F178" s="94" t="str">
        <v/>
      </c>
      <c r="G178" s="92" t="str">
        <f t="shared" si="33"/>
        <v/>
      </c>
      <c r="H178" s="92" t="str">
        <f t="shared" si="34"/>
        <v/>
      </c>
      <c r="I178" s="90" t="str">
        <f t="shared" si="35"/>
        <v/>
      </c>
      <c r="J178" s="94" t="str">
        <v/>
      </c>
      <c r="K178" s="92" t="str">
        <f>IF($J178="","",
IF(VLOOKUP($J178,MASTER!$G$5:$L$201,5,0)="",DATE(YEAR(G178)-1,MONTH(G178),DAY(G178)),
VLOOKUP($J178,MASTER!$G$5:$L$201,5,0)))</f>
        <v/>
      </c>
      <c r="L178" s="92" t="str">
        <f t="shared" si="36"/>
        <v/>
      </c>
      <c r="M178" s="90" t="str">
        <f t="shared" si="37"/>
        <v/>
      </c>
      <c r="N178" s="93" t="str">
        <f>IF($J178="","",
IF(VLOOKUP($J178,MASTER!$G$5:$L$201,6,0)="",DATE(YEAR(H178)-1,MONTH(H178),DAY(H178)),
VLOOKUP($J178,MASTER!$G$5:$L$201,6,0)))</f>
        <v/>
      </c>
      <c r="O178" s="96" t="str">
        <f t="shared" si="38"/>
        <v/>
      </c>
      <c r="Q178" s="94"/>
      <c r="T178" s="98"/>
      <c r="U178" s="100"/>
      <c r="W178" s="94"/>
      <c r="AA178" s="94"/>
      <c r="AD178" s="98"/>
      <c r="AI178" s="94"/>
      <c r="AJ178" s="98"/>
    </row>
    <row r="179" spans="2:36">
      <c r="B179" s="94"/>
      <c r="F179" s="94" t="str">
        <v/>
      </c>
      <c r="G179" s="92" t="str">
        <f t="shared" si="33"/>
        <v/>
      </c>
      <c r="H179" s="92" t="str">
        <f t="shared" si="34"/>
        <v/>
      </c>
      <c r="I179" s="90" t="str">
        <f t="shared" si="35"/>
        <v/>
      </c>
      <c r="J179" s="94" t="str">
        <v/>
      </c>
      <c r="K179" s="92" t="str">
        <f>IF($J179="","",
IF(VLOOKUP($J179,MASTER!$G$5:$L$201,5,0)="",DATE(YEAR(G179)-1,MONTH(G179),DAY(G179)),
VLOOKUP($J179,MASTER!$G$5:$L$201,5,0)))</f>
        <v/>
      </c>
      <c r="L179" s="92" t="str">
        <f t="shared" si="36"/>
        <v/>
      </c>
      <c r="M179" s="90" t="str">
        <f t="shared" si="37"/>
        <v/>
      </c>
      <c r="N179" s="93" t="str">
        <f>IF($J179="","",
IF(VLOOKUP($J179,MASTER!$G$5:$L$201,6,0)="",DATE(YEAR(H179)-1,MONTH(H179),DAY(H179)),
VLOOKUP($J179,MASTER!$G$5:$L$201,6,0)))</f>
        <v/>
      </c>
      <c r="O179" s="96" t="str">
        <f t="shared" si="38"/>
        <v/>
      </c>
      <c r="Q179" s="94"/>
      <c r="T179" s="98"/>
      <c r="U179" s="100"/>
      <c r="W179" s="94"/>
      <c r="AA179" s="94"/>
      <c r="AD179" s="98"/>
      <c r="AI179" s="94"/>
      <c r="AJ179" s="98"/>
    </row>
    <row r="180" spans="2:36">
      <c r="B180" s="94"/>
      <c r="F180" s="94" t="str">
        <v/>
      </c>
      <c r="G180" s="92" t="str">
        <f t="shared" si="33"/>
        <v/>
      </c>
      <c r="H180" s="92" t="str">
        <f t="shared" si="34"/>
        <v/>
      </c>
      <c r="I180" s="90" t="str">
        <f t="shared" si="35"/>
        <v/>
      </c>
      <c r="J180" s="94" t="str">
        <v/>
      </c>
      <c r="K180" s="92" t="str">
        <f>IF($J180="","",
IF(VLOOKUP($J180,MASTER!$G$5:$L$201,5,0)="",DATE(YEAR(G180)-1,MONTH(G180),DAY(G180)),
VLOOKUP($J180,MASTER!$G$5:$L$201,5,0)))</f>
        <v/>
      </c>
      <c r="L180" s="92" t="str">
        <f t="shared" si="36"/>
        <v/>
      </c>
      <c r="M180" s="90" t="str">
        <f t="shared" si="37"/>
        <v/>
      </c>
      <c r="N180" s="93" t="str">
        <f>IF($J180="","",
IF(VLOOKUP($J180,MASTER!$G$5:$L$201,6,0)="",DATE(YEAR(H180)-1,MONTH(H180),DAY(H180)),
VLOOKUP($J180,MASTER!$G$5:$L$201,6,0)))</f>
        <v/>
      </c>
      <c r="O180" s="96" t="str">
        <f t="shared" si="38"/>
        <v/>
      </c>
      <c r="Q180" s="94"/>
      <c r="T180" s="98"/>
      <c r="U180" s="100"/>
      <c r="W180" s="94"/>
      <c r="AA180" s="94"/>
      <c r="AD180" s="98"/>
      <c r="AI180" s="94"/>
      <c r="AJ180" s="98"/>
    </row>
    <row r="181" spans="2:36">
      <c r="B181" s="94"/>
      <c r="F181" s="94" t="str">
        <v/>
      </c>
      <c r="G181" s="92" t="str">
        <f t="shared" si="33"/>
        <v/>
      </c>
      <c r="H181" s="92" t="str">
        <f t="shared" si="34"/>
        <v/>
      </c>
      <c r="I181" s="90" t="str">
        <f t="shared" si="35"/>
        <v/>
      </c>
      <c r="J181" s="94" t="str">
        <v/>
      </c>
      <c r="K181" s="92" t="str">
        <f>IF($J181="","",
IF(VLOOKUP($J181,MASTER!$G$5:$L$201,5,0)="",DATE(YEAR(G181)-1,MONTH(G181),DAY(G181)),
VLOOKUP($J181,MASTER!$G$5:$L$201,5,0)))</f>
        <v/>
      </c>
      <c r="L181" s="92" t="str">
        <f t="shared" si="36"/>
        <v/>
      </c>
      <c r="M181" s="90" t="str">
        <f t="shared" si="37"/>
        <v/>
      </c>
      <c r="N181" s="93" t="str">
        <f>IF($J181="","",
IF(VLOOKUP($J181,MASTER!$G$5:$L$201,6,0)="",DATE(YEAR(H181)-1,MONTH(H181),DAY(H181)),
VLOOKUP($J181,MASTER!$G$5:$L$201,6,0)))</f>
        <v/>
      </c>
      <c r="O181" s="96" t="str">
        <f t="shared" si="38"/>
        <v/>
      </c>
      <c r="Q181" s="94"/>
      <c r="T181" s="98"/>
      <c r="U181" s="100"/>
      <c r="W181" s="94"/>
      <c r="AA181" s="94"/>
      <c r="AD181" s="98"/>
      <c r="AI181" s="94"/>
      <c r="AJ181" s="98"/>
    </row>
    <row r="182" spans="2:36">
      <c r="B182" s="94"/>
      <c r="F182" s="94" t="str">
        <v/>
      </c>
      <c r="G182" s="92" t="str">
        <f t="shared" si="33"/>
        <v/>
      </c>
      <c r="H182" s="92" t="str">
        <f t="shared" si="34"/>
        <v/>
      </c>
      <c r="I182" s="90" t="str">
        <f t="shared" si="35"/>
        <v/>
      </c>
      <c r="J182" s="94" t="str">
        <v/>
      </c>
      <c r="K182" s="92" t="str">
        <f>IF($J182="","",
IF(VLOOKUP($J182,MASTER!$G$5:$L$201,5,0)="",DATE(YEAR(G182)-1,MONTH(G182),DAY(G182)),
VLOOKUP($J182,MASTER!$G$5:$L$201,5,0)))</f>
        <v/>
      </c>
      <c r="L182" s="92" t="str">
        <f t="shared" si="36"/>
        <v/>
      </c>
      <c r="M182" s="90" t="str">
        <f t="shared" si="37"/>
        <v/>
      </c>
      <c r="N182" s="93" t="str">
        <f>IF($J182="","",
IF(VLOOKUP($J182,MASTER!$G$5:$L$201,6,0)="",DATE(YEAR(H182)-1,MONTH(H182),DAY(H182)),
VLOOKUP($J182,MASTER!$G$5:$L$201,6,0)))</f>
        <v/>
      </c>
      <c r="O182" s="96" t="str">
        <f t="shared" si="38"/>
        <v/>
      </c>
      <c r="Q182" s="94"/>
      <c r="T182" s="98"/>
      <c r="U182" s="100"/>
      <c r="W182" s="94"/>
      <c r="AA182" s="94"/>
      <c r="AD182" s="98"/>
      <c r="AI182" s="94"/>
      <c r="AJ182" s="98"/>
    </row>
    <row r="183" spans="2:36">
      <c r="B183" s="94"/>
      <c r="F183" s="94" t="str">
        <v/>
      </c>
      <c r="G183" s="92" t="str">
        <f t="shared" si="33"/>
        <v/>
      </c>
      <c r="H183" s="92" t="str">
        <f t="shared" si="34"/>
        <v/>
      </c>
      <c r="I183" s="90" t="str">
        <f t="shared" si="35"/>
        <v/>
      </c>
      <c r="J183" s="94" t="str">
        <v/>
      </c>
      <c r="K183" s="92" t="str">
        <f>IF($J183="","",
IF(VLOOKUP($J183,MASTER!$G$5:$L$201,5,0)="",DATE(YEAR(G183)-1,MONTH(G183),DAY(G183)),
VLOOKUP($J183,MASTER!$G$5:$L$201,5,0)))</f>
        <v/>
      </c>
      <c r="L183" s="92" t="str">
        <f t="shared" si="36"/>
        <v/>
      </c>
      <c r="M183" s="90" t="str">
        <f t="shared" si="37"/>
        <v/>
      </c>
      <c r="N183" s="93" t="str">
        <f>IF($J183="","",
IF(VLOOKUP($J183,MASTER!$G$5:$L$201,6,0)="",DATE(YEAR(H183)-1,MONTH(H183),DAY(H183)),
VLOOKUP($J183,MASTER!$G$5:$L$201,6,0)))</f>
        <v/>
      </c>
      <c r="O183" s="96" t="str">
        <f t="shared" si="38"/>
        <v/>
      </c>
      <c r="Q183" s="94"/>
      <c r="T183" s="98"/>
      <c r="U183" s="100"/>
      <c r="W183" s="94"/>
      <c r="AA183" s="94"/>
      <c r="AD183" s="98"/>
      <c r="AI183" s="94"/>
      <c r="AJ183" s="98"/>
    </row>
    <row r="184" spans="2:36">
      <c r="B184" s="94"/>
      <c r="F184" s="94" t="str">
        <v/>
      </c>
      <c r="G184" s="92" t="str">
        <f t="shared" si="33"/>
        <v/>
      </c>
      <c r="H184" s="92" t="str">
        <f t="shared" si="34"/>
        <v/>
      </c>
      <c r="I184" s="90" t="str">
        <f t="shared" si="35"/>
        <v/>
      </c>
      <c r="J184" s="94" t="str">
        <v/>
      </c>
      <c r="K184" s="92" t="str">
        <f>IF($J184="","",
IF(VLOOKUP($J184,MASTER!$G$5:$L$201,5,0)="",DATE(YEAR(G184)-1,MONTH(G184),DAY(G184)),
VLOOKUP($J184,MASTER!$G$5:$L$201,5,0)))</f>
        <v/>
      </c>
      <c r="L184" s="92" t="str">
        <f t="shared" si="36"/>
        <v/>
      </c>
      <c r="M184" s="90" t="str">
        <f t="shared" si="37"/>
        <v/>
      </c>
      <c r="N184" s="93" t="str">
        <f>IF($J184="","",
IF(VLOOKUP($J184,MASTER!$G$5:$L$201,6,0)="",DATE(YEAR(H184)-1,MONTH(H184),DAY(H184)),
VLOOKUP($J184,MASTER!$G$5:$L$201,6,0)))</f>
        <v/>
      </c>
      <c r="O184" s="96" t="str">
        <f t="shared" si="38"/>
        <v/>
      </c>
      <c r="Q184" s="94"/>
      <c r="T184" s="98"/>
      <c r="U184" s="100"/>
      <c r="W184" s="94"/>
      <c r="AA184" s="94"/>
      <c r="AD184" s="98"/>
      <c r="AI184" s="94"/>
      <c r="AJ184" s="98"/>
    </row>
    <row r="185" spans="2:36">
      <c r="B185" s="94"/>
      <c r="F185" s="94" t="str">
        <v/>
      </c>
      <c r="G185" s="92" t="str">
        <f t="shared" si="33"/>
        <v/>
      </c>
      <c r="H185" s="92" t="str">
        <f t="shared" si="34"/>
        <v/>
      </c>
      <c r="I185" s="90" t="str">
        <f t="shared" si="35"/>
        <v/>
      </c>
      <c r="J185" s="94" t="str">
        <v/>
      </c>
      <c r="K185" s="92" t="str">
        <f>IF($J185="","",
IF(VLOOKUP($J185,MASTER!$G$5:$L$201,5,0)="",DATE(YEAR(G185)-1,MONTH(G185),DAY(G185)),
VLOOKUP($J185,MASTER!$G$5:$L$201,5,0)))</f>
        <v/>
      </c>
      <c r="L185" s="92" t="str">
        <f t="shared" si="36"/>
        <v/>
      </c>
      <c r="M185" s="90" t="str">
        <f t="shared" si="37"/>
        <v/>
      </c>
      <c r="N185" s="93" t="str">
        <f>IF($J185="","",
IF(VLOOKUP($J185,MASTER!$G$5:$L$201,6,0)="",DATE(YEAR(H185)-1,MONTH(H185),DAY(H185)),
VLOOKUP($J185,MASTER!$G$5:$L$201,6,0)))</f>
        <v/>
      </c>
      <c r="O185" s="96" t="str">
        <f t="shared" si="38"/>
        <v/>
      </c>
      <c r="Q185" s="94"/>
      <c r="T185" s="98"/>
      <c r="U185" s="100"/>
      <c r="W185" s="94"/>
      <c r="AA185" s="94"/>
      <c r="AD185" s="98"/>
      <c r="AI185" s="94"/>
      <c r="AJ185" s="98"/>
    </row>
    <row r="186" spans="2:36">
      <c r="B186" s="94"/>
      <c r="F186" s="94" t="str">
        <v/>
      </c>
      <c r="G186" s="92" t="str">
        <f t="shared" si="33"/>
        <v/>
      </c>
      <c r="H186" s="92" t="str">
        <f t="shared" si="34"/>
        <v/>
      </c>
      <c r="I186" s="90" t="str">
        <f t="shared" si="35"/>
        <v/>
      </c>
      <c r="J186" s="94" t="str">
        <v/>
      </c>
      <c r="K186" s="92" t="str">
        <f>IF($J186="","",
IF(VLOOKUP($J186,MASTER!$G$5:$L$201,5,0)="",DATE(YEAR(G186)-1,MONTH(G186),DAY(G186)),
VLOOKUP($J186,MASTER!$G$5:$L$201,5,0)))</f>
        <v/>
      </c>
      <c r="L186" s="92" t="str">
        <f t="shared" si="36"/>
        <v/>
      </c>
      <c r="M186" s="90" t="str">
        <f t="shared" si="37"/>
        <v/>
      </c>
      <c r="N186" s="93" t="str">
        <f>IF($J186="","",
IF(VLOOKUP($J186,MASTER!$G$5:$L$201,6,0)="",DATE(YEAR(H186)-1,MONTH(H186),DAY(H186)),
VLOOKUP($J186,MASTER!$G$5:$L$201,6,0)))</f>
        <v/>
      </c>
      <c r="O186" s="96" t="str">
        <f t="shared" si="38"/>
        <v/>
      </c>
      <c r="Q186" s="94"/>
      <c r="T186" s="98"/>
      <c r="U186" s="100"/>
      <c r="W186" s="94"/>
      <c r="AA186" s="94"/>
      <c r="AD186" s="98"/>
      <c r="AI186" s="94"/>
      <c r="AJ186" s="98"/>
    </row>
    <row r="187" spans="2:36">
      <c r="B187" s="94"/>
      <c r="F187" s="94" t="str">
        <v/>
      </c>
      <c r="G187" s="92" t="str">
        <f t="shared" si="33"/>
        <v/>
      </c>
      <c r="H187" s="92" t="str">
        <f t="shared" si="34"/>
        <v/>
      </c>
      <c r="I187" s="90" t="str">
        <f t="shared" si="35"/>
        <v/>
      </c>
      <c r="J187" s="94" t="str">
        <v/>
      </c>
      <c r="K187" s="92" t="str">
        <f>IF($J187="","",
IF(VLOOKUP($J187,MASTER!$G$5:$L$201,5,0)="",DATE(YEAR(G187)-1,MONTH(G187),DAY(G187)),
VLOOKUP($J187,MASTER!$G$5:$L$201,5,0)))</f>
        <v/>
      </c>
      <c r="L187" s="92" t="str">
        <f t="shared" si="36"/>
        <v/>
      </c>
      <c r="M187" s="90" t="str">
        <f t="shared" si="37"/>
        <v/>
      </c>
      <c r="N187" s="93" t="str">
        <f>IF($J187="","",
IF(VLOOKUP($J187,MASTER!$G$5:$L$201,6,0)="",DATE(YEAR(H187)-1,MONTH(H187),DAY(H187)),
VLOOKUP($J187,MASTER!$G$5:$L$201,6,0)))</f>
        <v/>
      </c>
      <c r="O187" s="96" t="str">
        <f t="shared" si="38"/>
        <v/>
      </c>
      <c r="Q187" s="94"/>
      <c r="T187" s="98"/>
      <c r="U187" s="100"/>
      <c r="W187" s="94"/>
      <c r="AA187" s="94"/>
      <c r="AD187" s="98"/>
      <c r="AI187" s="94"/>
      <c r="AJ187" s="98"/>
    </row>
    <row r="188" spans="2:36">
      <c r="B188" s="94"/>
      <c r="F188" s="94" t="str">
        <v/>
      </c>
      <c r="G188" s="92" t="str">
        <f t="shared" si="33"/>
        <v/>
      </c>
      <c r="H188" s="92" t="str">
        <f t="shared" si="34"/>
        <v/>
      </c>
      <c r="I188" s="90" t="str">
        <f t="shared" si="35"/>
        <v/>
      </c>
      <c r="J188" s="94" t="str">
        <v/>
      </c>
      <c r="K188" s="92" t="str">
        <f>IF($J188="","",
IF(VLOOKUP($J188,MASTER!$G$5:$L$201,5,0)="",DATE(YEAR(G188)-1,MONTH(G188),DAY(G188)),
VLOOKUP($J188,MASTER!$G$5:$L$201,5,0)))</f>
        <v/>
      </c>
      <c r="L188" s="92" t="str">
        <f t="shared" si="36"/>
        <v/>
      </c>
      <c r="M188" s="90" t="str">
        <f t="shared" si="37"/>
        <v/>
      </c>
      <c r="N188" s="93" t="str">
        <f>IF($J188="","",
IF(VLOOKUP($J188,MASTER!$G$5:$L$201,6,0)="",DATE(YEAR(H188)-1,MONTH(H188),DAY(H188)),
VLOOKUP($J188,MASTER!$G$5:$L$201,6,0)))</f>
        <v/>
      </c>
      <c r="O188" s="96" t="str">
        <f t="shared" si="38"/>
        <v/>
      </c>
      <c r="Q188" s="94"/>
      <c r="T188" s="98"/>
      <c r="U188" s="100"/>
      <c r="W188" s="94"/>
      <c r="AA188" s="94"/>
      <c r="AD188" s="98"/>
      <c r="AI188" s="94"/>
      <c r="AJ188" s="98"/>
    </row>
    <row r="189" spans="2:36">
      <c r="B189" s="94"/>
      <c r="F189" s="94" t="str">
        <v/>
      </c>
      <c r="G189" s="92" t="str">
        <f t="shared" si="33"/>
        <v/>
      </c>
      <c r="H189" s="92" t="str">
        <f t="shared" si="34"/>
        <v/>
      </c>
      <c r="I189" s="90" t="str">
        <f t="shared" si="35"/>
        <v/>
      </c>
      <c r="J189" s="94" t="str">
        <v/>
      </c>
      <c r="K189" s="92" t="str">
        <f>IF($J189="","",
IF(VLOOKUP($J189,MASTER!$G$5:$L$201,5,0)="",DATE(YEAR(G189)-1,MONTH(G189),DAY(G189)),
VLOOKUP($J189,MASTER!$G$5:$L$201,5,0)))</f>
        <v/>
      </c>
      <c r="L189" s="92" t="str">
        <f t="shared" si="36"/>
        <v/>
      </c>
      <c r="M189" s="90" t="str">
        <f t="shared" si="37"/>
        <v/>
      </c>
      <c r="N189" s="93" t="str">
        <f>IF($J189="","",
IF(VLOOKUP($J189,MASTER!$G$5:$L$201,6,0)="",DATE(YEAR(H189)-1,MONTH(H189),DAY(H189)),
VLOOKUP($J189,MASTER!$G$5:$L$201,6,0)))</f>
        <v/>
      </c>
      <c r="O189" s="96" t="str">
        <f t="shared" si="38"/>
        <v/>
      </c>
      <c r="Q189" s="94"/>
      <c r="T189" s="98"/>
      <c r="U189" s="100"/>
      <c r="W189" s="94"/>
      <c r="AA189" s="94"/>
      <c r="AD189" s="98"/>
      <c r="AI189" s="94"/>
      <c r="AJ189" s="98"/>
    </row>
    <row r="190" spans="2:36">
      <c r="B190" s="94"/>
      <c r="F190" s="94" t="str">
        <v/>
      </c>
      <c r="G190" s="92" t="str">
        <f t="shared" si="33"/>
        <v/>
      </c>
      <c r="H190" s="92" t="str">
        <f t="shared" si="34"/>
        <v/>
      </c>
      <c r="I190" s="90" t="str">
        <f t="shared" si="35"/>
        <v/>
      </c>
      <c r="J190" s="94" t="str">
        <v/>
      </c>
      <c r="K190" s="92" t="str">
        <f>IF($J190="","",
IF(VLOOKUP($J190,MASTER!$G$5:$L$201,5,0)="",DATE(YEAR(G190)-1,MONTH(G190),DAY(G190)),
VLOOKUP($J190,MASTER!$G$5:$L$201,5,0)))</f>
        <v/>
      </c>
      <c r="L190" s="92" t="str">
        <f t="shared" si="36"/>
        <v/>
      </c>
      <c r="M190" s="90" t="str">
        <f t="shared" si="37"/>
        <v/>
      </c>
      <c r="N190" s="93" t="str">
        <f>IF($J190="","",
IF(VLOOKUP($J190,MASTER!$G$5:$L$201,6,0)="",DATE(YEAR(H190)-1,MONTH(H190),DAY(H190)),
VLOOKUP($J190,MASTER!$G$5:$L$201,6,0)))</f>
        <v/>
      </c>
      <c r="O190" s="96" t="str">
        <f t="shared" si="38"/>
        <v/>
      </c>
      <c r="Q190" s="94"/>
      <c r="T190" s="98"/>
      <c r="U190" s="100"/>
      <c r="W190" s="94"/>
      <c r="AA190" s="94"/>
      <c r="AD190" s="98"/>
      <c r="AI190" s="94"/>
      <c r="AJ190" s="98"/>
    </row>
    <row r="191" spans="2:36">
      <c r="B191" s="94"/>
      <c r="F191" s="94" t="str">
        <v/>
      </c>
      <c r="G191" s="92" t="str">
        <f t="shared" si="33"/>
        <v/>
      </c>
      <c r="H191" s="92" t="str">
        <f t="shared" si="34"/>
        <v/>
      </c>
      <c r="I191" s="90" t="str">
        <f t="shared" si="35"/>
        <v/>
      </c>
      <c r="J191" s="94" t="str">
        <v/>
      </c>
      <c r="K191" s="92" t="str">
        <f>IF($J191="","",
IF(VLOOKUP($J191,MASTER!$G$5:$L$201,5,0)="",DATE(YEAR(G191)-1,MONTH(G191),DAY(G191)),
VLOOKUP($J191,MASTER!$G$5:$L$201,5,0)))</f>
        <v/>
      </c>
      <c r="L191" s="92" t="str">
        <f t="shared" si="36"/>
        <v/>
      </c>
      <c r="M191" s="90" t="str">
        <f t="shared" si="37"/>
        <v/>
      </c>
      <c r="N191" s="93" t="str">
        <f>IF($J191="","",
IF(VLOOKUP($J191,MASTER!$G$5:$L$201,6,0)="",DATE(YEAR(H191)-1,MONTH(H191),DAY(H191)),
VLOOKUP($J191,MASTER!$G$5:$L$201,6,0)))</f>
        <v/>
      </c>
      <c r="O191" s="96" t="str">
        <f t="shared" si="38"/>
        <v/>
      </c>
      <c r="Q191" s="94"/>
      <c r="T191" s="98"/>
      <c r="U191" s="100"/>
      <c r="W191" s="94"/>
      <c r="AA191" s="94"/>
      <c r="AD191" s="98"/>
      <c r="AI191" s="94"/>
      <c r="AJ191" s="98"/>
    </row>
    <row r="192" spans="2:36">
      <c r="B192" s="94"/>
      <c r="F192" s="94" t="str">
        <v/>
      </c>
      <c r="G192" s="92" t="str">
        <f t="shared" si="33"/>
        <v/>
      </c>
      <c r="H192" s="92" t="str">
        <f t="shared" si="34"/>
        <v/>
      </c>
      <c r="I192" s="90" t="str">
        <f t="shared" si="35"/>
        <v/>
      </c>
      <c r="J192" s="94" t="str">
        <v/>
      </c>
      <c r="K192" s="92" t="str">
        <f>IF($J192="","",
IF(VLOOKUP($J192,MASTER!$G$5:$L$201,5,0)="",DATE(YEAR(G192)-1,MONTH(G192),DAY(G192)),
VLOOKUP($J192,MASTER!$G$5:$L$201,5,0)))</f>
        <v/>
      </c>
      <c r="L192" s="92" t="str">
        <f t="shared" si="36"/>
        <v/>
      </c>
      <c r="M192" s="90" t="str">
        <f t="shared" si="37"/>
        <v/>
      </c>
      <c r="N192" s="93" t="str">
        <f>IF($J192="","",
IF(VLOOKUP($J192,MASTER!$G$5:$L$201,6,0)="",DATE(YEAR(H192)-1,MONTH(H192),DAY(H192)),
VLOOKUP($J192,MASTER!$G$5:$L$201,6,0)))</f>
        <v/>
      </c>
      <c r="O192" s="96" t="str">
        <f t="shared" si="38"/>
        <v/>
      </c>
      <c r="Q192" s="94"/>
      <c r="T192" s="98"/>
      <c r="U192" s="100"/>
      <c r="W192" s="94"/>
      <c r="AA192" s="94"/>
      <c r="AD192" s="98"/>
      <c r="AI192" s="94"/>
      <c r="AJ192" s="98"/>
    </row>
    <row r="193" spans="2:36">
      <c r="B193" s="94"/>
      <c r="F193" s="94" t="str">
        <v/>
      </c>
      <c r="G193" s="92" t="str">
        <f t="shared" si="33"/>
        <v/>
      </c>
      <c r="H193" s="92" t="str">
        <f t="shared" si="34"/>
        <v/>
      </c>
      <c r="I193" s="90" t="str">
        <f t="shared" si="35"/>
        <v/>
      </c>
      <c r="J193" s="94" t="str">
        <v/>
      </c>
      <c r="K193" s="92" t="str">
        <f>IF($J193="","",
IF(VLOOKUP($J193,MASTER!$G$5:$L$201,5,0)="",DATE(YEAR(G193)-1,MONTH(G193),DAY(G193)),
VLOOKUP($J193,MASTER!$G$5:$L$201,5,0)))</f>
        <v/>
      </c>
      <c r="L193" s="92" t="str">
        <f t="shared" si="36"/>
        <v/>
      </c>
      <c r="M193" s="90" t="str">
        <f t="shared" si="37"/>
        <v/>
      </c>
      <c r="N193" s="93" t="str">
        <f>IF($J193="","",
IF(VLOOKUP($J193,MASTER!$G$5:$L$201,6,0)="",DATE(YEAR(H193)-1,MONTH(H193),DAY(H193)),
VLOOKUP($J193,MASTER!$G$5:$L$201,6,0)))</f>
        <v/>
      </c>
      <c r="O193" s="96" t="str">
        <f t="shared" si="38"/>
        <v/>
      </c>
      <c r="Q193" s="94"/>
      <c r="T193" s="98"/>
      <c r="U193" s="100"/>
      <c r="W193" s="94"/>
      <c r="AA193" s="94"/>
      <c r="AD193" s="98"/>
      <c r="AI193" s="94"/>
      <c r="AJ193" s="98"/>
    </row>
    <row r="194" spans="2:36">
      <c r="B194" s="94"/>
      <c r="F194" s="94" t="str">
        <v/>
      </c>
      <c r="G194" s="92" t="str">
        <f t="shared" si="33"/>
        <v/>
      </c>
      <c r="H194" s="92" t="str">
        <f t="shared" si="34"/>
        <v/>
      </c>
      <c r="I194" s="90" t="str">
        <f t="shared" si="35"/>
        <v/>
      </c>
      <c r="J194" s="94" t="str">
        <v/>
      </c>
      <c r="K194" s="92" t="str">
        <f>IF($J194="","",
IF(VLOOKUP($J194,MASTER!$G$5:$L$201,5,0)="",DATE(YEAR(G194)-1,MONTH(G194),DAY(G194)),
VLOOKUP($J194,MASTER!$G$5:$L$201,5,0)))</f>
        <v/>
      </c>
      <c r="L194" s="92" t="str">
        <f t="shared" si="36"/>
        <v/>
      </c>
      <c r="M194" s="90" t="str">
        <f t="shared" si="37"/>
        <v/>
      </c>
      <c r="N194" s="93" t="str">
        <f>IF($J194="","",
IF(VLOOKUP($J194,MASTER!$G$5:$L$201,6,0)="",DATE(YEAR(H194)-1,MONTH(H194),DAY(H194)),
VLOOKUP($J194,MASTER!$G$5:$L$201,6,0)))</f>
        <v/>
      </c>
      <c r="O194" s="96" t="str">
        <f t="shared" si="38"/>
        <v/>
      </c>
      <c r="Q194" s="94"/>
      <c r="T194" s="98"/>
      <c r="U194" s="100"/>
      <c r="W194" s="94"/>
      <c r="AA194" s="94"/>
      <c r="AD194" s="98"/>
      <c r="AI194" s="94"/>
      <c r="AJ194" s="98"/>
    </row>
    <row r="195" spans="2:36">
      <c r="B195" s="94"/>
      <c r="F195" s="94" t="str">
        <v/>
      </c>
      <c r="G195" s="92" t="str">
        <f t="shared" si="33"/>
        <v/>
      </c>
      <c r="H195" s="92" t="str">
        <f t="shared" si="34"/>
        <v/>
      </c>
      <c r="I195" s="90" t="str">
        <f t="shared" si="35"/>
        <v/>
      </c>
      <c r="J195" s="94" t="str">
        <v/>
      </c>
      <c r="K195" s="92" t="str">
        <f>IF($J195="","",
IF(VLOOKUP($J195,MASTER!$G$5:$L$201,5,0)="",DATE(YEAR(G195)-1,MONTH(G195),DAY(G195)),
VLOOKUP($J195,MASTER!$G$5:$L$201,5,0)))</f>
        <v/>
      </c>
      <c r="L195" s="92" t="str">
        <f t="shared" si="36"/>
        <v/>
      </c>
      <c r="M195" s="90" t="str">
        <f t="shared" si="37"/>
        <v/>
      </c>
      <c r="N195" s="93" t="str">
        <f>IF($J195="","",
IF(VLOOKUP($J195,MASTER!$G$5:$L$201,6,0)="",DATE(YEAR(H195)-1,MONTH(H195),DAY(H195)),
VLOOKUP($J195,MASTER!$G$5:$L$201,6,0)))</f>
        <v/>
      </c>
      <c r="O195" s="96" t="str">
        <f t="shared" si="38"/>
        <v/>
      </c>
      <c r="Q195" s="94"/>
      <c r="T195" s="98"/>
      <c r="U195" s="100"/>
      <c r="W195" s="94"/>
      <c r="AA195" s="94"/>
      <c r="AD195" s="98"/>
      <c r="AI195" s="94"/>
      <c r="AJ195" s="98"/>
    </row>
    <row r="196" spans="2:36">
      <c r="B196" s="94"/>
      <c r="F196" s="94" t="str">
        <v/>
      </c>
      <c r="G196" s="92" t="str">
        <f t="shared" si="33"/>
        <v/>
      </c>
      <c r="H196" s="92" t="str">
        <f t="shared" si="34"/>
        <v/>
      </c>
      <c r="I196" s="90" t="str">
        <f t="shared" si="35"/>
        <v/>
      </c>
      <c r="J196" s="94" t="str">
        <v/>
      </c>
      <c r="K196" s="92" t="str">
        <f>IF($J196="","",
IF(VLOOKUP($J196,MASTER!$G$5:$L$201,5,0)="",DATE(YEAR(G196)-1,MONTH(G196),DAY(G196)),
VLOOKUP($J196,MASTER!$G$5:$L$201,5,0)))</f>
        <v/>
      </c>
      <c r="L196" s="92" t="str">
        <f t="shared" si="36"/>
        <v/>
      </c>
      <c r="M196" s="90" t="str">
        <f t="shared" si="37"/>
        <v/>
      </c>
      <c r="N196" s="93" t="str">
        <f>IF($J196="","",
IF(VLOOKUP($J196,MASTER!$G$5:$L$201,6,0)="",DATE(YEAR(H196)-1,MONTH(H196),DAY(H196)),
VLOOKUP($J196,MASTER!$G$5:$L$201,6,0)))</f>
        <v/>
      </c>
      <c r="O196" s="96" t="str">
        <f t="shared" si="38"/>
        <v/>
      </c>
      <c r="Q196" s="94"/>
      <c r="T196" s="98"/>
      <c r="U196" s="100"/>
      <c r="W196" s="94"/>
      <c r="AA196" s="94"/>
      <c r="AD196" s="98"/>
      <c r="AI196" s="94"/>
      <c r="AJ196" s="98"/>
    </row>
    <row r="197" spans="2:36">
      <c r="B197" s="94"/>
      <c r="F197" s="94" t="str">
        <v/>
      </c>
      <c r="G197" s="92" t="str">
        <f t="shared" si="33"/>
        <v/>
      </c>
      <c r="H197" s="92" t="str">
        <f t="shared" si="34"/>
        <v/>
      </c>
      <c r="I197" s="90" t="str">
        <f t="shared" ref="I197:I200" si="39">IF(G197="","",H197-G197+1)</f>
        <v/>
      </c>
      <c r="J197" s="94" t="str">
        <v/>
      </c>
      <c r="K197" s="92" t="str">
        <f>IF($J197="","",
IF(VLOOKUP($J197,MASTER!$G$5:$L$201,5,0)="",DATE(YEAR(G197)-1,MONTH(G197),DAY(G197)),
VLOOKUP($J197,MASTER!$G$5:$L$201,5,0)))</f>
        <v/>
      </c>
      <c r="L197" s="92" t="str">
        <f t="shared" ref="L197:L200" si="40">IF($J197="","",IF(O197&lt;&gt;I197,K197+(H197-G197),N197))</f>
        <v/>
      </c>
      <c r="M197" s="90" t="str">
        <f t="shared" ref="M197:M200" si="41">IF(K197="","",L197-K197+1)</f>
        <v/>
      </c>
      <c r="N197" s="93" t="str">
        <f>IF($J197="","",
IF(VLOOKUP($J197,MASTER!$G$5:$L$201,6,0)="",DATE(YEAR(H197)-1,MONTH(H197),DAY(H197)),
VLOOKUP($J197,MASTER!$G$5:$L$201,6,0)))</f>
        <v/>
      </c>
      <c r="O197" s="96" t="str">
        <f t="shared" ref="O197:O200" si="42">IF(K197="","",N197-K197+1)</f>
        <v/>
      </c>
      <c r="Q197" s="94"/>
      <c r="T197" s="98"/>
      <c r="U197" s="100"/>
      <c r="W197" s="94"/>
      <c r="AA197" s="94"/>
      <c r="AD197" s="98"/>
      <c r="AI197" s="94"/>
      <c r="AJ197" s="98"/>
    </row>
    <row r="198" spans="2:36">
      <c r="B198" s="94"/>
      <c r="F198" s="94" t="str">
        <v/>
      </c>
      <c r="G198" s="92" t="str">
        <f t="shared" si="33"/>
        <v/>
      </c>
      <c r="H198" s="92" t="str">
        <f t="shared" si="34"/>
        <v/>
      </c>
      <c r="I198" s="90" t="str">
        <f t="shared" si="39"/>
        <v/>
      </c>
      <c r="J198" s="94" t="str">
        <v/>
      </c>
      <c r="K198" s="92" t="str">
        <f>IF($J198="","",
IF(VLOOKUP($J198,MASTER!$G$5:$L$201,5,0)="",DATE(YEAR(G198)-1,MONTH(G198),DAY(G198)),
VLOOKUP($J198,MASTER!$G$5:$L$201,5,0)))</f>
        <v/>
      </c>
      <c r="L198" s="92" t="str">
        <f t="shared" si="40"/>
        <v/>
      </c>
      <c r="M198" s="90" t="str">
        <f t="shared" si="41"/>
        <v/>
      </c>
      <c r="N198" s="93" t="str">
        <f>IF($J198="","",
IF(VLOOKUP($J198,MASTER!$G$5:$L$201,6,0)="",DATE(YEAR(H198)-1,MONTH(H198),DAY(H198)),
VLOOKUP($J198,MASTER!$G$5:$L$201,6,0)))</f>
        <v/>
      </c>
      <c r="O198" s="96" t="str">
        <f t="shared" si="42"/>
        <v/>
      </c>
      <c r="Q198" s="94"/>
      <c r="T198" s="98"/>
      <c r="U198" s="100"/>
      <c r="W198" s="94"/>
      <c r="AA198" s="94"/>
      <c r="AD198" s="98"/>
      <c r="AI198" s="94"/>
      <c r="AJ198" s="98"/>
    </row>
    <row r="199" spans="2:36">
      <c r="B199" s="94"/>
      <c r="F199" s="94" t="str">
        <v/>
      </c>
      <c r="G199" s="92" t="str">
        <f t="shared" si="33"/>
        <v/>
      </c>
      <c r="H199" s="92" t="str">
        <f t="shared" si="34"/>
        <v/>
      </c>
      <c r="I199" s="90" t="str">
        <f t="shared" si="39"/>
        <v/>
      </c>
      <c r="J199" s="94" t="str">
        <v/>
      </c>
      <c r="K199" s="92" t="str">
        <f>IF($J199="","",
IF(VLOOKUP($J199,MASTER!$G$5:$L$201,5,0)="",DATE(YEAR(G199)-1,MONTH(G199),DAY(G199)),
VLOOKUP($J199,MASTER!$G$5:$L$201,5,0)))</f>
        <v/>
      </c>
      <c r="L199" s="92" t="str">
        <f t="shared" si="40"/>
        <v/>
      </c>
      <c r="M199" s="90" t="str">
        <f t="shared" si="41"/>
        <v/>
      </c>
      <c r="N199" s="93" t="str">
        <f>IF($J199="","",
IF(VLOOKUP($J199,MASTER!$G$5:$L$201,6,0)="",DATE(YEAR(H199)-1,MONTH(H199),DAY(H199)),
VLOOKUP($J199,MASTER!$G$5:$L$201,6,0)))</f>
        <v/>
      </c>
      <c r="O199" s="96" t="str">
        <f t="shared" si="42"/>
        <v/>
      </c>
      <c r="Q199" s="94"/>
      <c r="T199" s="98"/>
      <c r="U199" s="100"/>
      <c r="W199" s="94"/>
      <c r="AA199" s="94"/>
      <c r="AD199" s="98"/>
      <c r="AI199" s="94"/>
      <c r="AJ199" s="98"/>
    </row>
    <row r="200" spans="2:36">
      <c r="B200" s="94"/>
      <c r="F200" s="94" t="str">
        <v/>
      </c>
      <c r="G200" s="92" t="str">
        <f t="shared" si="33"/>
        <v/>
      </c>
      <c r="H200" s="92" t="str">
        <f t="shared" si="34"/>
        <v/>
      </c>
      <c r="I200" s="90" t="str">
        <f t="shared" si="39"/>
        <v/>
      </c>
      <c r="J200" s="94" t="str">
        <v/>
      </c>
      <c r="K200" s="92" t="str">
        <f>IF($J200="","",
IF(VLOOKUP($J200,MASTER!$G$5:$L$201,5,0)="",DATE(YEAR(G200)-1,MONTH(G200),DAY(G200)),
VLOOKUP($J200,MASTER!$G$5:$L$201,5,0)))</f>
        <v/>
      </c>
      <c r="L200" s="92" t="str">
        <f t="shared" si="40"/>
        <v/>
      </c>
      <c r="M200" s="90" t="str">
        <f t="shared" si="41"/>
        <v/>
      </c>
      <c r="N200" s="93" t="str">
        <f>IF($J200="","",
IF(VLOOKUP($J200,MASTER!$G$5:$L$201,6,0)="",DATE(YEAR(H200)-1,MONTH(H200),DAY(H200)),
VLOOKUP($J200,MASTER!$G$5:$L$201,6,0)))</f>
        <v/>
      </c>
      <c r="O200" s="96" t="str">
        <f t="shared" si="42"/>
        <v/>
      </c>
      <c r="Q200" s="94"/>
      <c r="T200" s="98"/>
      <c r="U200" s="100"/>
      <c r="W200" s="94"/>
      <c r="AA200" s="94"/>
      <c r="AD200" s="98"/>
      <c r="AI200" s="94"/>
      <c r="AJ200" s="98"/>
    </row>
  </sheetData>
  <phoneticPr fontId="16" type="noConversion"/>
  <conditionalFormatting sqref="A5:XFD100">
    <cfRule type="expression" dxfId="2" priority="1">
      <formula>MOD(ROW(),2)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00"/>
  <sheetViews>
    <sheetView showGridLines="0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6.5"/>
  <cols>
    <col min="1" max="1" width="1.625" style="6" customWidth="1"/>
    <col min="2" max="2" width="9" style="6" customWidth="1"/>
    <col min="3" max="4" width="9" style="186" customWidth="1"/>
    <col min="5" max="5" width="13.125" style="186" bestFit="1" customWidth="1"/>
    <col min="6" max="6" width="12.5" style="7" bestFit="1" customWidth="1"/>
    <col min="7" max="7" width="9" style="186" customWidth="1"/>
    <col min="8" max="8" width="12.5" style="7" bestFit="1" customWidth="1"/>
    <col min="9" max="9" width="9" style="186" customWidth="1"/>
    <col min="10" max="10" width="40.625" style="154" customWidth="1"/>
    <col min="11" max="11" width="9" style="6" customWidth="1"/>
    <col min="15" max="15" width="9" style="11" customWidth="1"/>
    <col min="16" max="16" width="16.75" style="11" customWidth="1"/>
    <col min="17" max="17" width="9" style="11" customWidth="1"/>
    <col min="18" max="19" width="11.625" style="12" customWidth="1"/>
    <col min="20" max="20" width="1.875" style="11" customWidth="1"/>
    <col min="21" max="21" width="9.25" style="11" bestFit="1" customWidth="1"/>
  </cols>
  <sheetData>
    <row r="1" spans="2:21">
      <c r="B1" s="133" t="s">
        <v>50</v>
      </c>
      <c r="C1" s="178"/>
      <c r="D1" s="190" t="s">
        <v>310</v>
      </c>
      <c r="E1" s="178"/>
      <c r="F1" s="135"/>
      <c r="G1" s="178"/>
      <c r="H1" s="135"/>
      <c r="I1" s="178"/>
      <c r="J1" s="148"/>
      <c r="O1" s="15" t="s">
        <v>51</v>
      </c>
    </row>
    <row r="2" spans="2:21" ht="48.75" customHeight="1">
      <c r="B2" s="170" t="s">
        <v>52</v>
      </c>
      <c r="C2" s="189" t="s">
        <v>53</v>
      </c>
      <c r="D2" s="179"/>
      <c r="E2" s="179"/>
      <c r="F2" s="171"/>
      <c r="G2" s="179"/>
      <c r="H2" s="171"/>
      <c r="I2" s="179"/>
      <c r="J2" s="172" t="s">
        <v>18</v>
      </c>
      <c r="O2" s="13" t="s">
        <v>54</v>
      </c>
      <c r="P2" s="13" t="s">
        <v>55</v>
      </c>
      <c r="Q2" s="13" t="s">
        <v>56</v>
      </c>
      <c r="R2" s="14" t="s">
        <v>57</v>
      </c>
      <c r="S2" s="14" t="s">
        <v>58</v>
      </c>
    </row>
    <row r="3" spans="2:21" ht="17.25" thickBot="1">
      <c r="B3" s="175" t="s">
        <v>59</v>
      </c>
      <c r="C3" s="180" t="s">
        <v>311</v>
      </c>
      <c r="D3" s="180" t="s">
        <v>60</v>
      </c>
      <c r="E3" s="180" t="s">
        <v>61</v>
      </c>
      <c r="F3" s="176" t="s">
        <v>62</v>
      </c>
      <c r="G3" s="187"/>
      <c r="H3" s="176" t="s">
        <v>63</v>
      </c>
      <c r="I3" s="188"/>
      <c r="J3" s="177"/>
      <c r="O3" s="155" t="s">
        <v>64</v>
      </c>
      <c r="P3" s="155" t="s">
        <v>65</v>
      </c>
      <c r="Q3" s="155" t="s">
        <v>61</v>
      </c>
      <c r="R3" s="156" t="s">
        <v>66</v>
      </c>
      <c r="S3" s="156" t="s">
        <v>67</v>
      </c>
      <c r="T3" s="155"/>
      <c r="U3" s="155" t="s">
        <v>68</v>
      </c>
    </row>
    <row r="4" spans="2:21" ht="17.25" thickTop="1">
      <c r="B4" s="173" t="s">
        <v>69</v>
      </c>
      <c r="C4" s="181" t="s">
        <v>312</v>
      </c>
      <c r="D4" s="181"/>
      <c r="E4" s="181"/>
      <c r="F4" s="174"/>
      <c r="G4" s="181"/>
      <c r="H4" s="174"/>
      <c r="I4" s="181"/>
      <c r="J4" s="149"/>
      <c r="O4" s="11" t="str">
        <f>IF(IF(OR(NOT(ISBLANK(고객법인일정파일!B4)),ISBLANK(고객법인일정파일!C4),고객법인일정파일!C4="Total"),"",IF(ISNUMBER(FIND("-",고객법인일정파일!C4)),LEFT(고객법인일정파일!C4,FIND("-",고객법인일정파일!C4)-1),IF(ISNUMBER(FIND(" ",고객법인일정파일!C4)),LEFT(고객법인일정파일!C4,FIND(" ",고객법인일정파일!C4)-1),고객법인일정파일!C4)))="한총","sec",IF(OR(NOT(ISBLANK(고객법인일정파일!B4)),ISBLANK(고객법인일정파일!C4),고객법인일정파일!C4="Total"),"",IF(ISNUMBER(FIND("-",고객법인일정파일!C4)),LEFT(고객법인일정파일!C4,FIND("-",고객법인일정파일!C4)-1),IF(ISNUMBER(FIND(" ",고객법인일정파일!C4)),LEFT(고객법인일정파일!C4,FIND(" ",고객법인일정파일!C4)-1),고객법인일정파일!C4))))</f>
        <v/>
      </c>
      <c r="P4" s="11" t="str">
        <f>IF(ISBLANK(태깅기획site_code!F4),"",IF(COUNTIF(고객법인일정파일!$C$4:$C$200,태깅기획site_code!D4&amp;"-"&amp;UPPER(IF(ISNUMBER(FIND("_",태깅기획site_code!F4)),LEFT(태깅기획site_code!F4,FIND("_",태깅기획site_code!F4)-1),태깅기획site_code!F4)))&gt;0,태깅기획site_code!D4&amp;"-"&amp;UPPER(IF(ISNUMBER(FIND("_",태깅기획site_code!F4)),LEFT(태깅기획site_code!F4,FIND("_",태깅기획site_code!F4)-1),태깅기획site_code!F4)),IF(COUNTIF(고객법인일정파일!$C$4:$C$200,태깅기획site_code!D4&amp;" ("&amp;PROPER(LEFT(태깅기획site_code!F4,FIND("_",태깅기획site_code!F4)-1))&amp;"_"&amp;UPPER(MID(태깅기획site_code!F4,FIND("_",태깅기획site_code!F4)+1,20))&amp;")")&gt;0,태깅기획site_code!D4&amp;" ("&amp;PROPER(LEFT(태깅기획site_code!F4,FIND("_",태깅기획site_code!F4)-1))&amp;"_"&amp;UPPER(MID(태깅기획site_code!F4,FIND("_",태깅기획site_code!F4)+1,20))&amp;")",IF(COUNTIF(고객법인일정파일!$C$4:$C$200,태깅기획site_code!D4)&gt;0,태깅기획site_code!D4,IF(ISNUMBER(FIND("_",태깅기획site_code!F4)),"",IFERROR(INDEX(고객법인일정파일!$C$4:$C$200,MATCH(태깅기획site_code!D4,$O$4:$O$200,0)),IF(ISNUMBER(FIND("-",태깅기획site_code!D4)),IFERROR(INDEX(고객법인일정파일!$C$4:$C$200,MATCH(LEFT(태깅기획site_code!D4,FIND("-",태깅기획site_code!D4)-1),고객법인일정파일!$C$4:$C$200,0)),""),IF(태깅기획site_code!D4="SCA",IF(RIGHT(태깅기획site_code!F4,3)="_fr",IFERROR(INDEX(고객법인일정파일!$C$4:$C$200,MATCH("SEWA (Africa_FR)",고객법인일정파일!$C$4:$C$200,0)),""),IF(RIGHT(태깅기획site_code!F4,3)="_en",IFERROR(INDEX(고객법인일정파일!$C$4:$C$200,MATCH("SEWA (Africa_EN)",고객법인일정파일!$C$4:$C$200,0)),""),"")),""))))))))</f>
        <v>XGAD</v>
      </c>
      <c r="Q4" s="11" t="str">
        <f>IF(LEN(TRIM(P4))=0,"",IFERROR(INDEX(고객법인일정파일!$E$4:$E$192,MATCH(P4,고객법인일정파일!$C$4:$C$192,0)),""))</f>
        <v>O</v>
      </c>
      <c r="R4" s="12" t="str">
        <f>IF(OR(LEN(TRIM(P4))=0,Q4="X",Q4&lt;&gt;"O"),"",IFERROR(INDEX(고객법인일정파일!$F$4:$F$192,MATCH(P4,고객법인일정파일!$C$4:$C$192,0)),""))</f>
        <v>TBC</v>
      </c>
      <c r="S4" s="12" t="str">
        <f>IF(OR(LEN(TRIM(P4))=0,Q4="X",Q4&lt;&gt;"O"),"",IFERROR(INDEX(고객법인일정파일!$H$4:$H$192,MATCH(P4,고객법인일정파일!$C$4:$C$192,0)),""))</f>
        <v>TBC</v>
      </c>
    </row>
    <row r="5" spans="2:21">
      <c r="B5" s="145"/>
      <c r="C5" s="183" t="s">
        <v>313</v>
      </c>
      <c r="D5" s="182" t="s">
        <v>314</v>
      </c>
      <c r="E5" s="182" t="s">
        <v>20</v>
      </c>
      <c r="F5" s="143">
        <v>46042</v>
      </c>
      <c r="G5" s="182" t="str">
        <f>"W"&amp;WEEKNUM(F5)</f>
        <v>W4</v>
      </c>
      <c r="H5" s="143">
        <v>46063</v>
      </c>
      <c r="I5" s="182" t="s">
        <v>71</v>
      </c>
      <c r="J5" s="150"/>
      <c r="O5" s="11" t="str">
        <f>IF(IF(OR(NOT(ISBLANK(고객법인일정파일!B5)),ISBLANK(고객법인일정파일!C5),고객법인일정파일!C5="Total"),"",IF(ISNUMBER(FIND("-",고객법인일정파일!C5)),LEFT(고객법인일정파일!C5,FIND("-",고객법인일정파일!C5)-1),IF(ISNUMBER(FIND(" ",고객법인일정파일!C5)),LEFT(고객법인일정파일!C5,FIND(" ",고객법인일정파일!C5)-1),고객법인일정파일!C5)))="한총","sec",IF(OR(NOT(ISBLANK(고객법인일정파일!B5)),ISBLANK(고객법인일정파일!C5),고객법인일정파일!C5="Total"),"",IF(ISNUMBER(FIND("-",고객법인일정파일!C5)),LEFT(고객법인일정파일!C5,FIND("-",고객법인일정파일!C5)-1),IF(ISNUMBER(FIND(" ",고객법인일정파일!C5)),LEFT(고객법인일정파일!C5,FIND(" ",고객법인일정파일!C5)-1),고객법인일정파일!C5))))</f>
        <v>XADU</v>
      </c>
      <c r="P5" s="11" t="str">
        <f>IF(ISBLANK(태깅기획site_code!F5),"",IF(COUNTIF(고객법인일정파일!$C$4:$C$200,태깅기획site_code!D5&amp;"-"&amp;UPPER(IF(ISNUMBER(FIND("_",태깅기획site_code!F5)),LEFT(태깅기획site_code!F5,FIND("_",태깅기획site_code!F5)-1),태깅기획site_code!F5)))&gt;0,태깅기획site_code!D5&amp;"-"&amp;UPPER(IF(ISNUMBER(FIND("_",태깅기획site_code!F5)),LEFT(태깅기획site_code!F5,FIND("_",태깅기획site_code!F5)-1),태깅기획site_code!F5)),IF(COUNTIF(고객법인일정파일!$C$4:$C$200,태깅기획site_code!D5&amp;" ("&amp;PROPER(LEFT(태깅기획site_code!F5,FIND("_",태깅기획site_code!F5)-1))&amp;"_"&amp;UPPER(MID(태깅기획site_code!F5,FIND("_",태깅기획site_code!F5)+1,20))&amp;")")&gt;0,태깅기획site_code!D5&amp;" ("&amp;PROPER(LEFT(태깅기획site_code!F5,FIND("_",태깅기획site_code!F5)-1))&amp;"_"&amp;UPPER(MID(태깅기획site_code!F5,FIND("_",태깅기획site_code!F5)+1,20))&amp;")",IF(COUNTIF(고객법인일정파일!$C$4:$C$200,태깅기획site_code!D5)&gt;0,태깅기획site_code!D5,IF(ISNUMBER(FIND("_",태깅기획site_code!F5)),"",IFERROR(INDEX(고객법인일정파일!$C$4:$C$200,MATCH(태깅기획site_code!D5,$O$4:$O$200,0)),IF(ISNUMBER(FIND("-",태깅기획site_code!D5)),IFERROR(INDEX(고객법인일정파일!$C$4:$C$200,MATCH(LEFT(태깅기획site_code!D5,FIND("-",태깅기획site_code!D5)-1),고객법인일정파일!$C$4:$C$200,0)),""),IF(태깅기획site_code!D5="SCA",IF(RIGHT(태깅기획site_code!F5,3)="_fr",IFERROR(INDEX(고객법인일정파일!$C$4:$C$200,MATCH("SEWA (Africa_FR)",고객법인일정파일!$C$4:$C$200,0)),""),IF(RIGHT(태깅기획site_code!F5,3)="_en",IFERROR(INDEX(고객법인일정파일!$C$4:$C$200,MATCH("SEWA (Africa_EN)",고객법인일정파일!$C$4:$C$200,0)),""),"")),""))))))))</f>
        <v>XGAD</v>
      </c>
      <c r="Q5" s="11" t="str">
        <f>IF(LEN(TRIM(P5))=0,"",IFERROR(INDEX(고객법인일정파일!$E$4:$E$192,MATCH(P5,고객법인일정파일!$C$4:$C$192,0)),""))</f>
        <v>O</v>
      </c>
      <c r="R5" s="12" t="str">
        <f>IF(OR(LEN(TRIM(P5))=0,Q5="X",Q5&lt;&gt;"O"),"",IFERROR(INDEX(고객법인일정파일!$F$4:$F$192,MATCH(P5,고객법인일정파일!$C$4:$C$192,0)),""))</f>
        <v>TBC</v>
      </c>
      <c r="S5" s="12" t="str">
        <f>IF(OR(LEN(TRIM(P5))=0,Q5="X",Q5&lt;&gt;"O"),"",IFERROR(INDEX(고객법인일정파일!$H$4:$H$192,MATCH(P5,고객법인일정파일!$C$4:$C$192,0)),""))</f>
        <v>TBC</v>
      </c>
      <c r="U5" s="11" t="str">
        <f>IF((고객법인일정파일!C5="Total"),"",IF(COUNTIF(MASTER!$D$5:$D$192,IF(고객법인일정파일!C5="한총","SEC",고객법인일정파일!C5))&gt;0,"","사용 안됨"))</f>
        <v/>
      </c>
    </row>
    <row r="6" spans="2:21">
      <c r="B6" s="145"/>
      <c r="C6" s="183" t="s">
        <v>315</v>
      </c>
      <c r="D6" s="182" t="s">
        <v>314</v>
      </c>
      <c r="E6" s="183" t="s">
        <v>20</v>
      </c>
      <c r="F6" s="142">
        <v>46043</v>
      </c>
      <c r="G6" s="182" t="str">
        <f>"W"&amp;WEEKNUM(F6)</f>
        <v>W4</v>
      </c>
      <c r="H6" s="142">
        <v>46063</v>
      </c>
      <c r="I6" s="182" t="str">
        <f t="shared" ref="G6:J21" si="0">"W"&amp;WEEKNUM(H6)</f>
        <v>W7</v>
      </c>
      <c r="J6" s="150"/>
      <c r="O6" s="11" t="str">
        <f>IF(IF(OR(NOT(ISBLANK(고객법인일정파일!B6)),ISBLANK(고객법인일정파일!C6),고객법인일정파일!C6="Total"),"",IF(ISNUMBER(FIND("-",고객법인일정파일!C6)),LEFT(고객법인일정파일!C6,FIND("-",고객법인일정파일!C6)-1),IF(ISNUMBER(FIND(" ",고객법인일정파일!C6)),LEFT(고객법인일정파일!C6,FIND(" ",고객법인일정파일!C6)-1),고객법인일정파일!C6)))="한총","sec",IF(OR(NOT(ISBLANK(고객법인일정파일!B6)),ISBLANK(고객법인일정파일!C6),고객법인일정파일!C6="Total"),"",IF(ISNUMBER(FIND("-",고객법인일정파일!C6)),LEFT(고객법인일정파일!C6,FIND("-",고객법인일정파일!C6)-1),IF(ISNUMBER(FIND(" ",고객법인일정파일!C6)),LEFT(고객법인일정파일!C6,FIND(" ",고객법인일정파일!C6)-1),고객법인일정파일!C6))))</f>
        <v>XADCU</v>
      </c>
      <c r="P6" s="11" t="str">
        <f>IF(ISBLANK(태깅기획site_code!F6),"",IF(COUNTIF(고객법인일정파일!$C$4:$C$200,태깅기획site_code!D6&amp;"-"&amp;UPPER(IF(ISNUMBER(FIND("_",태깅기획site_code!F6)),LEFT(태깅기획site_code!F6,FIND("_",태깅기획site_code!F6)-1),태깅기획site_code!F6)))&gt;0,태깅기획site_code!D6&amp;"-"&amp;UPPER(IF(ISNUMBER(FIND("_",태깅기획site_code!F6)),LEFT(태깅기획site_code!F6,FIND("_",태깅기획site_code!F6)-1),태깅기획site_code!F6)),IF(COUNTIF(고객법인일정파일!$C$4:$C$200,태깅기획site_code!D6&amp;" ("&amp;PROPER(LEFT(태깅기획site_code!F6,FIND("_",태깅기획site_code!F6)-1))&amp;"_"&amp;UPPER(MID(태깅기획site_code!F6,FIND("_",태깅기획site_code!F6)+1,20))&amp;")")&gt;0,태깅기획site_code!D6&amp;" ("&amp;PROPER(LEFT(태깅기획site_code!F6,FIND("_",태깅기획site_code!F6)-1))&amp;"_"&amp;UPPER(MID(태깅기획site_code!F6,FIND("_",태깅기획site_code!F6)+1,20))&amp;")",IF(COUNTIF(고객법인일정파일!$C$4:$C$200,태깅기획site_code!D6)&gt;0,태깅기획site_code!D6,IF(ISNUMBER(FIND("_",태깅기획site_code!F6)),"",IFERROR(INDEX(고객법인일정파일!$C$4:$C$200,MATCH(태깅기획site_code!D6,$O$4:$O$200,0)),IF(ISNUMBER(FIND("-",태깅기획site_code!D6)),IFERROR(INDEX(고객법인일정파일!$C$4:$C$200,MATCH(LEFT(태깅기획site_code!D6,FIND("-",태깅기획site_code!D6)-1),고객법인일정파일!$C$4:$C$200,0)),""),IF(태깅기획site_code!D6="SCA",IF(RIGHT(태깅기획site_code!F6,3)="_fr",IFERROR(INDEX(고객법인일정파일!$C$4:$C$200,MATCH("SEWA (Africa_FR)",고객법인일정파일!$C$4:$C$200,0)),""),IF(RIGHT(태깅기획site_code!F6,3)="_en",IFERROR(INDEX(고객법인일정파일!$C$4:$C$200,MATCH("SEWA (Africa_EN)",고객법인일정파일!$C$4:$C$200,0)),""),"")),""))))))))</f>
        <v/>
      </c>
      <c r="Q6" s="11" t="str">
        <f>IF(LEN(TRIM(P6))=0,"",IFERROR(INDEX(고객법인일정파일!$E$4:$E$192,MATCH(P6,고객법인일정파일!$C$4:$C$192,0)),""))</f>
        <v/>
      </c>
      <c r="R6" s="12" t="str">
        <f>IF(OR(LEN(TRIM(P6))=0,Q6="X",Q6&lt;&gt;"O"),"",IFERROR(INDEX(고객법인일정파일!$F$4:$F$192,MATCH(P6,고객법인일정파일!$C$4:$C$192,0)),""))</f>
        <v/>
      </c>
      <c r="S6" s="12" t="str">
        <f>IF(OR(LEN(TRIM(P6))=0,Q6="X",Q6&lt;&gt;"O"),"",IFERROR(INDEX(고객법인일정파일!$H$4:$H$192,MATCH(P6,고객법인일정파일!$C$4:$C$192,0)),""))</f>
        <v/>
      </c>
      <c r="U6" s="11" t="str">
        <f>IF((고객법인일정파일!C6="Total"),"",IF(COUNTIF(MASTER!$D$5:$D$192,IF(고객법인일정파일!C6="한총","SEC",고객법인일정파일!C6))&gt;0,"","사용 안됨"))</f>
        <v/>
      </c>
    </row>
    <row r="7" spans="2:21">
      <c r="B7" s="144" t="s">
        <v>72</v>
      </c>
      <c r="C7" s="183" t="s">
        <v>312</v>
      </c>
      <c r="D7" s="183"/>
      <c r="E7" s="183"/>
      <c r="F7" s="142"/>
      <c r="G7" s="182" t="str">
        <f>"W"&amp;WEEKNUM(F6)</f>
        <v>W4</v>
      </c>
      <c r="H7" s="142"/>
      <c r="I7" s="183"/>
      <c r="J7" s="150"/>
      <c r="O7" s="11" t="str">
        <f>IF(IF(OR(NOT(ISBLANK(고객법인일정파일!B7)),ISBLANK(고객법인일정파일!C7),고객법인일정파일!C7="Total"),"",IF(ISNUMBER(FIND("-",고객법인일정파일!C7)),LEFT(고객법인일정파일!C7,FIND("-",고객법인일정파일!C7)-1),IF(ISNUMBER(FIND(" ",고객법인일정파일!C7)),LEFT(고객법인일정파일!C7,FIND(" ",고객법인일정파일!C7)-1),고객법인일정파일!C7)))="한총","sec",IF(OR(NOT(ISBLANK(고객법인일정파일!B7)),ISBLANK(고객법인일정파일!C7),고객법인일정파일!C7="Total"),"",IF(ISNUMBER(FIND("-",고객법인일정파일!C7)),LEFT(고객법인일정파일!C7,FIND("-",고객법인일정파일!C7)-1),IF(ISNUMBER(FIND(" ",고객법인일정파일!C7)),LEFT(고객법인일정파일!C7,FIND(" ",고객법인일정파일!C7)-1),고객법인일정파일!C7))))</f>
        <v/>
      </c>
      <c r="P7" s="11" t="str">
        <f>IF(ISBLANK(태깅기획site_code!F7),"",IF(COUNTIF(고객법인일정파일!$C$4:$C$200,태깅기획site_code!D7&amp;"-"&amp;UPPER(IF(ISNUMBER(FIND("_",태깅기획site_code!F7)),LEFT(태깅기획site_code!F7,FIND("_",태깅기획site_code!F7)-1),태깅기획site_code!F7)))&gt;0,태깅기획site_code!D7&amp;"-"&amp;UPPER(IF(ISNUMBER(FIND("_",태깅기획site_code!F7)),LEFT(태깅기획site_code!F7,FIND("_",태깅기획site_code!F7)-1),태깅기획site_code!F7)),IF(COUNTIF(고객법인일정파일!$C$4:$C$200,태깅기획site_code!D7&amp;" ("&amp;PROPER(LEFT(태깅기획site_code!F7,FIND("_",태깅기획site_code!F7)-1))&amp;"_"&amp;UPPER(MID(태깅기획site_code!F7,FIND("_",태깅기획site_code!F7)+1,20))&amp;")")&gt;0,태깅기획site_code!D7&amp;" ("&amp;PROPER(LEFT(태깅기획site_code!F7,FIND("_",태깅기획site_code!F7)-1))&amp;"_"&amp;UPPER(MID(태깅기획site_code!F7,FIND("_",태깅기획site_code!F7)+1,20))&amp;")",IF(COUNTIF(고객법인일정파일!$C$4:$C$200,태깅기획site_code!D7)&gt;0,태깅기획site_code!D7,IF(ISNUMBER(FIND("_",태깅기획site_code!F7)),"",IFERROR(INDEX(고객법인일정파일!$C$4:$C$200,MATCH(태깅기획site_code!D7,$O$4:$O$200,0)),IF(ISNUMBER(FIND("-",태깅기획site_code!D7)),IFERROR(INDEX(고객법인일정파일!$C$4:$C$200,MATCH(LEFT(태깅기획site_code!D7,FIND("-",태깅기획site_code!D7)-1),고객법인일정파일!$C$4:$C$200,0)),""),IF(태깅기획site_code!D7="SCA",IF(RIGHT(태깅기획site_code!F7,3)="_fr",IFERROR(INDEX(고객법인일정파일!$C$4:$C$200,MATCH("SEWA (Africa_FR)",고객법인일정파일!$C$4:$C$200,0)),""),IF(RIGHT(태깅기획site_code!F7,3)="_en",IFERROR(INDEX(고객법인일정파일!$C$4:$C$200,MATCH("SEWA (Africa_EN)",고객법인일정파일!$C$4:$C$200,0)),""),"")),""))))))))</f>
        <v/>
      </c>
      <c r="Q7" s="11" t="str">
        <f>IF(LEN(TRIM(P7))=0,"",IFERROR(INDEX(고객법인일정파일!$E$4:$E$192,MATCH(P7,고객법인일정파일!$C$4:$C$192,0)),""))</f>
        <v/>
      </c>
      <c r="R7" s="12" t="str">
        <f>IF(OR(LEN(TRIM(P7))=0,Q7="X",Q7&lt;&gt;"O"),"",IFERROR(INDEX(고객법인일정파일!$F$4:$F$192,MATCH(P7,고객법인일정파일!$C$4:$C$192,0)),""))</f>
        <v/>
      </c>
      <c r="S7" s="12" t="str">
        <f>IF(OR(LEN(TRIM(P7))=0,Q7="X",Q7&lt;&gt;"O"),"",IFERROR(INDEX(고객법인일정파일!$H$4:$H$192,MATCH(P7,고객법인일정파일!$C$4:$C$192,0)),""))</f>
        <v/>
      </c>
      <c r="U7" s="11" t="str">
        <f>IF((고객법인일정파일!C7="Total"),"",IF(COUNTIF(MASTER!$D$5:$D$192,IF(고객법인일정파일!C7="한총","SEC",고객법인일정파일!C7))&gt;0,"","사용 안됨"))</f>
        <v>사용 안됨</v>
      </c>
    </row>
    <row r="8" spans="2:21">
      <c r="B8" s="145"/>
      <c r="C8" s="183" t="s">
        <v>316</v>
      </c>
      <c r="D8" s="182" t="s">
        <v>314</v>
      </c>
      <c r="E8" s="182" t="s">
        <v>73</v>
      </c>
      <c r="F8" s="142"/>
      <c r="G8" s="182" t="str">
        <f t="shared" si="0"/>
        <v>W0</v>
      </c>
      <c r="H8" s="142"/>
      <c r="I8" s="182" t="str">
        <f t="shared" si="0"/>
        <v>W0</v>
      </c>
      <c r="J8" s="151" t="str">
        <f>"Note1-test "&amp;C8</f>
        <v>Note1-test XADUK</v>
      </c>
      <c r="O8" s="11" t="str">
        <f>IF(IF(OR(NOT(ISBLANK(고객법인일정파일!B8)),ISBLANK(고객법인일정파일!C8),고객법인일정파일!C8="Total"),"",IF(ISNUMBER(FIND("-",고객법인일정파일!C8)),LEFT(고객법인일정파일!C8,FIND("-",고객법인일정파일!C8)-1),IF(ISNUMBER(FIND(" ",고객법인일정파일!C8)),LEFT(고객법인일정파일!C8,FIND(" ",고객법인일정파일!C8)-1),고객법인일정파일!C8)))="한총","sec",IF(OR(NOT(ISBLANK(고객법인일정파일!B8)),ISBLANK(고객법인일정파일!C8),고객법인일정파일!C8="Total"),"",IF(ISNUMBER(FIND("-",고객법인일정파일!C8)),LEFT(고객법인일정파일!C8,FIND("-",고객법인일정파일!C8)-1),IF(ISNUMBER(FIND(" ",고객법인일정파일!C8)),LEFT(고객법인일정파일!C8,FIND(" ",고객법인일정파일!C8)-1),고객법인일정파일!C8))))</f>
        <v>XADUK</v>
      </c>
      <c r="P8" s="11" t="str">
        <f>IF(ISBLANK(태깅기획site_code!F8),"",IF(COUNTIF(고객법인일정파일!$C$4:$C$200,태깅기획site_code!D8&amp;"-"&amp;UPPER(IF(ISNUMBER(FIND("_",태깅기획site_code!F8)),LEFT(태깅기획site_code!F8,FIND("_",태깅기획site_code!F8)-1),태깅기획site_code!F8)))&gt;0,태깅기획site_code!D8&amp;"-"&amp;UPPER(IF(ISNUMBER(FIND("_",태깅기획site_code!F8)),LEFT(태깅기획site_code!F8,FIND("_",태깅기획site_code!F8)-1),태깅기획site_code!F8)),IF(COUNTIF(고객법인일정파일!$C$4:$C$200,태깅기획site_code!D8&amp;" ("&amp;PROPER(LEFT(태깅기획site_code!F8,FIND("_",태깅기획site_code!F8)-1))&amp;"_"&amp;UPPER(MID(태깅기획site_code!F8,FIND("_",태깅기획site_code!F8)+1,20))&amp;")")&gt;0,태깅기획site_code!D8&amp;" ("&amp;PROPER(LEFT(태깅기획site_code!F8,FIND("_",태깅기획site_code!F8)-1))&amp;"_"&amp;UPPER(MID(태깅기획site_code!F8,FIND("_",태깅기획site_code!F8)+1,20))&amp;")",IF(COUNTIF(고객법인일정파일!$C$4:$C$200,태깅기획site_code!D8)&gt;0,태깅기획site_code!D8,IF(ISNUMBER(FIND("_",태깅기획site_code!F8)),"",IFERROR(INDEX(고객법인일정파일!$C$4:$C$200,MATCH(태깅기획site_code!D8,$O$4:$O$200,0)),IF(ISNUMBER(FIND("-",태깅기획site_code!D8)),IFERROR(INDEX(고객법인일정파일!$C$4:$C$200,MATCH(LEFT(태깅기획site_code!D8,FIND("-",태깅기획site_code!D8)-1),고객법인일정파일!$C$4:$C$200,0)),""),IF(태깅기획site_code!D8="SCA",IF(RIGHT(태깅기획site_code!F8,3)="_fr",IFERROR(INDEX(고객법인일정파일!$C$4:$C$200,MATCH("SEWA (Africa_FR)",고객법인일정파일!$C$4:$C$200,0)),""),IF(RIGHT(태깅기획site_code!F8,3)="_en",IFERROR(INDEX(고객법인일정파일!$C$4:$C$200,MATCH("SEWA (Africa_EN)",고객법인일정파일!$C$4:$C$200,0)),""),"")),""))))))))</f>
        <v/>
      </c>
      <c r="Q8" s="11" t="str">
        <f>IF(LEN(TRIM(P8))=0,"",IFERROR(INDEX(고객법인일정파일!$E$4:$E$192,MATCH(P8,고객법인일정파일!$C$4:$C$192,0)),""))</f>
        <v/>
      </c>
      <c r="R8" s="12" t="str">
        <f>IF(OR(LEN(TRIM(P8))=0,Q8="X",Q8&lt;&gt;"O"),"",IFERROR(INDEX(고객법인일정파일!$F$4:$F$192,MATCH(P8,고객법인일정파일!$C$4:$C$192,0)),""))</f>
        <v/>
      </c>
      <c r="S8" s="12" t="str">
        <f>IF(OR(LEN(TRIM(P8))=0,Q8="X",Q8&lt;&gt;"O"),"",IFERROR(INDEX(고객법인일정파일!$H$4:$H$192,MATCH(P8,고객법인일정파일!$C$4:$C$192,0)),""))</f>
        <v/>
      </c>
      <c r="U8" s="11" t="str">
        <f>IF((고객법인일정파일!C8="Total"),"",IF(COUNTIF(MASTER!$D$5:$D$192,IF(고객법인일정파일!C8="한총","SEC",고객법인일정파일!C8))&gt;0,"","사용 안됨"))</f>
        <v/>
      </c>
    </row>
    <row r="9" spans="2:21">
      <c r="B9" s="145"/>
      <c r="C9" s="183" t="s">
        <v>493</v>
      </c>
      <c r="D9" s="182" t="s">
        <v>314</v>
      </c>
      <c r="E9" s="183" t="s">
        <v>73</v>
      </c>
      <c r="F9" s="142"/>
      <c r="G9" s="182" t="str">
        <f t="shared" si="0"/>
        <v>W0</v>
      </c>
      <c r="H9" s="142"/>
      <c r="I9" s="182" t="str">
        <f t="shared" si="0"/>
        <v>W0</v>
      </c>
      <c r="J9" s="150"/>
      <c r="O9" s="11" t="str">
        <f>IF(IF(OR(NOT(ISBLANK(고객법인일정파일!B9)),ISBLANK(고객법인일정파일!C9),고객법인일정파일!C9="Total"),"",IF(ISNUMBER(FIND("-",고객법인일정파일!C9)),LEFT(고객법인일정파일!C9,FIND("-",고객법인일정파일!C9)-1),IF(ISNUMBER(FIND(" ",고객법인일정파일!C9)),LEFT(고객법인일정파일!C9,FIND(" ",고객법인일정파일!C9)-1),고객법인일정파일!C9)))="한총","sec",IF(OR(NOT(ISBLANK(고객법인일정파일!B9)),ISBLANK(고객법인일정파일!C9),고객법인일정파일!C9="Total"),"",IF(ISNUMBER(FIND("-",고객법인일정파일!C9)),LEFT(고객법인일정파일!C9,FIND("-",고객법인일정파일!C9)-1),IF(ISNUMBER(FIND(" ",고객법인일정파일!C9)),LEFT(고객법인일정파일!C9,FIND(" ",고객법인일정파일!C9)-1),고객법인일정파일!C9))))</f>
        <v>XADUK</v>
      </c>
      <c r="P9" s="11" t="str">
        <f>IF(ISBLANK(태깅기획site_code!F9),"",IF(COUNTIF(고객법인일정파일!$C$4:$C$200,태깅기획site_code!D9&amp;"-"&amp;UPPER(IF(ISNUMBER(FIND("_",태깅기획site_code!F9)),LEFT(태깅기획site_code!F9,FIND("_",태깅기획site_code!F9)-1),태깅기획site_code!F9)))&gt;0,태깅기획site_code!D9&amp;"-"&amp;UPPER(IF(ISNUMBER(FIND("_",태깅기획site_code!F9)),LEFT(태깅기획site_code!F9,FIND("_",태깅기획site_code!F9)-1),태깅기획site_code!F9)),IF(COUNTIF(고객법인일정파일!$C$4:$C$200,태깅기획site_code!D9&amp;" ("&amp;PROPER(LEFT(태깅기획site_code!F9,FIND("_",태깅기획site_code!F9)-1))&amp;"_"&amp;UPPER(MID(태깅기획site_code!F9,FIND("_",태깅기획site_code!F9)+1,20))&amp;")")&gt;0,태깅기획site_code!D9&amp;" ("&amp;PROPER(LEFT(태깅기획site_code!F9,FIND("_",태깅기획site_code!F9)-1))&amp;"_"&amp;UPPER(MID(태깅기획site_code!F9,FIND("_",태깅기획site_code!F9)+1,20))&amp;")",IF(COUNTIF(고객법인일정파일!$C$4:$C$200,태깅기획site_code!D9)&gt;0,태깅기획site_code!D9,IF(ISNUMBER(FIND("_",태깅기획site_code!F9)),"",IFERROR(INDEX(고객법인일정파일!$C$4:$C$200,MATCH(태깅기획site_code!D9,$O$4:$O$200,0)),IF(ISNUMBER(FIND("-",태깅기획site_code!D9)),IFERROR(INDEX(고객법인일정파일!$C$4:$C$200,MATCH(LEFT(태깅기획site_code!D9,FIND("-",태깅기획site_code!D9)-1),고객법인일정파일!$C$4:$C$200,0)),""),IF(태깅기획site_code!D9="SCA",IF(RIGHT(태깅기획site_code!F9,3)="_fr",IFERROR(INDEX(고객법인일정파일!$C$4:$C$200,MATCH("SEWA (Africa_FR)",고객법인일정파일!$C$4:$C$200,0)),""),IF(RIGHT(태깅기획site_code!F9,3)="_en",IFERROR(INDEX(고객법인일정파일!$C$4:$C$200,MATCH("SEWA (Africa_EN)",고객법인일정파일!$C$4:$C$200,0)),""),"")),""))))))))</f>
        <v>XADUD</v>
      </c>
      <c r="Q9" s="11" t="str">
        <f>IF(LEN(TRIM(P9))=0,"",IFERROR(INDEX(고객법인일정파일!$E$4:$E$192,MATCH(P9,고객법인일정파일!$C$4:$C$192,0)),""))</f>
        <v>X</v>
      </c>
      <c r="R9" s="12" t="str">
        <f>IF(OR(LEN(TRIM(P9))=0,Q9="X",Q9&lt;&gt;"O"),"",IFERROR(INDEX(고객법인일정파일!$F$4:$F$192,MATCH(P9,고객법인일정파일!$C$4:$C$192,0)),""))</f>
        <v/>
      </c>
      <c r="S9" s="12" t="str">
        <f>IF(OR(LEN(TRIM(P9))=0,Q9="X",Q9&lt;&gt;"O"),"",IFERROR(INDEX(고객법인일정파일!$H$4:$H$192,MATCH(P9,고객법인일정파일!$C$4:$C$192,0)),""))</f>
        <v/>
      </c>
      <c r="U9" s="11" t="str">
        <f>IF((고객법인일정파일!C9="Total"),"",IF(COUNTIF(MASTER!$D$5:$D$192,IF(고객법인일정파일!C9="한총","SEC",고객법인일정파일!C9))&gt;0,"","사용 안됨"))</f>
        <v/>
      </c>
    </row>
    <row r="10" spans="2:21">
      <c r="B10" s="145"/>
      <c r="C10" s="183" t="s">
        <v>317</v>
      </c>
      <c r="D10" s="182" t="s">
        <v>314</v>
      </c>
      <c r="E10" s="183" t="s">
        <v>20</v>
      </c>
      <c r="F10" s="142">
        <v>46031</v>
      </c>
      <c r="G10" s="182" t="str">
        <f t="shared" si="0"/>
        <v>W2</v>
      </c>
      <c r="H10" s="143">
        <v>46064</v>
      </c>
      <c r="I10" s="182" t="str">
        <f t="shared" si="0"/>
        <v>W7</v>
      </c>
      <c r="J10" s="151" t="str">
        <f>"Note1-test "&amp;C10</f>
        <v>Note1-test XADG</v>
      </c>
      <c r="O10" s="11" t="str">
        <f>IF(IF(OR(NOT(ISBLANK(고객법인일정파일!B10)),ISBLANK(고객법인일정파일!C10),고객법인일정파일!C10="Total"),"",IF(ISNUMBER(FIND("-",고객법인일정파일!C10)),LEFT(고객법인일정파일!C10,FIND("-",고객법인일정파일!C10)-1),IF(ISNUMBER(FIND(" ",고객법인일정파일!C10)),LEFT(고객법인일정파일!C10,FIND(" ",고객법인일정파일!C10)-1),고객법인일정파일!C10)))="한총","sec",IF(OR(NOT(ISBLANK(고객법인일정파일!B10)),ISBLANK(고객법인일정파일!C10),고객법인일정파일!C10="Total"),"",IF(ISNUMBER(FIND("-",고객법인일정파일!C10)),LEFT(고객법인일정파일!C10,FIND("-",고객법인일정파일!C10)-1),IF(ISNUMBER(FIND(" ",고객법인일정파일!C10)),LEFT(고객법인일정파일!C10,FIND(" ",고객법인일정파일!C10)-1),고객법인일정파일!C10))))</f>
        <v>XADG</v>
      </c>
      <c r="P10" s="11" t="str">
        <f>IF(ISBLANK(태깅기획site_code!F10),"",IF(COUNTIF(고객법인일정파일!$C$4:$C$200,태깅기획site_code!D10&amp;"-"&amp;UPPER(IF(ISNUMBER(FIND("_",태깅기획site_code!F10)),LEFT(태깅기획site_code!F10,FIND("_",태깅기획site_code!F10)-1),태깅기획site_code!F10)))&gt;0,태깅기획site_code!D10&amp;"-"&amp;UPPER(IF(ISNUMBER(FIND("_",태깅기획site_code!F10)),LEFT(태깅기획site_code!F10,FIND("_",태깅기획site_code!F10)-1),태깅기획site_code!F10)),IF(COUNTIF(고객법인일정파일!$C$4:$C$200,태깅기획site_code!D10&amp;" ("&amp;PROPER(LEFT(태깅기획site_code!F10,FIND("_",태깅기획site_code!F10)-1))&amp;"_"&amp;UPPER(MID(태깅기획site_code!F10,FIND("_",태깅기획site_code!F10)+1,20))&amp;")")&gt;0,태깅기획site_code!D10&amp;" ("&amp;PROPER(LEFT(태깅기획site_code!F10,FIND("_",태깅기획site_code!F10)-1))&amp;"_"&amp;UPPER(MID(태깅기획site_code!F10,FIND("_",태깅기획site_code!F10)+1,20))&amp;")",IF(COUNTIF(고객법인일정파일!$C$4:$C$200,태깅기획site_code!D10)&gt;0,태깅기획site_code!D10,IF(ISNUMBER(FIND("_",태깅기획site_code!F10)),"",IFERROR(INDEX(고객법인일정파일!$C$4:$C$200,MATCH(태깅기획site_code!D10,$O$4:$O$200,0)),IF(ISNUMBER(FIND("-",태깅기획site_code!D10)),IFERROR(INDEX(고객법인일정파일!$C$4:$C$200,MATCH(LEFT(태깅기획site_code!D10,FIND("-",태깅기획site_code!D10)-1),고객법인일정파일!$C$4:$C$200,0)),""),IF(태깅기획site_code!D10="SCA",IF(RIGHT(태깅기획site_code!F10,3)="_fr",IFERROR(INDEX(고객법인일정파일!$C$4:$C$200,MATCH("SEWA (Africa_FR)",고객법인일정파일!$C$4:$C$200,0)),""),IF(RIGHT(태깅기획site_code!F10,3)="_en",IFERROR(INDEX(고객법인일정파일!$C$4:$C$200,MATCH("SEWA (Africa_EN)",고객법인일정파일!$C$4:$C$200,0)),""),"")),""))))))))</f>
        <v>XADUXU</v>
      </c>
      <c r="Q10" s="11" t="str">
        <f>IF(LEN(TRIM(P10))=0,"",IFERROR(INDEX(고객법인일정파일!$E$4:$E$192,MATCH(P10,고객법인일정파일!$C$4:$C$192,0)),""))</f>
        <v>O</v>
      </c>
      <c r="R10" s="12">
        <f>IF(OR(LEN(TRIM(P10))=0,Q10="X",Q10&lt;&gt;"O"),"",IFERROR(INDEX(고객법인일정파일!$F$4:$F$192,MATCH(P10,고객법인일정파일!$C$4:$C$192,0)),""))</f>
        <v>46297</v>
      </c>
      <c r="S10" s="12">
        <f>IF(OR(LEN(TRIM(P10))=0,Q10="X",Q10&lt;&gt;"O"),"",IFERROR(INDEX(고객법인일정파일!$H$4:$H$192,MATCH(P10,고객법인일정파일!$C$4:$C$192,0)),""))</f>
        <v>46313</v>
      </c>
      <c r="U10" s="11" t="str">
        <f>IF((고객법인일정파일!C10="Total"),"",IF(COUNTIF(MASTER!$D$5:$D$192,IF(고객법인일정파일!C10="한총","SEC",고객법인일정파일!C10))&gt;0,"","사용 안됨"))</f>
        <v/>
      </c>
    </row>
    <row r="11" spans="2:21">
      <c r="B11" s="145"/>
      <c r="C11" s="183" t="s">
        <v>318</v>
      </c>
      <c r="D11" s="182" t="s">
        <v>314</v>
      </c>
      <c r="E11" s="183" t="s">
        <v>20</v>
      </c>
      <c r="F11" s="142">
        <v>46071</v>
      </c>
      <c r="G11" s="182" t="str">
        <f t="shared" si="0"/>
        <v>W8</v>
      </c>
      <c r="H11" s="142">
        <v>46081</v>
      </c>
      <c r="I11" s="182" t="str">
        <f t="shared" si="0"/>
        <v>W9</v>
      </c>
      <c r="J11" s="150"/>
      <c r="O11" s="11" t="str">
        <f>IF(IF(OR(NOT(ISBLANK(고객법인일정파일!B11)),ISBLANK(고객법인일정파일!C11),고객법인일정파일!C11="Total"),"",IF(ISNUMBER(FIND("-",고객법인일정파일!C11)),LEFT(고객법인일정파일!C11,FIND("-",고객법인일정파일!C11)-1),IF(ISNUMBER(FIND(" ",고객법인일정파일!C11)),LEFT(고객법인일정파일!C11,FIND(" ",고객법인일정파일!C11)-1),고객법인일정파일!C11)))="한총","sec",IF(OR(NOT(ISBLANK(고객법인일정파일!B11)),ISBLANK(고객법인일정파일!C11),고객법인일정파일!C11="Total"),"",IF(ISNUMBER(FIND("-",고객법인일정파일!C11)),LEFT(고객법인일정파일!C11,FIND("-",고객법인일정파일!C11)-1),IF(ISNUMBER(FIND(" ",고객법인일정파일!C11)),LEFT(고객법인일정파일!C11,FIND(" ",고객법인일정파일!C11)-1),고객법인일정파일!C11))))</f>
        <v>XADF</v>
      </c>
      <c r="P11" s="11" t="str">
        <f>IF(ISBLANK(태깅기획site_code!F11),"",IF(COUNTIF(고객법인일정파일!$C$4:$C$200,태깅기획site_code!D11&amp;"-"&amp;UPPER(IF(ISNUMBER(FIND("_",태깅기획site_code!F11)),LEFT(태깅기획site_code!F11,FIND("_",태깅기획site_code!F11)-1),태깅기획site_code!F11)))&gt;0,태깅기획site_code!D11&amp;"-"&amp;UPPER(IF(ISNUMBER(FIND("_",태깅기획site_code!F11)),LEFT(태깅기획site_code!F11,FIND("_",태깅기획site_code!F11)-1),태깅기획site_code!F11)),IF(COUNTIF(고객법인일정파일!$C$4:$C$200,태깅기획site_code!D11&amp;" ("&amp;PROPER(LEFT(태깅기획site_code!F11,FIND("_",태깅기획site_code!F11)-1))&amp;"_"&amp;UPPER(MID(태깅기획site_code!F11,FIND("_",태깅기획site_code!F11)+1,20))&amp;")")&gt;0,태깅기획site_code!D11&amp;" ("&amp;PROPER(LEFT(태깅기획site_code!F11,FIND("_",태깅기획site_code!F11)-1))&amp;"_"&amp;UPPER(MID(태깅기획site_code!F11,FIND("_",태깅기획site_code!F11)+1,20))&amp;")",IF(COUNTIF(고객법인일정파일!$C$4:$C$200,태깅기획site_code!D11)&gt;0,태깅기획site_code!D11,IF(ISNUMBER(FIND("_",태깅기획site_code!F11)),"",IFERROR(INDEX(고객법인일정파일!$C$4:$C$200,MATCH(태깅기획site_code!D11,$O$4:$O$200,0)),IF(ISNUMBER(FIND("-",태깅기획site_code!D11)),IFERROR(INDEX(고객법인일정파일!$C$4:$C$200,MATCH(LEFT(태깅기획site_code!D11,FIND("-",태깅기획site_code!D11)-1),고객법인일정파일!$C$4:$C$200,0)),""),IF(태깅기획site_code!D11="SCA",IF(RIGHT(태깅기획site_code!F11,3)="_fr",IFERROR(INDEX(고객법인일정파일!$C$4:$C$200,MATCH("SEWA (Africa_FR)",고객법인일정파일!$C$4:$C$200,0)),""),IF(RIGHT(태깅기획site_code!F11,3)="_en",IFERROR(INDEX(고객법인일정파일!$C$4:$C$200,MATCH("SEWA (Africa_EN)",고객법인일정파일!$C$4:$C$200,0)),""),"")),""))))))))</f>
        <v>XADUX-UT</v>
      </c>
      <c r="Q11" s="11" t="str">
        <f>IF(LEN(TRIM(P11))=0,"",IFERROR(INDEX(고객법인일정파일!$E$4:$E$192,MATCH(P11,고객법인일정파일!$C$4:$C$192,0)),""))</f>
        <v>O</v>
      </c>
      <c r="R11" s="12">
        <f>IF(OR(LEN(TRIM(P11))=0,Q11="X",Q11&lt;&gt;"O"),"",IFERROR(INDEX(고객법인일정파일!$F$4:$F$192,MATCH(P11,고객법인일정파일!$C$4:$C$192,0)),""))</f>
        <v>46042</v>
      </c>
      <c r="S11" s="12">
        <f>IF(OR(LEN(TRIM(P11))=0,Q11="X",Q11&lt;&gt;"O"),"",IFERROR(INDEX(고객법인일정파일!$H$4:$H$192,MATCH(P11,고객법인일정파일!$C$4:$C$192,0)),""))</f>
        <v>46064</v>
      </c>
      <c r="U11" s="11" t="str">
        <f>IF((고객법인일정파일!C11="Total"),"",IF(COUNTIF(MASTER!$D$5:$D$192,IF(고객법인일정파일!C11="한총","SEC",고객법인일정파일!C11))&gt;0,"","사용 안됨"))</f>
        <v/>
      </c>
    </row>
    <row r="12" spans="2:21">
      <c r="B12" s="145"/>
      <c r="C12" s="183" t="s">
        <v>319</v>
      </c>
      <c r="D12" s="182" t="s">
        <v>314</v>
      </c>
      <c r="E12" s="183" t="s">
        <v>20</v>
      </c>
      <c r="F12" s="142">
        <v>46050</v>
      </c>
      <c r="G12" s="182" t="str">
        <f t="shared" si="0"/>
        <v>W5</v>
      </c>
      <c r="H12" s="142">
        <v>46064</v>
      </c>
      <c r="I12" s="182" t="str">
        <f t="shared" si="0"/>
        <v>W7</v>
      </c>
      <c r="J12" s="150"/>
      <c r="O12" s="11" t="str">
        <f>IF(IF(OR(NOT(ISBLANK(고객법인일정파일!B12)),ISBLANK(고객법인일정파일!C12),고객법인일정파일!C12="Total"),"",IF(ISNUMBER(FIND("-",고객법인일정파일!C12)),LEFT(고객법인일정파일!C12,FIND("-",고객법인일정파일!C12)-1),IF(ISNUMBER(FIND(" ",고객법인일정파일!C12)),LEFT(고객법인일정파일!C12,FIND(" ",고객법인일정파일!C12)-1),고객법인일정파일!C12)))="한총","sec",IF(OR(NOT(ISBLANK(고객법인일정파일!B12)),ISBLANK(고객법인일정파일!C12),고객법인일정파일!C12="Total"),"",IF(ISNUMBER(FIND("-",고객법인일정파일!C12)),LEFT(고객법인일정파일!C12,FIND("-",고객법인일정파일!C12)-1),IF(ISNUMBER(FIND(" ",고객법인일정파일!C12)),LEFT(고객법인일정파일!C12,FIND(" ",고객법인일정파일!C12)-1),고객법인일정파일!C12))))</f>
        <v>XADI</v>
      </c>
      <c r="P12" s="11" t="str">
        <f>IF(ISBLANK(태깅기획site_code!F12),"",IF(COUNTIF(고객법인일정파일!$C$4:$C$200,태깅기획site_code!D12&amp;"-"&amp;UPPER(IF(ISNUMBER(FIND("_",태깅기획site_code!F12)),LEFT(태깅기획site_code!F12,FIND("_",태깅기획site_code!F12)-1),태깅기획site_code!F12)))&gt;0,태깅기획site_code!D12&amp;"-"&amp;UPPER(IF(ISNUMBER(FIND("_",태깅기획site_code!F12)),LEFT(태깅기획site_code!F12,FIND("_",태깅기획site_code!F12)-1),태깅기획site_code!F12)),IF(COUNTIF(고객법인일정파일!$C$4:$C$200,태깅기획site_code!D12&amp;" ("&amp;PROPER(LEFT(태깅기획site_code!F12,FIND("_",태깅기획site_code!F12)-1))&amp;"_"&amp;UPPER(MID(태깅기획site_code!F12,FIND("_",태깅기획site_code!F12)+1,20))&amp;")")&gt;0,태깅기획site_code!D12&amp;" ("&amp;PROPER(LEFT(태깅기획site_code!F12,FIND("_",태깅기획site_code!F12)-1))&amp;"_"&amp;UPPER(MID(태깅기획site_code!F12,FIND("_",태깅기획site_code!F12)+1,20))&amp;")",IF(COUNTIF(고객법인일정파일!$C$4:$C$200,태깅기획site_code!D12)&gt;0,태깅기획site_code!D12,IF(ISNUMBER(FIND("_",태깅기획site_code!F12)),"",IFERROR(INDEX(고객법인일정파일!$C$4:$C$200,MATCH(태깅기획site_code!D12,$O$4:$O$200,0)),IF(ISNUMBER(FIND("-",태깅기획site_code!D12)),IFERROR(INDEX(고객법인일정파일!$C$4:$C$200,MATCH(LEFT(태깅기획site_code!D12,FIND("-",태깅기획site_code!D12)-1),고객법인일정파일!$C$4:$C$200,0)),""),IF(태깅기획site_code!D12="SCA",IF(RIGHT(태깅기획site_code!F12,3)="_fr",IFERROR(INDEX(고객법인일정파일!$C$4:$C$200,MATCH("SEWA (Africa_FR)",고객법인일정파일!$C$4:$C$200,0)),""),IF(RIGHT(태깅기획site_code!F12,3)="_en",IFERROR(INDEX(고객법인일정파일!$C$4:$C$200,MATCH("SEWA (Africa_EN)",고객법인일정파일!$C$4:$C$200,0)),""),"")),""))))))))</f>
        <v>XADUU</v>
      </c>
      <c r="Q12" s="11" t="str">
        <f>IF(LEN(TRIM(P12))=0,"",IFERROR(INDEX(고객법인일정파일!$E$4:$E$192,MATCH(P12,고객법인일정파일!$C$4:$C$192,0)),""))</f>
        <v>O</v>
      </c>
      <c r="R12" s="12">
        <f>IF(OR(LEN(TRIM(P12))=0,Q12="X",Q12&lt;&gt;"O"),"",IFERROR(INDEX(고객법인일정파일!$F$4:$F$192,MATCH(P12,고객법인일정파일!$C$4:$C$192,0)),""))</f>
        <v>46046</v>
      </c>
      <c r="S12" s="12">
        <f>IF(OR(LEN(TRIM(P12))=0,Q12="X",Q12&lt;&gt;"O"),"",IFERROR(INDEX(고객법인일정파일!$H$4:$H$192,MATCH(P12,고객법인일정파일!$C$4:$C$192,0)),""))</f>
        <v>46067</v>
      </c>
      <c r="U12" s="11" t="str">
        <f>IF((고객법인일정파일!C12="Total"),"",IF(COUNTIF(MASTER!$D$5:$D$192,IF(고객법인일정파일!C12="한총","SEC",고객법인일정파일!C12))&gt;0,"","사용 안됨"))</f>
        <v/>
      </c>
    </row>
    <row r="13" spans="2:21">
      <c r="B13" s="145"/>
      <c r="C13" s="183" t="s">
        <v>491</v>
      </c>
      <c r="D13" s="182" t="s">
        <v>314</v>
      </c>
      <c r="E13" s="183" t="s">
        <v>20</v>
      </c>
      <c r="F13" s="142">
        <v>46042</v>
      </c>
      <c r="G13" s="182" t="str">
        <f>"W"&amp;WEEKNUM(F14)</f>
        <v>W4</v>
      </c>
      <c r="H13" s="142">
        <v>46057</v>
      </c>
      <c r="I13" s="182" t="str">
        <f>"W"&amp;WEEKNUM(H14)</f>
        <v>W7</v>
      </c>
      <c r="J13" s="150"/>
      <c r="O13" s="11" t="str">
        <f>IF(IF(OR(NOT(ISBLANK(고객법인일정파일!B13)),ISBLANK(고객법인일정파일!C13),고객법인일정파일!C13="Total"),"",IF(ISNUMBER(FIND("-",고객법인일정파일!C13)),LEFT(고객법인일정파일!C13,FIND("-",고객법인일정파일!C13)-1),IF(ISNUMBER(FIND(" ",고객법인일정파일!C13)),LEFT(고객법인일정파일!C13,FIND(" ",고객법인일정파일!C13)-1),고객법인일정파일!C13)))="한총","sec",IF(OR(NOT(ISBLANK(고객법인일정파일!B13)),ISBLANK(고객법인일정파일!C13),고객법인일정파일!C13="Total"),"",IF(ISNUMBER(FIND("-",고객법인일정파일!C13)),LEFT(고객법인일정파일!C13,FIND("-",고객법인일정파일!C13)-1),IF(ISNUMBER(FIND(" ",고객법인일정파일!C13)),LEFT(고객법인일정파일!C13,FIND(" ",고객법인일정파일!C13)-1),고객법인일정파일!C13))))</f>
        <v>XADIB</v>
      </c>
      <c r="P13" s="11" t="str">
        <f>IF(ISBLANK(태깅기획site_code!F13),"",IF(COUNTIF(고객법인일정파일!$C$4:$C$200,태깅기획site_code!D13&amp;"-"&amp;UPPER(IF(ISNUMBER(FIND("_",태깅기획site_code!F13)),LEFT(태깅기획site_code!F13,FIND("_",태깅기획site_code!F13)-1),태깅기획site_code!F13)))&gt;0,태깅기획site_code!D13&amp;"-"&amp;UPPER(IF(ISNUMBER(FIND("_",태깅기획site_code!F13)),LEFT(태깅기획site_code!F13,FIND("_",태깅기획site_code!F13)-1),태깅기획site_code!F13)),IF(COUNTIF(고객법인일정파일!$C$4:$C$200,태깅기획site_code!D13&amp;" ("&amp;PROPER(LEFT(태깅기획site_code!F13,FIND("_",태깅기획site_code!F13)-1))&amp;"_"&amp;UPPER(MID(태깅기획site_code!F13,FIND("_",태깅기획site_code!F13)+1,20))&amp;")")&gt;0,태깅기획site_code!D13&amp;" ("&amp;PROPER(LEFT(태깅기획site_code!F13,FIND("_",태깅기획site_code!F13)-1))&amp;"_"&amp;UPPER(MID(태깅기획site_code!F13,FIND("_",태깅기획site_code!F13)+1,20))&amp;")",IF(COUNTIF(고객법인일정파일!$C$4:$C$200,태깅기획site_code!D13)&gt;0,태깅기획site_code!D13,IF(ISNUMBER(FIND("_",태깅기획site_code!F13)),"",IFERROR(INDEX(고객법인일정파일!$C$4:$C$200,MATCH(태깅기획site_code!D13,$O$4:$O$200,0)),IF(ISNUMBER(FIND("-",태깅기획site_code!D13)),IFERROR(INDEX(고객법인일정파일!$C$4:$C$200,MATCH(LEFT(태깅기획site_code!D13,FIND("-",태깅기획site_code!D13)-1),고객법인일정파일!$C$4:$C$200,0)),""),IF(태깅기획site_code!D13="SCA",IF(RIGHT(태깅기획site_code!F13,3)="_fr",IFERROR(INDEX(고객법인일정파일!$C$4:$C$200,MATCH("SEWA (Africa_FR)",고객법인일정파일!$C$4:$C$200,0)),""),IF(RIGHT(태깅기획site_code!F13,3)="_en",IFERROR(INDEX(고객법인일정파일!$C$4:$C$200,MATCH("SEWA (Africa_EN)",고객법인일정파일!$C$4:$C$200,0)),""),"")),""))))))))</f>
        <v/>
      </c>
      <c r="Q13" s="11" t="str">
        <f>IF(LEN(TRIM(P13))=0,"",IFERROR(INDEX(고객법인일정파일!$E$4:$E$192,MATCH(P13,고객법인일정파일!$C$4:$C$192,0)),""))</f>
        <v/>
      </c>
      <c r="R13" s="12" t="str">
        <f>IF(OR(LEN(TRIM(P13))=0,Q13="X",Q13&lt;&gt;"O"),"",IFERROR(INDEX(고객법인일정파일!$F$4:$F$192,MATCH(P13,고객법인일정파일!$C$4:$C$192,0)),""))</f>
        <v/>
      </c>
      <c r="S13" s="12" t="str">
        <f>IF(OR(LEN(TRIM(P13))=0,Q13="X",Q13&lt;&gt;"O"),"",IFERROR(INDEX(고객법인일정파일!$H$4:$H$192,MATCH(P13,고객법인일정파일!$C$4:$C$192,0)),""))</f>
        <v/>
      </c>
      <c r="U13" s="11" t="str">
        <f>IF((고객법인일정파일!C13="Total"),"",IF(COUNTIF(MASTER!$D$5:$D$192,IF(고객법인일정파일!C13="한총","SEC",고객법인일정파일!C13))&gt;0,"","사용 안됨"))</f>
        <v/>
      </c>
    </row>
    <row r="14" spans="2:21">
      <c r="B14" s="145"/>
      <c r="C14" s="183" t="s">
        <v>320</v>
      </c>
      <c r="D14" s="182" t="s">
        <v>314</v>
      </c>
      <c r="E14" s="183" t="s">
        <v>20</v>
      </c>
      <c r="F14" s="142">
        <v>46042</v>
      </c>
      <c r="G14" s="182" t="str">
        <f t="shared" si="0"/>
        <v>W4</v>
      </c>
      <c r="H14" s="142">
        <v>46063</v>
      </c>
      <c r="I14" s="182" t="str">
        <f t="shared" si="0"/>
        <v>W7</v>
      </c>
      <c r="J14" s="150"/>
      <c r="O14" s="11" t="str">
        <f>IF(IF(OR(NOT(ISBLANK(고객법인일정파일!B14)),ISBLANK(고객법인일정파일!C14),고객법인일정파일!C14="Total"),"",IF(ISNUMBER(FIND("-",고객법인일정파일!C14)),LEFT(고객법인일정파일!C14,FIND("-",고객법인일정파일!C14)-1),IF(ISNUMBER(FIND(" ",고객법인일정파일!C14)),LEFT(고객법인일정파일!C14,FIND(" ",고객법인일정파일!C14)-1),고객법인일정파일!C14)))="한총","sec",IF(OR(NOT(ISBLANK(고객법인일정파일!B14)),ISBLANK(고객법인일정파일!C14),고객법인일정파일!C14="Total"),"",IF(ISNUMBER(FIND("-",고객법인일정파일!C14)),LEFT(고객법인일정파일!C14,FIND("-",고객법인일정파일!C14)-1),IF(ISNUMBER(FIND(" ",고객법인일정파일!C14)),LEFT(고객법인일정파일!C14,FIND(" ",고객법인일정파일!C14)-1),고객법인일정파일!C14))))</f>
        <v>XADIB</v>
      </c>
      <c r="P14" s="11" t="str">
        <f>IF(ISBLANK(태깅기획site_code!F14),"",IF(COUNTIF(고객법인일정파일!$C$4:$C$200,태깅기획site_code!D14&amp;"-"&amp;UPPER(IF(ISNUMBER(FIND("_",태깅기획site_code!F14)),LEFT(태깅기획site_code!F14,FIND("_",태깅기획site_code!F14)-1),태깅기획site_code!F14)))&gt;0,태깅기획site_code!D14&amp;"-"&amp;UPPER(IF(ISNUMBER(FIND("_",태깅기획site_code!F14)),LEFT(태깅기획site_code!F14,FIND("_",태깅기획site_code!F14)-1),태깅기획site_code!F14)),IF(COUNTIF(고객법인일정파일!$C$4:$C$200,태깅기획site_code!D14&amp;" ("&amp;PROPER(LEFT(태깅기획site_code!F14,FIND("_",태깅기획site_code!F14)-1))&amp;"_"&amp;UPPER(MID(태깅기획site_code!F14,FIND("_",태깅기획site_code!F14)+1,20))&amp;")")&gt;0,태깅기획site_code!D14&amp;" ("&amp;PROPER(LEFT(태깅기획site_code!F14,FIND("_",태깅기획site_code!F14)-1))&amp;"_"&amp;UPPER(MID(태깅기획site_code!F14,FIND("_",태깅기획site_code!F14)+1,20))&amp;")",IF(COUNTIF(고객법인일정파일!$C$4:$C$200,태깅기획site_code!D14)&gt;0,태깅기획site_code!D14,IF(ISNUMBER(FIND("_",태깅기획site_code!F14)),"",IFERROR(INDEX(고객법인일정파일!$C$4:$C$200,MATCH(태깅기획site_code!D14,$O$4:$O$200,0)),IF(ISNUMBER(FIND("-",태깅기획site_code!D14)),IFERROR(INDEX(고객법인일정파일!$C$4:$C$200,MATCH(LEFT(태깅기획site_code!D14,FIND("-",태깅기획site_code!D14)-1),고객법인일정파일!$C$4:$C$200,0)),""),IF(태깅기획site_code!D14="SCA",IF(RIGHT(태깅기획site_code!F14,3)="_fr",IFERROR(INDEX(고객법인일정파일!$C$4:$C$200,MATCH("SEWA (Africa_FR)",고객법인일정파일!$C$4:$C$200,0)),""),IF(RIGHT(태깅기획site_code!F14,3)="_en",IFERROR(INDEX(고객법인일정파일!$C$4:$C$200,MATCH("SEWA (Africa_EN)",고객법인일정파일!$C$4:$C$200,0)),""),"")),""))))))))</f>
        <v>XADUD</v>
      </c>
      <c r="Q14" s="11" t="str">
        <f>IF(LEN(TRIM(P14))=0,"",IFERROR(INDEX(고객법인일정파일!$E$4:$E$192,MATCH(P14,고객법인일정파일!$C$4:$C$192,0)),""))</f>
        <v>X</v>
      </c>
      <c r="R14" s="12" t="str">
        <f>IF(OR(LEN(TRIM(P14))=0,Q14="X",Q14&lt;&gt;"O"),"",IFERROR(INDEX(고객법인일정파일!$F$4:$F$192,MATCH(P14,고객법인일정파일!$C$4:$C$192,0)),""))</f>
        <v/>
      </c>
      <c r="S14" s="12" t="str">
        <f>IF(OR(LEN(TRIM(P14))=0,Q14="X",Q14&lt;&gt;"O"),"",IFERROR(INDEX(고객법인일정파일!$H$4:$H$192,MATCH(P14,고객법인일정파일!$C$4:$C$192,0)),""))</f>
        <v/>
      </c>
      <c r="U14" s="11" t="str">
        <f>IF((고객법인일정파일!C14="Total"),"",IF(COUNTIF(MASTER!$D$5:$D$192,IF(고객법인일정파일!C14="한총","SEC",고객법인일정파일!C14))&gt;0,"","사용 안됨"))</f>
        <v/>
      </c>
    </row>
    <row r="15" spans="2:21">
      <c r="B15" s="145"/>
      <c r="C15" s="183" t="s">
        <v>492</v>
      </c>
      <c r="D15" s="182" t="s">
        <v>314</v>
      </c>
      <c r="E15" s="183" t="s">
        <v>20</v>
      </c>
      <c r="F15" s="142">
        <v>46050</v>
      </c>
      <c r="G15" s="182" t="str">
        <f t="shared" si="0"/>
        <v>W5</v>
      </c>
      <c r="H15" s="142">
        <v>46063</v>
      </c>
      <c r="I15" s="182" t="str">
        <f t="shared" si="0"/>
        <v>W7</v>
      </c>
      <c r="J15" s="150"/>
      <c r="O15" s="11" t="str">
        <f>IF(IF(OR(NOT(ISBLANK(고객법인일정파일!B15)),ISBLANK(고객법인일정파일!C15),고객법인일정파일!C15="Total"),"",IF(ISNUMBER(FIND("-",고객법인일정파일!C15)),LEFT(고객법인일정파일!C15,FIND("-",고객법인일정파일!C15)-1),IF(ISNUMBER(FIND(" ",고객법인일정파일!C15)),LEFT(고객법인일정파일!C15,FIND(" ",고객법인일정파일!C15)-1),고객법인일정파일!C15)))="한총","sec",IF(OR(NOT(ISBLANK(고객법인일정파일!B15)),ISBLANK(고객법인일정파일!C15),고객법인일정파일!C15="Total"),"",IF(ISNUMBER(FIND("-",고객법인일정파일!C15)),LEFT(고객법인일정파일!C15,FIND("-",고객법인일정파일!C15)-1),IF(ISNUMBER(FIND(" ",고객법인일정파일!C15)),LEFT(고객법인일정파일!C15,FIND(" ",고객법인일정파일!C15)-1),고객법인일정파일!C15))))</f>
        <v>XADBN</v>
      </c>
      <c r="P15" s="11" t="str">
        <f>IF(ISBLANK(태깅기획site_code!F15),"",IF(COUNTIF(고객법인일정파일!$C$4:$C$200,태깅기획site_code!D15&amp;"-"&amp;UPPER(IF(ISNUMBER(FIND("_",태깅기획site_code!F15)),LEFT(태깅기획site_code!F15,FIND("_",태깅기획site_code!F15)-1),태깅기획site_code!F15)))&gt;0,태깅기획site_code!D15&amp;"-"&amp;UPPER(IF(ISNUMBER(FIND("_",태깅기획site_code!F15)),LEFT(태깅기획site_code!F15,FIND("_",태깅기획site_code!F15)-1),태깅기획site_code!F15)),IF(COUNTIF(고객법인일정파일!$C$4:$C$200,태깅기획site_code!D15&amp;" ("&amp;PROPER(LEFT(태깅기획site_code!F15,FIND("_",태깅기획site_code!F15)-1))&amp;"_"&amp;UPPER(MID(태깅기획site_code!F15,FIND("_",태깅기획site_code!F15)+1,20))&amp;")")&gt;0,태깅기획site_code!D15&amp;" ("&amp;PROPER(LEFT(태깅기획site_code!F15,FIND("_",태깅기획site_code!F15)-1))&amp;"_"&amp;UPPER(MID(태깅기획site_code!F15,FIND("_",태깅기획site_code!F15)+1,20))&amp;")",IF(COUNTIF(고객법인일정파일!$C$4:$C$200,태깅기획site_code!D15)&gt;0,태깅기획site_code!D15,IF(ISNUMBER(FIND("_",태깅기획site_code!F15)),"",IFERROR(INDEX(고객법인일정파일!$C$4:$C$200,MATCH(태깅기획site_code!D15,$O$4:$O$200,0)),IF(ISNUMBER(FIND("-",태깅기획site_code!D15)),IFERROR(INDEX(고객법인일정파일!$C$4:$C$200,MATCH(LEFT(태깅기획site_code!D15,FIND("-",태깅기획site_code!D15)-1),고객법인일정파일!$C$4:$C$200,0)),""),IF(태깅기획site_code!D15="SCA",IF(RIGHT(태깅기획site_code!F15,3)="_fr",IFERROR(INDEX(고객법인일정파일!$C$4:$C$200,MATCH("SEWA (Africa_FR)",고객법인일정파일!$C$4:$C$200,0)),""),IF(RIGHT(태깅기획site_code!F15,3)="_en",IFERROR(INDEX(고객법인일정파일!$C$4:$C$200,MATCH("SEWA (Africa_EN)",고객법인일정파일!$C$4:$C$200,0)),""),"")),""))))))))</f>
        <v>XIADL</v>
      </c>
      <c r="Q15" s="11" t="str">
        <f>IF(LEN(TRIM(P15))=0,"",IFERROR(INDEX(고객법인일정파일!$E$4:$E$192,MATCH(P15,고객법인일정파일!$C$4:$C$192,0)),""))</f>
        <v>O</v>
      </c>
      <c r="R15" s="12">
        <f>IF(OR(LEN(TRIM(P15))=0,Q15="X",Q15&lt;&gt;"O"),"",IFERROR(INDEX(고객법인일정파일!$F$4:$F$192,MATCH(P15,고객법인일정파일!$C$4:$C$192,0)),""))</f>
        <v>46038</v>
      </c>
      <c r="S15" s="12">
        <f>IF(OR(LEN(TRIM(P15))=0,Q15="X",Q15&lt;&gt;"O"),"",IFERROR(INDEX(고객법인일정파일!$H$4:$H$192,MATCH(P15,고객법인일정파일!$C$4:$C$192,0)),""))</f>
        <v>46044</v>
      </c>
      <c r="U15" s="11" t="str">
        <f>IF((고객법인일정파일!C15="Total"),"",IF(COUNTIF(MASTER!$D$5:$D$192,IF(고객법인일정파일!C15="한총","SEC",고객법인일정파일!C15))&gt;0,"","사용 안됨"))</f>
        <v/>
      </c>
    </row>
    <row r="16" spans="2:21">
      <c r="B16" s="145"/>
      <c r="C16" s="183" t="s">
        <v>321</v>
      </c>
      <c r="D16" s="182" t="s">
        <v>314</v>
      </c>
      <c r="E16" s="183" t="s">
        <v>20</v>
      </c>
      <c r="F16" s="142">
        <v>46050</v>
      </c>
      <c r="G16" s="182" t="str">
        <f t="shared" si="0"/>
        <v>W5</v>
      </c>
      <c r="H16" s="142">
        <v>46063</v>
      </c>
      <c r="I16" s="182" t="str">
        <f t="shared" si="0"/>
        <v>W7</v>
      </c>
      <c r="J16" s="150"/>
      <c r="O16" s="11" t="str">
        <f>IF(IF(OR(NOT(ISBLANK(고객법인일정파일!B16)),ISBLANK(고객법인일정파일!C16),고객법인일정파일!C16="Total"),"",IF(ISNUMBER(FIND("-",고객법인일정파일!C16)),LEFT(고객법인일정파일!C16,FIND("-",고객법인일정파일!C16)-1),IF(ISNUMBER(FIND(" ",고객법인일정파일!C16)),LEFT(고객법인일정파일!C16,FIND(" ",고객법인일정파일!C16)-1),고객법인일정파일!C16)))="한총","sec",IF(OR(NOT(ISBLANK(고객법인일정파일!B16)),ISBLANK(고객법인일정파일!C16),고객법인일정파일!C16="Total"),"",IF(ISNUMBER(FIND("-",고객법인일정파일!C16)),LEFT(고객법인일정파일!C16,FIND("-",고객법인일정파일!C16)-1),IF(ISNUMBER(FIND(" ",고객법인일정파일!C16)),LEFT(고객법인일정파일!C16,FIND(" ",고객법인일정파일!C16)-1),고객법인일정파일!C16))))</f>
        <v>XADBN</v>
      </c>
      <c r="P16" s="11" t="str">
        <f>IF(ISBLANK(태깅기획site_code!F16),"",IF(COUNTIF(고객법인일정파일!$C$4:$C$200,태깅기획site_code!D16&amp;"-"&amp;UPPER(IF(ISNUMBER(FIND("_",태깅기획site_code!F16)),LEFT(태깅기획site_code!F16,FIND("_",태깅기획site_code!F16)-1),태깅기획site_code!F16)))&gt;0,태깅기획site_code!D16&amp;"-"&amp;UPPER(IF(ISNUMBER(FIND("_",태깅기획site_code!F16)),LEFT(태깅기획site_code!F16,FIND("_",태깅기획site_code!F16)-1),태깅기획site_code!F16)),IF(COUNTIF(고객법인일정파일!$C$4:$C$200,태깅기획site_code!D16&amp;" ("&amp;PROPER(LEFT(태깅기획site_code!F16,FIND("_",태깅기획site_code!F16)-1))&amp;"_"&amp;UPPER(MID(태깅기획site_code!F16,FIND("_",태깅기획site_code!F16)+1,20))&amp;")")&gt;0,태깅기획site_code!D16&amp;" ("&amp;PROPER(LEFT(태깅기획site_code!F16,FIND("_",태깅기획site_code!F16)-1))&amp;"_"&amp;UPPER(MID(태깅기획site_code!F16,FIND("_",태깅기획site_code!F16)+1,20))&amp;")",IF(COUNTIF(고객법인일정파일!$C$4:$C$200,태깅기획site_code!D16)&gt;0,태깅기획site_code!D16,IF(ISNUMBER(FIND("_",태깅기획site_code!F16)),"",IFERROR(INDEX(고객법인일정파일!$C$4:$C$200,MATCH(태깅기획site_code!D16,$O$4:$O$200,0)),IF(ISNUMBER(FIND("-",태깅기획site_code!D16)),IFERROR(INDEX(고객법인일정파일!$C$4:$C$200,MATCH(LEFT(태깅기획site_code!D16,FIND("-",태깅기획site_code!D16)-1),고객법인일정파일!$C$4:$C$200,0)),""),IF(태깅기획site_code!D16="SCA",IF(RIGHT(태깅기획site_code!F16,3)="_fr",IFERROR(INDEX(고객법인일정파일!$C$4:$C$200,MATCH("SEWA (Africa_FR)",고객법인일정파일!$C$4:$C$200,0)),""),IF(RIGHT(태깅기획site_code!F16,3)="_en",IFERROR(INDEX(고객법인일정파일!$C$4:$C$200,MATCH("SEWA (Africa_EN)",고객법인일정파일!$C$4:$C$200,0)),""),"")),""))))))))</f>
        <v>XADBN-BE</v>
      </c>
      <c r="Q16" s="11" t="str">
        <f>IF(LEN(TRIM(P16))=0,"",IFERROR(INDEX(고객법인일정파일!$E$4:$E$192,MATCH(P16,고객법인일정파일!$C$4:$C$192,0)),""))</f>
        <v>O</v>
      </c>
      <c r="R16" s="12">
        <f>IF(OR(LEN(TRIM(P16))=0,Q16="X",Q16&lt;&gt;"O"),"",IFERROR(INDEX(고객법인일정파일!$F$4:$F$192,MATCH(P16,고객법인일정파일!$C$4:$C$192,0)),""))</f>
        <v>46050</v>
      </c>
      <c r="S16" s="12">
        <f>IF(OR(LEN(TRIM(P16))=0,Q16="X",Q16&lt;&gt;"O"),"",IFERROR(INDEX(고객법인일정파일!$H$4:$H$192,MATCH(P16,고객법인일정파일!$C$4:$C$192,0)),""))</f>
        <v>46063</v>
      </c>
      <c r="U16" s="11" t="str">
        <f>IF((고객법인일정파일!C16="Total"),"",IF(COUNTIF(MASTER!$D$5:$D$192,IF(고객법인일정파일!C16="한총","SEC",고객법인일정파일!C16))&gt;0,"","사용 안됨"))</f>
        <v/>
      </c>
    </row>
    <row r="17" spans="2:21">
      <c r="B17" s="145"/>
      <c r="C17" s="183" t="s">
        <v>322</v>
      </c>
      <c r="D17" s="182" t="s">
        <v>314</v>
      </c>
      <c r="E17" s="183" t="s">
        <v>73</v>
      </c>
      <c r="F17" s="142"/>
      <c r="G17" s="182" t="str">
        <f>"W"&amp;WEEKNUM(F16)</f>
        <v>W5</v>
      </c>
      <c r="H17" s="142"/>
      <c r="I17" s="182" t="str">
        <f>"W"&amp;WEEKNUM(H16)</f>
        <v>W7</v>
      </c>
      <c r="J17" s="151" t="str">
        <f>"Note1-test "&amp;C16</f>
        <v>Note1-test XADBN-NL</v>
      </c>
      <c r="O17" s="11" t="str">
        <f>IF(IF(OR(NOT(ISBLANK(고객법인일정파일!B17)),ISBLANK(고객법인일정파일!C17),고객법인일정파일!C17="Total"),"",IF(ISNUMBER(FIND("-",고객법인일정파일!C17)),LEFT(고객법인일정파일!C17,FIND("-",고객법인일정파일!C17)-1),IF(ISNUMBER(FIND(" ",고객법인일정파일!C17)),LEFT(고객법인일정파일!C17,FIND(" ",고객법인일정파일!C17)-1),고객법인일정파일!C17)))="한총","sec",IF(OR(NOT(ISBLANK(고객법인일정파일!B17)),ISBLANK(고객법인일정파일!C17),고객법인일정파일!C17="Total"),"",IF(ISNUMBER(FIND("-",고객법인일정파일!C17)),LEFT(고객법인일정파일!C17,FIND("-",고객법인일정파일!C17)-1),IF(ISNUMBER(FIND(" ",고객법인일정파일!C17)),LEFT(고객법인일정파일!C17,FIND(" ",고객법인일정파일!C17)-1),고객법인일정파일!C17))))</f>
        <v>XADNU</v>
      </c>
      <c r="P17" s="11" t="str">
        <f>IF(ISBLANK(태깅기획site_code!F17),"",IF(COUNTIF(고객법인일정파일!$C$4:$C$200,태깅기획site_code!D17&amp;"-"&amp;UPPER(IF(ISNUMBER(FIND("_",태깅기획site_code!F17)),LEFT(태깅기획site_code!F17,FIND("_",태깅기획site_code!F17)-1),태깅기획site_code!F17)))&gt;0,태깅기획site_code!D17&amp;"-"&amp;UPPER(IF(ISNUMBER(FIND("_",태깅기획site_code!F17)),LEFT(태깅기획site_code!F17,FIND("_",태깅기획site_code!F17)-1),태깅기획site_code!F17)),IF(COUNTIF(고객법인일정파일!$C$4:$C$200,태깅기획site_code!D17&amp;" ("&amp;PROPER(LEFT(태깅기획site_code!F17,FIND("_",태깅기획site_code!F17)-1))&amp;"_"&amp;UPPER(MID(태깅기획site_code!F17,FIND("_",태깅기획site_code!F17)+1,20))&amp;")")&gt;0,태깅기획site_code!D17&amp;" ("&amp;PROPER(LEFT(태깅기획site_code!F17,FIND("_",태깅기획site_code!F17)-1))&amp;"_"&amp;UPPER(MID(태깅기획site_code!F17,FIND("_",태깅기획site_code!F17)+1,20))&amp;")",IF(COUNTIF(고객법인일정파일!$C$4:$C$200,태깅기획site_code!D17)&gt;0,태깅기획site_code!D17,IF(ISNUMBER(FIND("_",태깅기획site_code!F17)),"",IFERROR(INDEX(고객법인일정파일!$C$4:$C$200,MATCH(태깅기획site_code!D17,$O$4:$O$200,0)),IF(ISNUMBER(FIND("-",태깅기획site_code!D17)),IFERROR(INDEX(고객법인일정파일!$C$4:$C$200,MATCH(LEFT(태깅기획site_code!D17,FIND("-",태깅기획site_code!D17)-1),고객법인일정파일!$C$4:$C$200,0)),""),IF(태깅기획site_code!D17="SCA",IF(RIGHT(태깅기획site_code!F17,3)="_fr",IFERROR(INDEX(고객법인일정파일!$C$4:$C$200,MATCH("SEWA (Africa_FR)",고객법인일정파일!$C$4:$C$200,0)),""),IF(RIGHT(태깅기획site_code!F17,3)="_en",IFERROR(INDEX(고객법인일정파일!$C$4:$C$200,MATCH("SEWA (Africa_EN)",고객법인일정파일!$C$4:$C$200,0)),""),"")),""))))))))</f>
        <v>XADBN-BE</v>
      </c>
      <c r="Q17" s="11" t="str">
        <f>IF(LEN(TRIM(P17))=0,"",IFERROR(INDEX(고객법인일정파일!$E$4:$E$192,MATCH(P17,고객법인일정파일!$C$4:$C$192,0)),""))</f>
        <v>O</v>
      </c>
      <c r="R17" s="12">
        <f>IF(OR(LEN(TRIM(P17))=0,Q17="X",Q17&lt;&gt;"O"),"",IFERROR(INDEX(고객법인일정파일!$F$4:$F$192,MATCH(P17,고객법인일정파일!$C$4:$C$192,0)),""))</f>
        <v>46050</v>
      </c>
      <c r="S17" s="12">
        <f>IF(OR(LEN(TRIM(P17))=0,Q17="X",Q17&lt;&gt;"O"),"",IFERROR(INDEX(고객법인일정파일!$H$4:$H$192,MATCH(P17,고객법인일정파일!$C$4:$C$192,0)),""))</f>
        <v>46063</v>
      </c>
      <c r="U17" s="11" t="str">
        <f>IF((고객법인일정파일!C17="Total"),"",IF(COUNTIF(MASTER!$D$5:$D$192,IF(고객법인일정파일!C17="한총","SEC",고객법인일정파일!C17))&gt;0,"","사용 안됨"))</f>
        <v/>
      </c>
    </row>
    <row r="18" spans="2:21">
      <c r="B18" s="145"/>
      <c r="C18" s="183" t="s">
        <v>323</v>
      </c>
      <c r="D18" s="182" t="s">
        <v>314</v>
      </c>
      <c r="E18" s="183" t="s">
        <v>20</v>
      </c>
      <c r="F18" s="142">
        <v>46113</v>
      </c>
      <c r="G18" s="182" t="str">
        <f t="shared" si="0"/>
        <v>W14</v>
      </c>
      <c r="H18" s="143">
        <v>46122</v>
      </c>
      <c r="I18" s="182" t="str">
        <f t="shared" si="0"/>
        <v>W15</v>
      </c>
      <c r="J18" s="151" t="str">
        <f>"Note1-test "&amp;C18</f>
        <v>Note1-test XADROM</v>
      </c>
      <c r="O18" s="11" t="str">
        <f>IF(IF(OR(NOT(ISBLANK(고객법인일정파일!B18)),ISBLANK(고객법인일정파일!C18),고객법인일정파일!C18="Total"),"",IF(ISNUMBER(FIND("-",고객법인일정파일!C18)),LEFT(고객법인일정파일!C18,FIND("-",고객법인일정파일!C18)-1),IF(ISNUMBER(FIND(" ",고객법인일정파일!C18)),LEFT(고객법인일정파일!C18,FIND(" ",고객법인일정파일!C18)-1),고객법인일정파일!C18)))="한총","sec",IF(OR(NOT(ISBLANK(고객법인일정파일!B18)),ISBLANK(고객법인일정파일!C18),고객법인일정파일!C18="Total"),"",IF(ISNUMBER(FIND("-",고객법인일정파일!C18)),LEFT(고객법인일정파일!C18,FIND("-",고객법인일정파일!C18)-1),IF(ISNUMBER(FIND(" ",고객법인일정파일!C18)),LEFT(고객법인일정파일!C18,FIND(" ",고객법인일정파일!C18)-1),고객법인일정파일!C18))))</f>
        <v>XADROM</v>
      </c>
      <c r="P18" s="11" t="str">
        <f>IF(ISBLANK(태깅기획site_code!F18),"",IF(COUNTIF(고객법인일정파일!$C$4:$C$200,태깅기획site_code!D18&amp;"-"&amp;UPPER(IF(ISNUMBER(FIND("_",태깅기획site_code!F18)),LEFT(태깅기획site_code!F18,FIND("_",태깅기획site_code!F18)-1),태깅기획site_code!F18)))&gt;0,태깅기획site_code!D18&amp;"-"&amp;UPPER(IF(ISNUMBER(FIND("_",태깅기획site_code!F18)),LEFT(태깅기획site_code!F18,FIND("_",태깅기획site_code!F18)-1),태깅기획site_code!F18)),IF(COUNTIF(고객법인일정파일!$C$4:$C$200,태깅기획site_code!D18&amp;" ("&amp;PROPER(LEFT(태깅기획site_code!F18,FIND("_",태깅기획site_code!F18)-1))&amp;"_"&amp;UPPER(MID(태깅기획site_code!F18,FIND("_",태깅기획site_code!F18)+1,20))&amp;")")&gt;0,태깅기획site_code!D18&amp;" ("&amp;PROPER(LEFT(태깅기획site_code!F18,FIND("_",태깅기획site_code!F18)-1))&amp;"_"&amp;UPPER(MID(태깅기획site_code!F18,FIND("_",태깅기획site_code!F18)+1,20))&amp;")",IF(COUNTIF(고객법인일정파일!$C$4:$C$200,태깅기획site_code!D18)&gt;0,태깅기획site_code!D18,IF(ISNUMBER(FIND("_",태깅기획site_code!F18)),"",IFERROR(INDEX(고객법인일정파일!$C$4:$C$200,MATCH(태깅기획site_code!D18,$O$4:$O$200,0)),IF(ISNUMBER(FIND("-",태깅기획site_code!D18)),IFERROR(INDEX(고객법인일정파일!$C$4:$C$200,MATCH(LEFT(태깅기획site_code!D18,FIND("-",태깅기획site_code!D18)-1),고객법인일정파일!$C$4:$C$200,0)),""),IF(태깅기획site_code!D18="SCA",IF(RIGHT(태깅기획site_code!F18,3)="_fr",IFERROR(INDEX(고객법인일정파일!$C$4:$C$200,MATCH("SEWA (Africa_FR)",고객법인일정파일!$C$4:$C$200,0)),""),IF(RIGHT(태깅기획site_code!F18,3)="_en",IFERROR(INDEX(고객법인일정파일!$C$4:$C$200,MATCH("SEWA (Africa_EN)",고객법인일정파일!$C$4:$C$200,0)),""),"")),""))))))))</f>
        <v>XADROM</v>
      </c>
      <c r="Q18" s="11" t="str">
        <f>IF(LEN(TRIM(P18))=0,"",IFERROR(INDEX(고객법인일정파일!$E$4:$E$192,MATCH(P18,고객법인일정파일!$C$4:$C$192,0)),""))</f>
        <v>O</v>
      </c>
      <c r="R18" s="12">
        <f>IF(OR(LEN(TRIM(P18))=0,Q18="X",Q18&lt;&gt;"O"),"",IFERROR(INDEX(고객법인일정파일!$F$4:$F$192,MATCH(P18,고객법인일정파일!$C$4:$C$192,0)),""))</f>
        <v>46113</v>
      </c>
      <c r="S18" s="12">
        <f>IF(OR(LEN(TRIM(P18))=0,Q18="X",Q18&lt;&gt;"O"),"",IFERROR(INDEX(고객법인일정파일!$H$4:$H$192,MATCH(P18,고객법인일정파일!$C$4:$C$192,0)),""))</f>
        <v>46122</v>
      </c>
      <c r="U18" s="11" t="str">
        <f>IF((고객법인일정파일!C18="Total"),"",IF(COUNTIF(MASTER!$D$5:$D$192,IF(고객법인일정파일!C18="한총","SEC",고객법인일정파일!C18))&gt;0,"","사용 안됨"))</f>
        <v/>
      </c>
    </row>
    <row r="19" spans="2:21">
      <c r="B19" s="145"/>
      <c r="C19" s="183" t="s">
        <v>324</v>
      </c>
      <c r="D19" s="182" t="s">
        <v>314</v>
      </c>
      <c r="E19" s="183" t="s">
        <v>20</v>
      </c>
      <c r="F19" s="142">
        <v>46054</v>
      </c>
      <c r="G19" s="182" t="str">
        <f t="shared" si="0"/>
        <v>W6</v>
      </c>
      <c r="H19" s="142">
        <v>46063</v>
      </c>
      <c r="I19" s="182" t="str">
        <f t="shared" si="0"/>
        <v>W7</v>
      </c>
      <c r="J19" s="150"/>
      <c r="O19" s="11" t="str">
        <f>IF(IF(OR(NOT(ISBLANK(고객법인일정파일!B19)),ISBLANK(고객법인일정파일!C19),고객법인일정파일!C19="Total"),"",IF(ISNUMBER(FIND("-",고객법인일정파일!C19)),LEFT(고객법인일정파일!C19,FIND("-",고객법인일정파일!C19)-1),IF(ISNUMBER(FIND(" ",고객법인일정파일!C19)),LEFT(고객법인일정파일!C19,FIND(" ",고객법인일정파일!C19)-1),고객법인일정파일!C19)))="한총","sec",IF(OR(NOT(ISBLANK(고객법인일정파일!B19)),ISBLANK(고객법인일정파일!C19),고객법인일정파일!C19="Total"),"",IF(ISNUMBER(FIND("-",고객법인일정파일!C19)),LEFT(고객법인일정파일!C19,FIND("-",고객법인일정파일!C19)-1),IF(ISNUMBER(FIND(" ",고객법인일정파일!C19)),LEFT(고객법인일정파일!C19,FIND(" ",고객법인일정파일!C19)-1),고객법인일정파일!C19))))</f>
        <v>XADCZ</v>
      </c>
      <c r="P19" s="11" t="str">
        <f>IF(ISBLANK(태깅기획site_code!F19),"",IF(COUNTIF(고객법인일정파일!$C$4:$C$200,태깅기획site_code!D19&amp;"-"&amp;UPPER(IF(ISNUMBER(FIND("_",태깅기획site_code!F19)),LEFT(태깅기획site_code!F19,FIND("_",태깅기획site_code!F19)-1),태깅기획site_code!F19)))&gt;0,태깅기획site_code!D19&amp;"-"&amp;UPPER(IF(ISNUMBER(FIND("_",태깅기획site_code!F19)),LEFT(태깅기획site_code!F19,FIND("_",태깅기획site_code!F19)-1),태깅기획site_code!F19)),IF(COUNTIF(고객법인일정파일!$C$4:$C$200,태깅기획site_code!D19&amp;" ("&amp;PROPER(LEFT(태깅기획site_code!F19,FIND("_",태깅기획site_code!F19)-1))&amp;"_"&amp;UPPER(MID(태깅기획site_code!F19,FIND("_",태깅기획site_code!F19)+1,20))&amp;")")&gt;0,태깅기획site_code!D19&amp;" ("&amp;PROPER(LEFT(태깅기획site_code!F19,FIND("_",태깅기획site_code!F19)-1))&amp;"_"&amp;UPPER(MID(태깅기획site_code!F19,FIND("_",태깅기획site_code!F19)+1,20))&amp;")",IF(COUNTIF(고객법인일정파일!$C$4:$C$200,태깅기획site_code!D19)&gt;0,태깅기획site_code!D19,IF(ISNUMBER(FIND("_",태깅기획site_code!F19)),"",IFERROR(INDEX(고객법인일정파일!$C$4:$C$200,MATCH(태깅기획site_code!D19,$O$4:$O$200,0)),IF(ISNUMBER(FIND("-",태깅기획site_code!D19)),IFERROR(INDEX(고객법인일정파일!$C$4:$C$200,MATCH(LEFT(태깅기획site_code!D19,FIND("-",태깅기획site_code!D19)-1),고객법인일정파일!$C$4:$C$200,0)),""),IF(태깅기획site_code!D19="SCA",IF(RIGHT(태깅기획site_code!F19,3)="_fr",IFERROR(INDEX(고객법인일정파일!$C$4:$C$200,MATCH("SEWA (Africa_FR)",고객법인일정파일!$C$4:$C$200,0)),""),IF(RIGHT(태깅기획site_code!F19,3)="_en",IFERROR(INDEX(고객법인일정파일!$C$4:$C$200,MATCH("SEWA (Africa_EN)",고객법인일정파일!$C$4:$C$200,0)),""),"")),""))))))))</f>
        <v>XADDU</v>
      </c>
      <c r="Q19" s="11" t="str">
        <f>IF(LEN(TRIM(P19))=0,"",IFERROR(INDEX(고객법인일정파일!$E$4:$E$192,MATCH(P19,고객법인일정파일!$C$4:$C$192,0)),""))</f>
        <v>O</v>
      </c>
      <c r="R19" s="12">
        <f>IF(OR(LEN(TRIM(P19))=0,Q19="X",Q19&lt;&gt;"O"),"",IFERROR(INDEX(고객법인일정파일!$F$4:$F$192,MATCH(P19,고객법인일정파일!$C$4:$C$192,0)),""))</f>
        <v>46042</v>
      </c>
      <c r="S19" s="12">
        <f>IF(OR(LEN(TRIM(P19))=0,Q19="X",Q19&lt;&gt;"O"),"",IFERROR(INDEX(고객법인일정파일!$H$4:$H$192,MATCH(P19,고객법인일정파일!$C$4:$C$192,0)),""))</f>
        <v>46063</v>
      </c>
      <c r="U19" s="11" t="str">
        <f>IF((고객법인일정파일!C19="Total"),"",IF(COUNTIF(MASTER!$D$5:$D$192,IF(고객법인일정파일!C19="한총","SEC",고객법인일정파일!C19))&gt;0,"","사용 안됨"))</f>
        <v/>
      </c>
    </row>
    <row r="20" spans="2:21">
      <c r="B20" s="145"/>
      <c r="C20" s="183" t="s">
        <v>325</v>
      </c>
      <c r="D20" s="182" t="s">
        <v>314</v>
      </c>
      <c r="E20" s="183"/>
      <c r="F20" s="142"/>
      <c r="G20" s="182" t="str">
        <f t="shared" si="0"/>
        <v>W0</v>
      </c>
      <c r="H20" s="142"/>
      <c r="I20" s="182" t="str">
        <f t="shared" si="0"/>
        <v>W0</v>
      </c>
      <c r="J20" s="150"/>
      <c r="O20" s="11" t="str">
        <f>IF(IF(OR(NOT(ISBLANK(고객법인일정파일!B20)),ISBLANK(고객법인일정파일!C20),고객법인일정파일!C20="Total"),"",IF(ISNUMBER(FIND("-",고객법인일정파일!C20)),LEFT(고객법인일정파일!C20,FIND("-",고객법인일정파일!C20)-1),IF(ISNUMBER(FIND(" ",고객법인일정파일!C20)),LEFT(고객법인일정파일!C20,FIND(" ",고객법인일정파일!C20)-1),고객법인일정파일!C20)))="한총","sec",IF(OR(NOT(ISBLANK(고객법인일정파일!B20)),ISBLANK(고객법인일정파일!C20),고객법인일정파일!C20="Total"),"",IF(ISNUMBER(FIND("-",고객법인일정파일!C20)),LEFT(고객법인일정파일!C20,FIND("-",고객법인일정파일!C20)-1),IF(ISNUMBER(FIND(" ",고객법인일정파일!C20)),LEFT(고객법인일정파일!C20,FIND(" ",고객법인일정파일!C20)-1),고객법인일정파일!C20))))</f>
        <v>XADPOL</v>
      </c>
      <c r="P20" s="11" t="str">
        <f>IF(ISBLANK(태깅기획site_code!F20),"",IF(COUNTIF(고객법인일정파일!$C$4:$C$200,태깅기획site_code!D20&amp;"-"&amp;UPPER(IF(ISNUMBER(FIND("_",태깅기획site_code!F20)),LEFT(태깅기획site_code!F20,FIND("_",태깅기획site_code!F20)-1),태깅기획site_code!F20)))&gt;0,태깅기획site_code!D20&amp;"-"&amp;UPPER(IF(ISNUMBER(FIND("_",태깅기획site_code!F20)),LEFT(태깅기획site_code!F20,FIND("_",태깅기획site_code!F20)-1),태깅기획site_code!F20)),IF(COUNTIF(고객법인일정파일!$C$4:$C$200,태깅기획site_code!D20&amp;" ("&amp;PROPER(LEFT(태깅기획site_code!F20,FIND("_",태깅기획site_code!F20)-1))&amp;"_"&amp;UPPER(MID(태깅기획site_code!F20,FIND("_",태깅기획site_code!F20)+1,20))&amp;")")&gt;0,태깅기획site_code!D20&amp;" ("&amp;PROPER(LEFT(태깅기획site_code!F20,FIND("_",태깅기획site_code!F20)-1))&amp;"_"&amp;UPPER(MID(태깅기획site_code!F20,FIND("_",태깅기획site_code!F20)+1,20))&amp;")",IF(COUNTIF(고객법인일정파일!$C$4:$C$200,태깅기획site_code!D20)&gt;0,태깅기획site_code!D20,IF(ISNUMBER(FIND("_",태깅기획site_code!F20)),"",IFERROR(INDEX(고객법인일정파일!$C$4:$C$200,MATCH(태깅기획site_code!D20,$O$4:$O$200,0)),IF(ISNUMBER(FIND("-",태깅기획site_code!D20)),IFERROR(INDEX(고객법인일정파일!$C$4:$C$200,MATCH(LEFT(태깅기획site_code!D20,FIND("-",태깅기획site_code!D20)-1),고객법인일정파일!$C$4:$C$200,0)),""),IF(태깅기획site_code!D20="SCA",IF(RIGHT(태깅기획site_code!F20,3)="_fr",IFERROR(INDEX(고객법인일정파일!$C$4:$C$200,MATCH("SEWA (Africa_FR)",고객법인일정파일!$C$4:$C$200,0)),""),IF(RIGHT(태깅기획site_code!F20,3)="_en",IFERROR(INDEX(고객법인일정파일!$C$4:$C$200,MATCH("SEWA (Africa_EN)",고객법인일정파일!$C$4:$C$200,0)),""),"")),""))))))))</f>
        <v>XADCU</v>
      </c>
      <c r="Q20" s="11" t="str">
        <f>IF(LEN(TRIM(P20))=0,"",IFERROR(INDEX(고객법인일정파일!$E$4:$E$192,MATCH(P20,고객법인일정파일!$C$4:$C$192,0)),""))</f>
        <v>O</v>
      </c>
      <c r="R20" s="12">
        <f>IF(OR(LEN(TRIM(P20))=0,Q20="X",Q20&lt;&gt;"O"),"",IFERROR(INDEX(고객법인일정파일!$F$4:$F$192,MATCH(P20,고객법인일정파일!$C$4:$C$192,0)),""))</f>
        <v>46043</v>
      </c>
      <c r="S20" s="12">
        <f>IF(OR(LEN(TRIM(P20))=0,Q20="X",Q20&lt;&gt;"O"),"",IFERROR(INDEX(고객법인일정파일!$H$4:$H$192,MATCH(P20,고객법인일정파일!$C$4:$C$192,0)),""))</f>
        <v>46063</v>
      </c>
      <c r="U20" s="11" t="str">
        <f>IF((고객법인일정파일!C20="Total"),"",IF(COUNTIF(MASTER!$D$5:$D$192,IF(고객법인일정파일!C20="한총","SEC",고객법인일정파일!C20))&gt;0,"","사용 안됨"))</f>
        <v/>
      </c>
    </row>
    <row r="21" spans="2:21">
      <c r="B21" s="145"/>
      <c r="C21" s="183" t="s">
        <v>326</v>
      </c>
      <c r="D21" s="182" t="s">
        <v>314</v>
      </c>
      <c r="E21" s="182" t="s">
        <v>20</v>
      </c>
      <c r="F21" s="142">
        <v>46042</v>
      </c>
      <c r="G21" s="182" t="str">
        <f t="shared" si="0"/>
        <v>W4</v>
      </c>
      <c r="H21" s="143">
        <v>46064</v>
      </c>
      <c r="I21" s="182" t="str">
        <f t="shared" si="0"/>
        <v>W7</v>
      </c>
      <c r="J21" s="151" t="str">
        <f>"Note1-test "&amp;C21</f>
        <v>Note1-test XADUX-UT</v>
      </c>
      <c r="O21" s="11" t="str">
        <f>IF(IF(OR(NOT(ISBLANK(고객법인일정파일!B21)),ISBLANK(고객법인일정파일!C21),고객법인일정파일!C21="Total"),"",IF(ISNUMBER(FIND("-",고객법인일정파일!C21)),LEFT(고객법인일정파일!C21,FIND("-",고객법인일정파일!C21)-1),IF(ISNUMBER(FIND(" ",고객법인일정파일!C21)),LEFT(고객법인일정파일!C21,FIND(" ",고객법인일정파일!C21)-1),고객법인일정파일!C21)))="한총","sec",IF(OR(NOT(ISBLANK(고객법인일정파일!B21)),ISBLANK(고객법인일정파일!C21),고객법인일정파일!C21="Total"),"",IF(ISNUMBER(FIND("-",고객법인일정파일!C21)),LEFT(고객법인일정파일!C21,FIND("-",고객법인일정파일!C21)-1),IF(ISNUMBER(FIND(" ",고객법인일정파일!C21)),LEFT(고객법인일정파일!C21,FIND(" ",고객법인일정파일!C21)-1),고객법인일정파일!C21))))</f>
        <v>XADUX</v>
      </c>
      <c r="P21" s="11" t="str">
        <f>IF(ISBLANK(태깅기획site_code!F21),"",IF(COUNTIF(고객법인일정파일!$C$4:$C$200,태깅기획site_code!D21&amp;"-"&amp;UPPER(IF(ISNUMBER(FIND("_",태깅기획site_code!F21)),LEFT(태깅기획site_code!F21,FIND("_",태깅기획site_code!F21)-1),태깅기획site_code!F21)))&gt;0,태깅기획site_code!D21&amp;"-"&amp;UPPER(IF(ISNUMBER(FIND("_",태깅기획site_code!F21)),LEFT(태깅기획site_code!F21,FIND("_",태깅기획site_code!F21)-1),태깅기획site_code!F21)),IF(COUNTIF(고객법인일정파일!$C$4:$C$200,태깅기획site_code!D21&amp;" ("&amp;PROPER(LEFT(태깅기획site_code!F21,FIND("_",태깅기획site_code!F21)-1))&amp;"_"&amp;UPPER(MID(태깅기획site_code!F21,FIND("_",태깅기획site_code!F21)+1,20))&amp;")")&gt;0,태깅기획site_code!D21&amp;" ("&amp;PROPER(LEFT(태깅기획site_code!F21,FIND("_",태깅기획site_code!F21)-1))&amp;"_"&amp;UPPER(MID(태깅기획site_code!F21,FIND("_",태깅기획site_code!F21)+1,20))&amp;")",IF(COUNTIF(고객법인일정파일!$C$4:$C$200,태깅기획site_code!D21)&gt;0,태깅기획site_code!D21,IF(ISNUMBER(FIND("_",태깅기획site_code!F21)),"",IFERROR(INDEX(고객법인일정파일!$C$4:$C$200,MATCH(태깅기획site_code!D21,$O$4:$O$200,0)),IF(ISNUMBER(FIND("-",태깅기획site_code!D21)),IFERROR(INDEX(고객법인일정파일!$C$4:$C$200,MATCH(LEFT(태깅기획site_code!D21,FIND("-",태깅기획site_code!D21)-1),고객법인일정파일!$C$4:$C$200,0)),""),IF(태깅기획site_code!D21="SCA",IF(RIGHT(태깅기획site_code!F21,3)="_fr",IFERROR(INDEX(고객법인일정파일!$C$4:$C$200,MATCH("SEWA (Africa_FR)",고객법인일정파일!$C$4:$C$200,0)),""),IF(RIGHT(태깅기획site_code!F21,3)="_en",IFERROR(INDEX(고객법인일정파일!$C$4:$C$200,MATCH("SEWA (Africa_EN)",고객법인일정파일!$C$4:$C$200,0)),""),"")),""))))))))</f>
        <v>XADCU</v>
      </c>
      <c r="Q21" s="11" t="str">
        <f>IF(LEN(TRIM(P21))=0,"",IFERROR(INDEX(고객법인일정파일!$E$4:$E$192,MATCH(P21,고객법인일정파일!$C$4:$C$192,0)),""))</f>
        <v>O</v>
      </c>
      <c r="R21" s="12">
        <f>IF(OR(LEN(TRIM(P21))=0,Q21="X",Q21&lt;&gt;"O"),"",IFERROR(INDEX(고객법인일정파일!$F$4:$F$192,MATCH(P21,고객법인일정파일!$C$4:$C$192,0)),""))</f>
        <v>46043</v>
      </c>
      <c r="S21" s="12">
        <f>IF(OR(LEN(TRIM(P21))=0,Q21="X",Q21&lt;&gt;"O"),"",IFERROR(INDEX(고객법인일정파일!$H$4:$H$192,MATCH(P21,고객법인일정파일!$C$4:$C$192,0)),""))</f>
        <v>46063</v>
      </c>
      <c r="U21" s="11" t="str">
        <f>IF((고객법인일정파일!C21="Total"),"",IF(COUNTIF(MASTER!$D$5:$D$192,IF(고객법인일정파일!C21="한총","SEC",고객법인일정파일!C21))&gt;0,"","사용 안됨"))</f>
        <v/>
      </c>
    </row>
    <row r="22" spans="2:21">
      <c r="B22" s="145"/>
      <c r="C22" s="183" t="s">
        <v>327</v>
      </c>
      <c r="D22" s="182" t="s">
        <v>314</v>
      </c>
      <c r="E22" s="183" t="s">
        <v>20</v>
      </c>
      <c r="F22" s="142">
        <v>46048</v>
      </c>
      <c r="G22" s="182" t="str">
        <f t="shared" ref="G22:I29" si="1">"W"&amp;WEEKNUM(F22)</f>
        <v>W5</v>
      </c>
      <c r="H22" s="142">
        <v>46063</v>
      </c>
      <c r="I22" s="182" t="str">
        <f t="shared" si="1"/>
        <v>W7</v>
      </c>
      <c r="J22" s="150"/>
      <c r="O22" s="11" t="str">
        <f>IF(IF(OR(NOT(ISBLANK(고객법인일정파일!B22)),ISBLANK(고객법인일정파일!C22),고객법인일정파일!C22="Total"),"",IF(ISNUMBER(FIND("-",고객법인일정파일!C22)),LEFT(고객법인일정파일!C22,FIND("-",고객법인일정파일!C22)-1),IF(ISNUMBER(FIND(" ",고객법인일정파일!C22)),LEFT(고객법인일정파일!C22,FIND(" ",고객법인일정파일!C22)-1),고객법인일정파일!C22)))="한총","sec",IF(OR(NOT(ISBLANK(고객법인일정파일!B22)),ISBLANK(고객법인일정파일!C22),고객법인일정파일!C22="Total"),"",IF(ISNUMBER(FIND("-",고객법인일정파일!C22)),LEFT(고객법인일정파일!C22,FIND("-",고객법인일정파일!C22)-1),IF(ISNUMBER(FIND(" ",고객법인일정파일!C22)),LEFT(고객법인일정파일!C22,FIND(" ",고객법인일정파일!C22)-1),고객법인일정파일!C22))))</f>
        <v>XADUX</v>
      </c>
      <c r="P22" s="11" t="str">
        <f>IF(ISBLANK(태깅기획site_code!F22),"",IF(COUNTIF(고객법인일정파일!$C$4:$C$200,태깅기획site_code!D22&amp;"-"&amp;UPPER(IF(ISNUMBER(FIND("_",태깅기획site_code!F22)),LEFT(태깅기획site_code!F22,FIND("_",태깅기획site_code!F22)-1),태깅기획site_code!F22)))&gt;0,태깅기획site_code!D22&amp;"-"&amp;UPPER(IF(ISNUMBER(FIND("_",태깅기획site_code!F22)),LEFT(태깅기획site_code!F22,FIND("_",태깅기획site_code!F22)-1),태깅기획site_code!F22)),IF(COUNTIF(고객법인일정파일!$C$4:$C$200,태깅기획site_code!D22&amp;" ("&amp;PROPER(LEFT(태깅기획site_code!F22,FIND("_",태깅기획site_code!F22)-1))&amp;"_"&amp;UPPER(MID(태깅기획site_code!F22,FIND("_",태깅기획site_code!F22)+1,20))&amp;")")&gt;0,태깅기획site_code!D22&amp;" ("&amp;PROPER(LEFT(태깅기획site_code!F22,FIND("_",태깅기획site_code!F22)-1))&amp;"_"&amp;UPPER(MID(태깅기획site_code!F22,FIND("_",태깅기획site_code!F22)+1,20))&amp;")",IF(COUNTIF(고객법인일정파일!$C$4:$C$200,태깅기획site_code!D22)&gt;0,태깅기획site_code!D22,IF(ISNUMBER(FIND("_",태깅기획site_code!F22)),"",IFERROR(INDEX(고객법인일정파일!$C$4:$C$200,MATCH(태깅기획site_code!D22,$O$4:$O$200,0)),IF(ISNUMBER(FIND("-",태깅기획site_code!D22)),IFERROR(INDEX(고객법인일정파일!$C$4:$C$200,MATCH(LEFT(태깅기획site_code!D22,FIND("-",태깅기획site_code!D22)-1),고객법인일정파일!$C$4:$C$200,0)),""),IF(태깅기획site_code!D22="SCA",IF(RIGHT(태깅기획site_code!F22,3)="_fr",IFERROR(INDEX(고객법인일정파일!$C$4:$C$200,MATCH("SEWA (Africa_FR)",고객법인일정파일!$C$4:$C$200,0)),""),IF(RIGHT(태깅기획site_code!F22,3)="_en",IFERROR(INDEX(고객법인일정파일!$C$4:$C$200,MATCH("SEWA (Africa_EN)",고객법인일정파일!$C$4:$C$200,0)),""),"")),""))))))))</f>
        <v>XADUX-CH</v>
      </c>
      <c r="Q22" s="11" t="str">
        <f>IF(LEN(TRIM(P22))=0,"",IFERROR(INDEX(고객법인일정파일!$E$4:$E$192,MATCH(P22,고객법인일정파일!$C$4:$C$192,0)),""))</f>
        <v>O</v>
      </c>
      <c r="R22" s="12">
        <f>IF(OR(LEN(TRIM(P22))=0,Q22="X",Q22&lt;&gt;"O"),"",IFERROR(INDEX(고객법인일정파일!$F$4:$F$192,MATCH(P22,고객법인일정파일!$C$4:$C$192,0)),""))</f>
        <v>46048</v>
      </c>
      <c r="S22" s="12">
        <f>IF(OR(LEN(TRIM(P22))=0,Q22="X",Q22&lt;&gt;"O"),"",IFERROR(INDEX(고객법인일정파일!$H$4:$H$192,MATCH(P22,고객법인일정파일!$C$4:$C$192,0)),""))</f>
        <v>46063</v>
      </c>
      <c r="U22" s="11" t="str">
        <f>IF((고객법인일정파일!C22="Total"),"",IF(COUNTIF(MASTER!$D$5:$D$192,IF(고객법인일정파일!C22="한총","SEC",고객법인일정파일!C22))&gt;0,"","사용 안됨"))</f>
        <v/>
      </c>
    </row>
    <row r="23" spans="2:21">
      <c r="B23" s="145"/>
      <c r="C23" s="183" t="s">
        <v>328</v>
      </c>
      <c r="D23" s="182" t="s">
        <v>314</v>
      </c>
      <c r="E23" s="183" t="s">
        <v>20</v>
      </c>
      <c r="F23" s="142">
        <v>46048</v>
      </c>
      <c r="G23" s="182" t="str">
        <f>"W"&amp;WEEKNUM(F24)</f>
        <v>W0</v>
      </c>
      <c r="H23" s="142">
        <v>46054</v>
      </c>
      <c r="I23" s="182" t="str">
        <f>"W"&amp;WEEKNUM(H24)</f>
        <v>W0</v>
      </c>
      <c r="J23" s="150"/>
      <c r="O23" s="11" t="str">
        <f>IF(IF(OR(NOT(ISBLANK(고객법인일정파일!B23)),ISBLANK(고객법인일정파일!C23),고객법인일정파일!C23="Total"),"",IF(ISNUMBER(FIND("-",고객법인일정파일!C23)),LEFT(고객법인일정파일!C23,FIND("-",고객법인일정파일!C23)-1),IF(ISNUMBER(FIND(" ",고객법인일정파일!C23)),LEFT(고객법인일정파일!C23,FIND(" ",고객법인일정파일!C23)-1),고객법인일정파일!C23)))="한총","sec",IF(OR(NOT(ISBLANK(고객법인일정파일!B23)),ISBLANK(고객법인일정파일!C23),고객법인일정파일!C23="Total"),"",IF(ISNUMBER(FIND("-",고객법인일정파일!C23)),LEFT(고객법인일정파일!C23,FIND("-",고객법인일정파일!C23)-1),IF(ISNUMBER(FIND(" ",고객법인일정파일!C23)),LEFT(고객법인일정파일!C23,FIND(" ",고객법인일정파일!C23)-1),고객법인일정파일!C23))))</f>
        <v>XADH</v>
      </c>
      <c r="P23" s="11" t="str">
        <f>IF(ISBLANK(태깅기획site_code!F23),"",IF(COUNTIF(고객법인일정파일!$C$4:$C$200,태깅기획site_code!D23&amp;"-"&amp;UPPER(IF(ISNUMBER(FIND("_",태깅기획site_code!F23)),LEFT(태깅기획site_code!F23,FIND("_",태깅기획site_code!F23)-1),태깅기획site_code!F23)))&gt;0,태깅기획site_code!D23&amp;"-"&amp;UPPER(IF(ISNUMBER(FIND("_",태깅기획site_code!F23)),LEFT(태깅기획site_code!F23,FIND("_",태깅기획site_code!F23)-1),태깅기획site_code!F23)),IF(COUNTIF(고객법인일정파일!$C$4:$C$200,태깅기획site_code!D23&amp;" ("&amp;PROPER(LEFT(태깅기획site_code!F23,FIND("_",태깅기획site_code!F23)-1))&amp;"_"&amp;UPPER(MID(태깅기획site_code!F23,FIND("_",태깅기획site_code!F23)+1,20))&amp;")")&gt;0,태깅기획site_code!D23&amp;" ("&amp;PROPER(LEFT(태깅기획site_code!F23,FIND("_",태깅기획site_code!F23)-1))&amp;"_"&amp;UPPER(MID(태깅기획site_code!F23,FIND("_",태깅기획site_code!F23)+1,20))&amp;")",IF(COUNTIF(고객법인일정파일!$C$4:$C$200,태깅기획site_code!D23)&gt;0,태깅기획site_code!D23,IF(ISNUMBER(FIND("_",태깅기획site_code!F23)),"",IFERROR(INDEX(고객법인일정파일!$C$4:$C$200,MATCH(태깅기획site_code!D23,$O$4:$O$200,0)),IF(ISNUMBER(FIND("-",태깅기획site_code!D23)),IFERROR(INDEX(고객법인일정파일!$C$4:$C$200,MATCH(LEFT(태깅기획site_code!D23,FIND("-",태깅기획site_code!D23)-1),고객법인일정파일!$C$4:$C$200,0)),""),IF(태깅기획site_code!D23="SCA",IF(RIGHT(태깅기획site_code!F23,3)="_fr",IFERROR(INDEX(고객법인일정파일!$C$4:$C$200,MATCH("SEWA (Africa_FR)",고객법인일정파일!$C$4:$C$200,0)),""),IF(RIGHT(태깅기획site_code!F23,3)="_en",IFERROR(INDEX(고객법인일정파일!$C$4:$C$200,MATCH("SEWA (Africa_EN)",고객법인일정파일!$C$4:$C$200,0)),""),"")),""))))))))</f>
        <v>XADUX-CH</v>
      </c>
      <c r="Q23" s="11" t="str">
        <f>IF(LEN(TRIM(P23))=0,"",IFERROR(INDEX(고객법인일정파일!$E$4:$E$192,MATCH(P23,고객법인일정파일!$C$4:$C$192,0)),""))</f>
        <v>O</v>
      </c>
      <c r="R23" s="12">
        <f>IF(OR(LEN(TRIM(P23))=0,Q23="X",Q23&lt;&gt;"O"),"",IFERROR(INDEX(고객법인일정파일!$F$4:$F$192,MATCH(P23,고객법인일정파일!$C$4:$C$192,0)),""))</f>
        <v>46048</v>
      </c>
      <c r="S23" s="12">
        <f>IF(OR(LEN(TRIM(P23))=0,Q23="X",Q23&lt;&gt;"O"),"",IFERROR(INDEX(고객법인일정파일!$H$4:$H$192,MATCH(P23,고객법인일정파일!$C$4:$C$192,0)),""))</f>
        <v>46063</v>
      </c>
      <c r="U23" s="11" t="str">
        <f>IF((고객법인일정파일!C23="Total"),"",IF(COUNTIF(MASTER!$D$5:$D$192,IF(고객법인일정파일!C23="한총","SEC",고객법인일정파일!C23))&gt;0,"","사용 안됨"))</f>
        <v/>
      </c>
    </row>
    <row r="24" spans="2:21">
      <c r="B24" s="145"/>
      <c r="C24" s="183" t="s">
        <v>329</v>
      </c>
      <c r="D24" s="182" t="s">
        <v>314</v>
      </c>
      <c r="E24" s="183" t="s">
        <v>73</v>
      </c>
      <c r="F24" s="142"/>
      <c r="G24" s="182" t="str">
        <f t="shared" si="1"/>
        <v>W0</v>
      </c>
      <c r="H24" s="142"/>
      <c r="I24" s="182" t="str">
        <f t="shared" si="1"/>
        <v>W0</v>
      </c>
      <c r="J24" s="151" t="str">
        <f>"Note1-test "&amp;C21</f>
        <v>Note1-test XADUX-UT</v>
      </c>
      <c r="O24" s="11" t="str">
        <f>IF(IF(OR(NOT(ISBLANK(고객법인일정파일!B24)),ISBLANK(고객법인일정파일!C24),고객법인일정파일!C24="Total"),"",IF(ISNUMBER(FIND("-",고객법인일정파일!C24)),LEFT(고객법인일정파일!C24,FIND("-",고객법인일정파일!C24)-1),IF(ISNUMBER(FIND(" ",고객법인일정파일!C24)),LEFT(고객법인일정파일!C24,FIND(" ",고객법인일정파일!C24)-1),고객법인일정파일!C24)))="한총","sec",IF(OR(NOT(ISBLANK(고객법인일정파일!B24)),ISBLANK(고객법인일정파일!C24),고객법인일정파일!C24="Total"),"",IF(ISNUMBER(FIND("-",고객법인일정파일!C24)),LEFT(고객법인일정파일!C24,FIND("-",고객법인일정파일!C24)-1),IF(ISNUMBER(FIND(" ",고객법인일정파일!C24)),LEFT(고객법인일정파일!C24,FIND(" ",고객법인일정파일!C24)-1),고객법인일정파일!C24))))</f>
        <v>XADUD</v>
      </c>
      <c r="P24" s="11" t="str">
        <f>IF(ISBLANK(태깅기획site_code!F24),"",IF(COUNTIF(고객법인일정파일!$C$4:$C$200,태깅기획site_code!D24&amp;"-"&amp;UPPER(IF(ISNUMBER(FIND("_",태깅기획site_code!F24)),LEFT(태깅기획site_code!F24,FIND("_",태깅기획site_code!F24)-1),태깅기획site_code!F24)))&gt;0,태깅기획site_code!D24&amp;"-"&amp;UPPER(IF(ISNUMBER(FIND("_",태깅기획site_code!F24)),LEFT(태깅기획site_code!F24,FIND("_",태깅기획site_code!F24)-1),태깅기획site_code!F24)),IF(COUNTIF(고객법인일정파일!$C$4:$C$200,태깅기획site_code!D24&amp;" ("&amp;PROPER(LEFT(태깅기획site_code!F24,FIND("_",태깅기획site_code!F24)-1))&amp;"_"&amp;UPPER(MID(태깅기획site_code!F24,FIND("_",태깅기획site_code!F24)+1,20))&amp;")")&gt;0,태깅기획site_code!D24&amp;" ("&amp;PROPER(LEFT(태깅기획site_code!F24,FIND("_",태깅기획site_code!F24)-1))&amp;"_"&amp;UPPER(MID(태깅기획site_code!F24,FIND("_",태깅기획site_code!F24)+1,20))&amp;")",IF(COUNTIF(고객법인일정파일!$C$4:$C$200,태깅기획site_code!D24)&gt;0,태깅기획site_code!D24,IF(ISNUMBER(FIND("_",태깅기획site_code!F24)),"",IFERROR(INDEX(고객법인일정파일!$C$4:$C$200,MATCH(태깅기획site_code!D24,$O$4:$O$200,0)),IF(ISNUMBER(FIND("-",태깅기획site_code!D24)),IFERROR(INDEX(고객법인일정파일!$C$4:$C$200,MATCH(LEFT(태깅기획site_code!D24,FIND("-",태깅기획site_code!D24)-1),고객법인일정파일!$C$4:$C$200,0)),""),IF(태깅기획site_code!D24="SCA",IF(RIGHT(태깅기획site_code!F24,3)="_fr",IFERROR(INDEX(고객법인일정파일!$C$4:$C$200,MATCH("SEWA (Africa_FR)",고객법인일정파일!$C$4:$C$200,0)),""),IF(RIGHT(태깅기획site_code!F24,3)="_en",IFERROR(INDEX(고객법인일정파일!$C$4:$C$200,MATCH("SEWA (Africa_EN)",고객법인일정파일!$C$4:$C$200,0)),""),"")),""))))))))</f>
        <v>XADCH</v>
      </c>
      <c r="Q24" s="11" t="str">
        <f>IF(LEN(TRIM(P24))=0,"",IFERROR(INDEX(고객법인일정파일!$E$4:$E$192,MATCH(P24,고객법인일정파일!$C$4:$C$192,0)),""))</f>
        <v>O</v>
      </c>
      <c r="R24" s="12">
        <f>IF(OR(LEN(TRIM(P24))=0,Q24="X",Q24&lt;&gt;"O"),"",IFERROR(INDEX(고객법인일정파일!$F$4:$F$192,MATCH(P24,고객법인일정파일!$C$4:$C$192,0)),""))</f>
        <v>46042</v>
      </c>
      <c r="S24" s="12">
        <f>IF(OR(LEN(TRIM(P24))=0,Q24="X",Q24&lt;&gt;"O"),"",IFERROR(INDEX(고객법인일정파일!$H$4:$H$192,MATCH(P24,고객법인일정파일!$C$4:$C$192,0)),""))</f>
        <v>46063</v>
      </c>
      <c r="U24" s="11" t="str">
        <f>IF((고객법인일정파일!C24="Total"),"",IF(COUNTIF(MASTER!$D$5:$D$192,IF(고객법인일정파일!C24="한총","SEC",고객법인일정파일!C24))&gt;0,"","사용 안됨"))</f>
        <v/>
      </c>
    </row>
    <row r="25" spans="2:21">
      <c r="B25" s="145"/>
      <c r="C25" s="183" t="s">
        <v>330</v>
      </c>
      <c r="D25" s="183"/>
      <c r="E25" s="183"/>
      <c r="F25" s="142"/>
      <c r="G25" s="182" t="str">
        <f t="shared" si="1"/>
        <v>W0</v>
      </c>
      <c r="H25" s="142"/>
      <c r="I25" s="182" t="str">
        <f t="shared" si="1"/>
        <v>W0</v>
      </c>
      <c r="J25" s="150"/>
      <c r="O25" s="11" t="str">
        <f>IF(IF(OR(NOT(ISBLANK(고객법인일정파일!B25)),ISBLANK(고객법인일정파일!C25),고객법인일정파일!C25="Total"),"",IF(ISNUMBER(FIND("-",고객법인일정파일!C25)),LEFT(고객법인일정파일!C25,FIND("-",고객법인일정파일!C25)-1),IF(ISNUMBER(FIND(" ",고객법인일정파일!C25)),LEFT(고객법인일정파일!C25,FIND(" ",고객법인일정파일!C25)-1),고객법인일정파일!C25)))="한총","sec",IF(OR(NOT(ISBLANK(고객법인일정파일!B25)),ISBLANK(고객법인일정파일!C25),고객법인일정파일!C25="Total"),"",IF(ISNUMBER(FIND("-",고객법인일정파일!C25)),LEFT(고객법인일정파일!C25,FIND("-",고객법인일정파일!C25)-1),IF(ISNUMBER(FIND(" ",고객법인일정파일!C25)),LEFT(고객법인일정파일!C25,FIND(" ",고객법인일정파일!C25)-1),고객법인일정파일!C25))))</f>
        <v>XADB</v>
      </c>
      <c r="P25" s="11" t="str">
        <f>IF(ISBLANK(태깅기획site_code!F25),"",IF(COUNTIF(고객법인일정파일!$C$4:$C$200,태깅기획site_code!D25&amp;"-"&amp;UPPER(IF(ISNUMBER(FIND("_",태깅기획site_code!F25)),LEFT(태깅기획site_code!F25,FIND("_",태깅기획site_code!F25)-1),태깅기획site_code!F25)))&gt;0,태깅기획site_code!D25&amp;"-"&amp;UPPER(IF(ISNUMBER(FIND("_",태깅기획site_code!F25)),LEFT(태깅기획site_code!F25,FIND("_",태깅기획site_code!F25)-1),태깅기획site_code!F25)),IF(COUNTIF(고객법인일정파일!$C$4:$C$200,태깅기획site_code!D25&amp;" ("&amp;PROPER(LEFT(태깅기획site_code!F25,FIND("_",태깅기획site_code!F25)-1))&amp;"_"&amp;UPPER(MID(태깅기획site_code!F25,FIND("_",태깅기획site_code!F25)+1,20))&amp;")")&gt;0,태깅기획site_code!D25&amp;" ("&amp;PROPER(LEFT(태깅기획site_code!F25,FIND("_",태깅기획site_code!F25)-1))&amp;"_"&amp;UPPER(MID(태깅기획site_code!F25,FIND("_",태깅기획site_code!F25)+1,20))&amp;")",IF(COUNTIF(고객법인일정파일!$C$4:$C$200,태깅기획site_code!D25)&gt;0,태깅기획site_code!D25,IF(ISNUMBER(FIND("_",태깅기획site_code!F25)),"",IFERROR(INDEX(고객법인일정파일!$C$4:$C$200,MATCH(태깅기획site_code!D25,$O$4:$O$200,0)),IF(ISNUMBER(FIND("-",태깅기획site_code!D25)),IFERROR(INDEX(고객법인일정파일!$C$4:$C$200,MATCH(LEFT(태깅기획site_code!D25,FIND("-",태깅기획site_code!D25)-1),고객법인일정파일!$C$4:$C$200,0)),""),IF(태깅기획site_code!D25="SCA",IF(RIGHT(태깅기획site_code!F25,3)="_fr",IFERROR(INDEX(고객법인일정파일!$C$4:$C$200,MATCH("SEWA (Africa_FR)",고객법인일정파일!$C$4:$C$200,0)),""),IF(RIGHT(태깅기획site_code!F25,3)="_en",IFERROR(INDEX(고객법인일정파일!$C$4:$C$200,MATCH("SEWA (Africa_EN)",고객법인일정파일!$C$4:$C$200,0)),""),"")),""))))))))</f>
        <v>XCIC</v>
      </c>
      <c r="Q25" s="11" t="str">
        <f>IF(LEN(TRIM(P25))=0,"",IFERROR(INDEX(고객법인일정파일!$E$4:$E$192,MATCH(P25,고객법인일정파일!$C$4:$C$192,0)),""))</f>
        <v>O</v>
      </c>
      <c r="R25" s="12">
        <f>IF(OR(LEN(TRIM(P25))=0,Q25="X",Q25&lt;&gt;"O"),"",IFERROR(INDEX(고객법인일정파일!$F$4:$F$192,MATCH(P25,고객법인일정파일!$C$4:$C$192,0)),""))</f>
        <v>46054</v>
      </c>
      <c r="S25" s="12">
        <f>IF(OR(LEN(TRIM(P25))=0,Q25="X",Q25&lt;&gt;"O"),"",IFERROR(INDEX(고객법인일정파일!$H$4:$H$192,MATCH(P25,고객법인일정파일!$C$4:$C$192,0)),""))</f>
        <v>46063</v>
      </c>
      <c r="U25" s="11" t="str">
        <f>IF((고객법인일정파일!C25="Total"),"",IF(COUNTIF(MASTER!$D$5:$D$192,IF(고객법인일정파일!C25="한총","SEC",고객법인일정파일!C25))&gt;0,"","사용 안됨"))</f>
        <v/>
      </c>
    </row>
    <row r="26" spans="2:21">
      <c r="B26" s="145"/>
      <c r="C26" s="183" t="s">
        <v>331</v>
      </c>
      <c r="D26" s="183"/>
      <c r="E26" s="183"/>
      <c r="F26" s="142"/>
      <c r="G26" s="182" t="str">
        <f t="shared" si="1"/>
        <v>W0</v>
      </c>
      <c r="H26" s="142"/>
      <c r="I26" s="182" t="str">
        <f t="shared" si="1"/>
        <v>W0</v>
      </c>
      <c r="J26" s="150"/>
      <c r="O26" s="11" t="str">
        <f>IF(IF(OR(NOT(ISBLANK(고객법인일정파일!B26)),ISBLANK(고객법인일정파일!C26),고객법인일정파일!C26="Total"),"",IF(ISNUMBER(FIND("-",고객법인일정파일!C26)),LEFT(고객법인일정파일!C26,FIND("-",고객법인일정파일!C26)-1),IF(ISNUMBER(FIND(" ",고객법인일정파일!C26)),LEFT(고객법인일정파일!C26,FIND(" ",고객법인일정파일!C26)-1),고객법인일정파일!C26)))="한총","sec",IF(OR(NOT(ISBLANK(고객법인일정파일!B26)),ISBLANK(고객법인일정파일!C26),고객법인일정파일!C26="Total"),"",IF(ISNUMBER(FIND("-",고객법인일정파일!C26)),LEFT(고객법인일정파일!C26,FIND("-",고객법인일정파일!C26)-1),IF(ISNUMBER(FIND(" ",고객법인일정파일!C26)),LEFT(고객법인일정파일!C26,FIND(" ",고객법인일정파일!C26)-1),고객법인일정파일!C26))))</f>
        <v>XADUC</v>
      </c>
      <c r="P26" s="11" t="str">
        <f>IF(ISBLANK(태깅기획site_code!F26),"",IF(COUNTIF(고객법인일정파일!$C$4:$C$200,태깅기획site_code!D26&amp;"-"&amp;UPPER(IF(ISNUMBER(FIND("_",태깅기획site_code!F26)),LEFT(태깅기획site_code!F26,FIND("_",태깅기획site_code!F26)-1),태깅기획site_code!F26)))&gt;0,태깅기획site_code!D26&amp;"-"&amp;UPPER(IF(ISNUMBER(FIND("_",태깅기획site_code!F26)),LEFT(태깅기획site_code!F26,FIND("_",태깅기획site_code!F26)-1),태깅기획site_code!F26)),IF(COUNTIF(고객법인일정파일!$C$4:$C$200,태깅기획site_code!D26&amp;" ("&amp;PROPER(LEFT(태깅기획site_code!F26,FIND("_",태깅기획site_code!F26)-1))&amp;"_"&amp;UPPER(MID(태깅기획site_code!F26,FIND("_",태깅기획site_code!F26)+1,20))&amp;")")&gt;0,태깅기획site_code!D26&amp;" ("&amp;PROPER(LEFT(태깅기획site_code!F26,FIND("_",태깅기획site_code!F26)-1))&amp;"_"&amp;UPPER(MID(태깅기획site_code!F26,FIND("_",태깅기획site_code!F26)+1,20))&amp;")",IF(COUNTIF(고객법인일정파일!$C$4:$C$200,태깅기획site_code!D26)&gt;0,태깅기획site_code!D26,IF(ISNUMBER(FIND("_",태깅기획site_code!F26)),"",IFERROR(INDEX(고객법인일정파일!$C$4:$C$200,MATCH(태깅기획site_code!D26,$O$4:$O$200,0)),IF(ISNUMBER(FIND("-",태깅기획site_code!D26)),IFERROR(INDEX(고객법인일정파일!$C$4:$C$200,MATCH(LEFT(태깅기획site_code!D26,FIND("-",태깅기획site_code!D26)-1),고객법인일정파일!$C$4:$C$200,0)),""),IF(태깅기획site_code!D26="SCA",IF(RIGHT(태깅기획site_code!F26,3)="_fr",IFERROR(INDEX(고객법인일정파일!$C$4:$C$200,MATCH("SEWA (Africa_FR)",고객법인일정파일!$C$4:$C$200,0)),""),IF(RIGHT(태깅기획site_code!F26,3)="_en",IFERROR(INDEX(고객법인일정파일!$C$4:$C$200,MATCH("SEWA (Africa_EN)",고객법인일정파일!$C$4:$C$200,0)),""),"")),""))))))))</f>
        <v>XUMCOL</v>
      </c>
      <c r="Q26" s="11" t="str">
        <f>IF(LEN(TRIM(P26))=0,"",IFERROR(INDEX(고객법인일정파일!$E$4:$E$192,MATCH(P26,고객법인일정파일!$C$4:$C$192,0)),""))</f>
        <v>O</v>
      </c>
      <c r="R26" s="12">
        <f>IF(OR(LEN(TRIM(P26))=0,Q26="X",Q26&lt;&gt;"O"),"",IFERROR(INDEX(고객법인일정파일!$F$4:$F$192,MATCH(P26,고객법인일정파일!$C$4:$C$192,0)),""))</f>
        <v>46042</v>
      </c>
      <c r="S26" s="12">
        <f>IF(OR(LEN(TRIM(P26))=0,Q26="X",Q26&lt;&gt;"O"),"",IFERROR(INDEX(고객법인일정파일!$H$4:$H$192,MATCH(P26,고객법인일정파일!$C$4:$C$192,0)),""))</f>
        <v>46063</v>
      </c>
      <c r="U26" s="11" t="str">
        <f>IF((고객법인일정파일!C26="Total"),"",IF(COUNTIF(MASTER!$D$5:$D$192,IF(고객법인일정파일!C26="한총","SEC",고객법인일정파일!C26))&gt;0,"","사용 안됨"))</f>
        <v/>
      </c>
    </row>
    <row r="27" spans="2:21">
      <c r="B27" s="144" t="s">
        <v>74</v>
      </c>
      <c r="C27" s="183" t="s">
        <v>312</v>
      </c>
      <c r="D27" s="183"/>
      <c r="E27" s="183"/>
      <c r="F27" s="142"/>
      <c r="G27" s="182" t="str">
        <f>"W"&amp;WEEKNUM(F26)</f>
        <v>W0</v>
      </c>
      <c r="H27" s="142"/>
      <c r="I27" s="182" t="str">
        <f>"W"&amp;WEEKNUM(H26)</f>
        <v>W0</v>
      </c>
      <c r="J27" s="150"/>
      <c r="O27" s="11" t="str">
        <f>IF(IF(OR(NOT(ISBLANK(고객법인일정파일!B27)),ISBLANK(고객법인일정파일!C27),고객법인일정파일!C27="Total"),"",IF(ISNUMBER(FIND("-",고객법인일정파일!C27)),LEFT(고객법인일정파일!C27,FIND("-",고객법인일정파일!C27)-1),IF(ISNUMBER(FIND(" ",고객법인일정파일!C27)),LEFT(고객법인일정파일!C27,FIND(" ",고객법인일정파일!C27)-1),고객법인일정파일!C27)))="한총","sec",IF(OR(NOT(ISBLANK(고객법인일정파일!B27)),ISBLANK(고객법인일정파일!C27),고객법인일정파일!C27="Total"),"",IF(ISNUMBER(FIND("-",고객법인일정파일!C27)),LEFT(고객법인일정파일!C27,FIND("-",고객법인일정파일!C27)-1),IF(ISNUMBER(FIND(" ",고객법인일정파일!C27)),LEFT(고객법인일정파일!C27,FIND(" ",고객법인일정파일!C27)-1),고객법인일정파일!C27))))</f>
        <v/>
      </c>
      <c r="P27" s="11" t="str">
        <f>IF(ISBLANK(태깅기획site_code!F27),"",IF(COUNTIF(고객법인일정파일!$C$4:$C$200,태깅기획site_code!D27&amp;"-"&amp;UPPER(IF(ISNUMBER(FIND("_",태깅기획site_code!F27)),LEFT(태깅기획site_code!F27,FIND("_",태깅기획site_code!F27)-1),태깅기획site_code!F27)))&gt;0,태깅기획site_code!D27&amp;"-"&amp;UPPER(IF(ISNUMBER(FIND("_",태깅기획site_code!F27)),LEFT(태깅기획site_code!F27,FIND("_",태깅기획site_code!F27)-1),태깅기획site_code!F27)),IF(COUNTIF(고객법인일정파일!$C$4:$C$200,태깅기획site_code!D27&amp;" ("&amp;PROPER(LEFT(태깅기획site_code!F27,FIND("_",태깅기획site_code!F27)-1))&amp;"_"&amp;UPPER(MID(태깅기획site_code!F27,FIND("_",태깅기획site_code!F27)+1,20))&amp;")")&gt;0,태깅기획site_code!D27&amp;" ("&amp;PROPER(LEFT(태깅기획site_code!F27,FIND("_",태깅기획site_code!F27)-1))&amp;"_"&amp;UPPER(MID(태깅기획site_code!F27,FIND("_",태깅기획site_code!F27)+1,20))&amp;")",IF(COUNTIF(고객법인일정파일!$C$4:$C$200,태깅기획site_code!D27)&gt;0,태깅기획site_code!D27,IF(ISNUMBER(FIND("_",태깅기획site_code!F27)),"",IFERROR(INDEX(고객법인일정파일!$C$4:$C$200,MATCH(태깅기획site_code!D27,$O$4:$O$200,0)),IF(ISNUMBER(FIND("-",태깅기획site_code!D27)),IFERROR(INDEX(고객법인일정파일!$C$4:$C$200,MATCH(LEFT(태깅기획site_code!D27,FIND("-",태깅기획site_code!D27)-1),고객법인일정파일!$C$4:$C$200,0)),""),IF(태깅기획site_code!D27="SCA",IF(RIGHT(태깅기획site_code!F27,3)="_fr",IFERROR(INDEX(고객법인일정파일!$C$4:$C$200,MATCH("SEWA (Africa_FR)",고객법인일정파일!$C$4:$C$200,0)),""),IF(RIGHT(태깅기획site_code!F27,3)="_en",IFERROR(INDEX(고객법인일정파일!$C$4:$C$200,MATCH("SEWA (Africa_EN)",고객법인일정파일!$C$4:$C$200,0)),""),"")),""))))))))</f>
        <v>XADCZ</v>
      </c>
      <c r="Q27" s="11" t="str">
        <f>IF(LEN(TRIM(P27))=0,"",IFERROR(INDEX(고객법인일정파일!$E$4:$E$192,MATCH(P27,고객법인일정파일!$C$4:$C$192,0)),""))</f>
        <v>O</v>
      </c>
      <c r="R27" s="12">
        <f>IF(OR(LEN(TRIM(P27))=0,Q27="X",Q27&lt;&gt;"O"),"",IFERROR(INDEX(고객법인일정파일!$F$4:$F$192,MATCH(P27,고객법인일정파일!$C$4:$C$192,0)),""))</f>
        <v>46054</v>
      </c>
      <c r="S27" s="12">
        <f>IF(OR(LEN(TRIM(P27))=0,Q27="X",Q27&lt;&gt;"O"),"",IFERROR(INDEX(고객법인일정파일!$H$4:$H$192,MATCH(P27,고객법인일정파일!$C$4:$C$192,0)),""))</f>
        <v>46063</v>
      </c>
      <c r="U27" s="11" t="str">
        <f>IF((고객법인일정파일!C27="Total"),"",IF(COUNTIF(MASTER!$D$5:$D$192,IF(고객법인일정파일!C27="한총","SEC",고객법인일정파일!C27))&gt;0,"","사용 안됨"))</f>
        <v>사용 안됨</v>
      </c>
    </row>
    <row r="28" spans="2:21">
      <c r="B28" s="145"/>
      <c r="C28" s="183" t="s">
        <v>332</v>
      </c>
      <c r="D28" s="183" t="s">
        <v>333</v>
      </c>
      <c r="E28" s="182" t="s">
        <v>20</v>
      </c>
      <c r="F28" s="142">
        <v>46042</v>
      </c>
      <c r="G28" s="182" t="str">
        <f t="shared" si="1"/>
        <v>W4</v>
      </c>
      <c r="H28" s="143">
        <v>46063</v>
      </c>
      <c r="I28" s="182" t="str">
        <f t="shared" si="1"/>
        <v>W7</v>
      </c>
      <c r="J28" s="150"/>
      <c r="O28" s="11" t="str">
        <f>IF(IF(OR(NOT(ISBLANK(고객법인일정파일!B28)),ISBLANK(고객법인일정파일!C28),고객법인일정파일!C28="Total"),"",IF(ISNUMBER(FIND("-",고객법인일정파일!C28)),LEFT(고객법인일정파일!C28,FIND("-",고객법인일정파일!C28)-1),IF(ISNUMBER(FIND(" ",고객법인일정파일!C28)),LEFT(고객법인일정파일!C28,FIND(" ",고객법인일정파일!C28)-1),고객법인일정파일!C28)))="한총","sec",IF(OR(NOT(ISBLANK(고객법인일정파일!B28)),ISBLANK(고객법인일정파일!C28),고객법인일정파일!C28="Total"),"",IF(ISNUMBER(FIND("-",고객법인일정파일!C28)),LEFT(고객법인일정파일!C28,FIND("-",고객법인일정파일!C28)-1),IF(ISNUMBER(FIND(" ",고객법인일정파일!C28)),LEFT(고객법인일정파일!C28,FIND(" ",고객법인일정파일!C28)-1),고객법인일정파일!C28))))</f>
        <v>XADDU</v>
      </c>
      <c r="P28" s="11" t="str">
        <f>IF(ISBLANK(태깅기획site_code!F28),"",IF(COUNTIF(고객법인일정파일!$C$4:$C$200,태깅기획site_code!D28&amp;"-"&amp;UPPER(IF(ISNUMBER(FIND("_",태깅기획site_code!F28)),LEFT(태깅기획site_code!F28,FIND("_",태깅기획site_code!F28)-1),태깅기획site_code!F28)))&gt;0,태깅기획site_code!D28&amp;"-"&amp;UPPER(IF(ISNUMBER(FIND("_",태깅기획site_code!F28)),LEFT(태깅기획site_code!F28,FIND("_",태깅기획site_code!F28)-1),태깅기획site_code!F28)),IF(COUNTIF(고객법인일정파일!$C$4:$C$200,태깅기획site_code!D28&amp;" ("&amp;PROPER(LEFT(태깅기획site_code!F28,FIND("_",태깅기획site_code!F28)-1))&amp;"_"&amp;UPPER(MID(태깅기획site_code!F28,FIND("_",태깅기획site_code!F28)+1,20))&amp;")")&gt;0,태깅기획site_code!D28&amp;" ("&amp;PROPER(LEFT(태깅기획site_code!F28,FIND("_",태깅기획site_code!F28)-1))&amp;"_"&amp;UPPER(MID(태깅기획site_code!F28,FIND("_",태깅기획site_code!F28)+1,20))&amp;")",IF(COUNTIF(고객법인일정파일!$C$4:$C$200,태깅기획site_code!D28)&gt;0,태깅기획site_code!D28,IF(ISNUMBER(FIND("_",태깅기획site_code!F28)),"",IFERROR(INDEX(고객법인일정파일!$C$4:$C$200,MATCH(태깅기획site_code!D28,$O$4:$O$200,0)),IF(ISNUMBER(FIND("-",태깅기획site_code!D28)),IFERROR(INDEX(고객법인일정파일!$C$4:$C$200,MATCH(LEFT(태깅기획site_code!D28,FIND("-",태깅기획site_code!D28)-1),고객법인일정파일!$C$4:$C$200,0)),""),IF(태깅기획site_code!D28="SCA",IF(RIGHT(태깅기획site_code!F28,3)="_fr",IFERROR(INDEX(고객법인일정파일!$C$4:$C$200,MATCH("SEWA (Africa_FR)",고객법인일정파일!$C$4:$C$200,0)),""),IF(RIGHT(태깅기획site_code!F28,3)="_en",IFERROR(INDEX(고객법인일정파일!$C$4:$C$200,MATCH("SEWA (Africa_EN)",고객법인일정파일!$C$4:$C$200,0)),""),"")),""))))))))</f>
        <v>XADG</v>
      </c>
      <c r="Q28" s="11" t="str">
        <f>IF(LEN(TRIM(P28))=0,"",IFERROR(INDEX(고객법인일정파일!$E$4:$E$192,MATCH(P28,고객법인일정파일!$C$4:$C$192,0)),""))</f>
        <v>O</v>
      </c>
      <c r="R28" s="12">
        <f>IF(OR(LEN(TRIM(P28))=0,Q28="X",Q28&lt;&gt;"O"),"",IFERROR(INDEX(고객법인일정파일!$F$4:$F$192,MATCH(P28,고객법인일정파일!$C$4:$C$192,0)),""))</f>
        <v>46031</v>
      </c>
      <c r="S28" s="12">
        <f>IF(OR(LEN(TRIM(P28))=0,Q28="X",Q28&lt;&gt;"O"),"",IFERROR(INDEX(고객법인일정파일!$H$4:$H$192,MATCH(P28,고객법인일정파일!$C$4:$C$192,0)),""))</f>
        <v>46064</v>
      </c>
      <c r="U28" s="11" t="str">
        <f>IF((고객법인일정파일!C28="Total"),"",IF(COUNTIF(MASTER!$D$5:$D$192,IF(고객법인일정파일!C28="한총","SEC",고객법인일정파일!C28))&gt;0,"","사용 안됨"))</f>
        <v/>
      </c>
    </row>
    <row r="29" spans="2:21">
      <c r="B29" s="145"/>
      <c r="C29" s="183" t="s">
        <v>334</v>
      </c>
      <c r="D29" s="183" t="s">
        <v>333</v>
      </c>
      <c r="E29" s="183" t="s">
        <v>20</v>
      </c>
      <c r="F29" s="142">
        <v>46042</v>
      </c>
      <c r="G29" s="182" t="str">
        <f t="shared" si="1"/>
        <v>W4</v>
      </c>
      <c r="H29" s="142">
        <v>46063</v>
      </c>
      <c r="I29" s="182" t="str">
        <f t="shared" si="1"/>
        <v>W7</v>
      </c>
      <c r="J29" s="150"/>
      <c r="O29" s="11" t="str">
        <f>IF(IF(OR(NOT(ISBLANK(고객법인일정파일!B29)),ISBLANK(고객법인일정파일!C29),고객법인일정파일!C29="Total"),"",IF(ISNUMBER(FIND("-",고객법인일정파일!C29)),LEFT(고객법인일정파일!C29,FIND("-",고객법인일정파일!C29)-1),IF(ISNUMBER(FIND(" ",고객법인일정파일!C29)),LEFT(고객법인일정파일!C29,FIND(" ",고객법인일정파일!C29)-1),고객법인일정파일!C29)))="한총","sec",IF(OR(NOT(ISBLANK(고객법인일정파일!B29)),ISBLANK(고객법인일정파일!C29),고객법인일정파일!C29="Total"),"",IF(ISNUMBER(FIND("-",고객법인일정파일!C29)),LEFT(고객법인일정파일!C29,FIND("-",고객법인일정파일!C29)-1),IF(ISNUMBER(FIND(" ",고객법인일정파일!C29)),LEFT(고객법인일정파일!C29,FIND(" ",고객법인일정파일!C29)-1),고객법인일정파일!C29))))</f>
        <v>XADM</v>
      </c>
      <c r="P29" s="11" t="str">
        <f>IF(ISBLANK(태깅기획site_code!F29),"",IF(COUNTIF(고객법인일정파일!$C$4:$C$200,태깅기획site_code!D29&amp;"-"&amp;UPPER(IF(ISNUMBER(FIND("_",태깅기획site_code!F29)),LEFT(태깅기획site_code!F29,FIND("_",태깅기획site_code!F29)-1),태깅기획site_code!F29)))&gt;0,태깅기획site_code!D29&amp;"-"&amp;UPPER(IF(ISNUMBER(FIND("_",태깅기획site_code!F29)),LEFT(태깅기획site_code!F29,FIND("_",태깅기획site_code!F29)-1),태깅기획site_code!F29)),IF(COUNTIF(고객법인일정파일!$C$4:$C$200,태깅기획site_code!D29&amp;" ("&amp;PROPER(LEFT(태깅기획site_code!F29,FIND("_",태깅기획site_code!F29)-1))&amp;"_"&amp;UPPER(MID(태깅기획site_code!F29,FIND("_",태깅기획site_code!F29)+1,20))&amp;")")&gt;0,태깅기획site_code!D29&amp;" ("&amp;PROPER(LEFT(태깅기획site_code!F29,FIND("_",태깅기획site_code!F29)-1))&amp;"_"&amp;UPPER(MID(태깅기획site_code!F29,FIND("_",태깅기획site_code!F29)+1,20))&amp;")",IF(COUNTIF(고객법인일정파일!$C$4:$C$200,태깅기획site_code!D29)&gt;0,태깅기획site_code!D29,IF(ISNUMBER(FIND("_",태깅기획site_code!F29)),"",IFERROR(INDEX(고객법인일정파일!$C$4:$C$200,MATCH(태깅기획site_code!D29,$O$4:$O$200,0)),IF(ISNUMBER(FIND("-",태깅기획site_code!D29)),IFERROR(INDEX(고객법인일정파일!$C$4:$C$200,MATCH(LEFT(태깅기획site_code!D29,FIND("-",태깅기획site_code!D29)-1),고객법인일정파일!$C$4:$C$200,0)),""),IF(태깅기획site_code!D29="SCA",IF(RIGHT(태깅기획site_code!F29,3)="_fr",IFERROR(INDEX(고객법인일정파일!$C$4:$C$200,MATCH("SEWA (Africa_FR)",고객법인일정파일!$C$4:$C$200,0)),""),IF(RIGHT(태깅기획site_code!F29,3)="_en",IFERROR(INDEX(고객법인일정파일!$C$4:$C$200,MATCH("SEWA (Africa_EN)",고객법인일정파일!$C$4:$C$200,0)),""),"")),""))))))))</f>
        <v>XADNU</v>
      </c>
      <c r="Q29" s="11" t="str">
        <f>IF(LEN(TRIM(P29))=0,"",IFERROR(INDEX(고객법인일정파일!$E$4:$E$192,MATCH(P29,고객법인일정파일!$C$4:$C$192,0)),""))</f>
        <v>X</v>
      </c>
      <c r="R29" s="12" t="str">
        <f>IF(OR(LEN(TRIM(P29))=0,Q29="X",Q29&lt;&gt;"O"),"",IFERROR(INDEX(고객법인일정파일!$F$4:$F$192,MATCH(P29,고객법인일정파일!$C$4:$C$192,0)),""))</f>
        <v/>
      </c>
      <c r="S29" s="12" t="str">
        <f>IF(OR(LEN(TRIM(P29))=0,Q29="X",Q29&lt;&gt;"O"),"",IFERROR(INDEX(고객법인일정파일!$H$4:$H$192,MATCH(P29,고객법인일정파일!$C$4:$C$192,0)),""))</f>
        <v/>
      </c>
      <c r="U29" s="11" t="str">
        <f>IF((고객법인일정파일!C29="Total"),"",IF(COUNTIF(MASTER!$D$5:$D$192,IF(고객법인일정파일!C29="한총","SEC",고객법인일정파일!C29))&gt;0,"","사용 안됨"))</f>
        <v/>
      </c>
    </row>
    <row r="30" spans="2:21">
      <c r="B30" s="145"/>
      <c r="C30" s="183" t="s">
        <v>335</v>
      </c>
      <c r="D30" s="183" t="s">
        <v>333</v>
      </c>
      <c r="E30" s="183" t="s">
        <v>20</v>
      </c>
      <c r="F30" s="142">
        <v>46042</v>
      </c>
      <c r="G30" s="182" t="str">
        <f>"W"&amp;WEEKNUM(F40)</f>
        <v>W6</v>
      </c>
      <c r="H30" s="142">
        <v>46063</v>
      </c>
      <c r="I30" s="182" t="str">
        <f>"W"&amp;WEEKNUM(H40)</f>
        <v>W7</v>
      </c>
      <c r="J30" s="150"/>
      <c r="O30" s="11" t="str">
        <f>IF(IF(OR(NOT(ISBLANK(고객법인일정파일!B30)),ISBLANK(고객법인일정파일!C30),고객법인일정파일!C30="Total"),"",IF(ISNUMBER(FIND("-",고객법인일정파일!C30)),LEFT(고객법인일정파일!C30,FIND("-",고객법인일정파일!C30)-1),IF(ISNUMBER(FIND(" ",고객법인일정파일!C30)),LEFT(고객법인일정파일!C30,FIND(" ",고객법인일정파일!C30)-1),고객법인일정파일!C30)))="한총","sec",IF(OR(NOT(ISBLANK(고객법인일정파일!B30)),ISBLANK(고객법인일정파일!C30),고객법인일정파일!C30="Total"),"",IF(ISNUMBER(FIND("-",고객법인일정파일!C30)),LEFT(고객법인일정파일!C30,FIND("-",고객법인일정파일!C30)-1),IF(ISNUMBER(FIND(" ",고객법인일정파일!C30)),LEFT(고객법인일정파일!C30,FIND(" ",고객법인일정파일!C30)-1),고객법인일정파일!C30))))</f>
        <v>XADCH</v>
      </c>
      <c r="P30" s="11" t="str">
        <f>IF(ISBLANK(태깅기획site_code!F30),"",IF(COUNTIF(고객법인일정파일!$C$4:$C$200,태깅기획site_code!D30&amp;"-"&amp;UPPER(IF(ISNUMBER(FIND("_",태깅기획site_code!F30)),LEFT(태깅기획site_code!F30,FIND("_",태깅기획site_code!F30)-1),태깅기획site_code!F30)))&gt;0,태깅기획site_code!D30&amp;"-"&amp;UPPER(IF(ISNUMBER(FIND("_",태깅기획site_code!F30)),LEFT(태깅기획site_code!F30,FIND("_",태깅기획site_code!F30)-1),태깅기획site_code!F30)),IF(COUNTIF(고객법인일정파일!$C$4:$C$200,태깅기획site_code!D30&amp;" ("&amp;PROPER(LEFT(태깅기획site_code!F30,FIND("_",태깅기획site_code!F30)-1))&amp;"_"&amp;UPPER(MID(태깅기획site_code!F30,FIND("_",태깅기획site_code!F30)+1,20))&amp;")")&gt;0,태깅기획site_code!D30&amp;" ("&amp;PROPER(LEFT(태깅기획site_code!F30,FIND("_",태깅기획site_code!F30)-1))&amp;"_"&amp;UPPER(MID(태깅기획site_code!F30,FIND("_",태깅기획site_code!F30)+1,20))&amp;")",IF(COUNTIF(고객법인일정파일!$C$4:$C$200,태깅기획site_code!D30)&gt;0,태깅기획site_code!D30,IF(ISNUMBER(FIND("_",태깅기획site_code!F30)),"",IFERROR(INDEX(고객법인일정파일!$C$4:$C$200,MATCH(태깅기획site_code!D30,$O$4:$O$200,0)),IF(ISNUMBER(FIND("-",태깅기획site_code!D30)),IFERROR(INDEX(고객법인일정파일!$C$4:$C$200,MATCH(LEFT(태깅기획site_code!D30,FIND("-",태깅기획site_code!D30)-1),고객법인일정파일!$C$4:$C$200,0)),""),IF(태깅기획site_code!D30="SCA",IF(RIGHT(태깅기획site_code!F30,3)="_fr",IFERROR(INDEX(고객법인일정파일!$C$4:$C$200,MATCH("SEWA (Africa_FR)",고객법인일정파일!$C$4:$C$200,0)),""),IF(RIGHT(태깅기획site_code!F30,3)="_en",IFERROR(INDEX(고객법인일정파일!$C$4:$C$200,MATCH("SEWA (Africa_EN)",고객법인일정파일!$C$4:$C$200,0)),""),"")),""))))))))</f>
        <v>XADB</v>
      </c>
      <c r="Q30" s="11">
        <f>IF(LEN(TRIM(P30))=0,"",IFERROR(INDEX(고객법인일정파일!$E$4:$E$192,MATCH(P30,고객법인일정파일!$C$4:$C$192,0)),""))</f>
        <v>0</v>
      </c>
      <c r="R30" s="12" t="str">
        <f>IF(OR(LEN(TRIM(P30))=0,Q30="X",Q30&lt;&gt;"O"),"",IFERROR(INDEX(고객법인일정파일!$F$4:$F$192,MATCH(P30,고객법인일정파일!$C$4:$C$192,0)),""))</f>
        <v/>
      </c>
      <c r="S30" s="12" t="str">
        <f>IF(OR(LEN(TRIM(P30))=0,Q30="X",Q30&lt;&gt;"O"),"",IFERROR(INDEX(고객법인일정파일!$H$4:$H$192,MATCH(P30,고객법인일정파일!$C$4:$C$192,0)),""))</f>
        <v/>
      </c>
      <c r="U30" s="11" t="str">
        <f>IF((고객법인일정파일!C30="Total"),"",IF(COUNTIF(MASTER!$D$5:$D$192,IF(고객법인일정파일!C30="한총","SEC",고객법인일정파일!C30))&gt;0,"","사용 안됨"))</f>
        <v/>
      </c>
    </row>
    <row r="31" spans="2:21">
      <c r="B31" s="145"/>
      <c r="C31" s="183" t="s">
        <v>336</v>
      </c>
      <c r="D31" s="183" t="s">
        <v>333</v>
      </c>
      <c r="E31" s="183" t="s">
        <v>20</v>
      </c>
      <c r="F31" s="142">
        <v>46042</v>
      </c>
      <c r="G31" s="182" t="str">
        <f>"W"&amp;WEEKNUM(F41)</f>
        <v>W33</v>
      </c>
      <c r="H31" s="142">
        <v>46063</v>
      </c>
      <c r="I31" s="182" t="str">
        <f>"W"&amp;WEEKNUM(H41)</f>
        <v>W33</v>
      </c>
      <c r="J31" s="150"/>
      <c r="O31" s="11" t="str">
        <f>IF(IF(OR(NOT(ISBLANK(고객법인일정파일!B31)),ISBLANK(고객법인일정파일!C31),고객법인일정파일!C31="Total"),"",IF(ISNUMBER(FIND("-",고객법인일정파일!C31)),LEFT(고객법인일정파일!C31,FIND("-",고객법인일정파일!C31)-1),IF(ISNUMBER(FIND(" ",고객법인일정파일!C31)),LEFT(고객법인일정파일!C31,FIND(" ",고객법인일정파일!C31)-1),고객법인일정파일!C31)))="한총","sec",IF(OR(NOT(ISBLANK(고객법인일정파일!B31)),ISBLANK(고객법인일정파일!C31),고객법인일정파일!C31="Total"),"",IF(ISNUMBER(FIND("-",고객법인일정파일!C31)),LEFT(고객법인일정파일!C31,FIND("-",고객법인일정파일!C31)-1),IF(ISNUMBER(FIND(" ",고객법인일정파일!C31)),LEFT(고객법인일정파일!C31,FIND(" ",고객법인일정파일!C31)-1),고객법인일정파일!C31))))</f>
        <v>XUMCOL</v>
      </c>
      <c r="P31" s="11" t="str">
        <f>IF(ISBLANK(태깅기획site_code!F31),"",IF(COUNTIF(고객법인일정파일!$C$4:$C$200,태깅기획site_code!D31&amp;"-"&amp;UPPER(IF(ISNUMBER(FIND("_",태깅기획site_code!F31)),LEFT(태깅기획site_code!F31,FIND("_",태깅기획site_code!F31)-1),태깅기획site_code!F31)))&gt;0,태깅기획site_code!D31&amp;"-"&amp;UPPER(IF(ISNUMBER(FIND("_",태깅기획site_code!F31)),LEFT(태깅기획site_code!F31,FIND("_",태깅기획site_code!F31)-1),태깅기획site_code!F31)),IF(COUNTIF(고객법인일정파일!$C$4:$C$200,태깅기획site_code!D31&amp;" ("&amp;PROPER(LEFT(태깅기획site_code!F31,FIND("_",태깅기획site_code!F31)-1))&amp;"_"&amp;UPPER(MID(태깅기획site_code!F31,FIND("_",태깅기획site_code!F31)+1,20))&amp;")")&gt;0,태깅기획site_code!D31&amp;" ("&amp;PROPER(LEFT(태깅기획site_code!F31,FIND("_",태깅기획site_code!F31)-1))&amp;"_"&amp;UPPER(MID(태깅기획site_code!F31,FIND("_",태깅기획site_code!F31)+1,20))&amp;")",IF(COUNTIF(고객법인일정파일!$C$4:$C$200,태깅기획site_code!D31)&gt;0,태깅기획site_code!D31,IF(ISNUMBER(FIND("_",태깅기획site_code!F31)),"",IFERROR(INDEX(고객법인일정파일!$C$4:$C$200,MATCH(태깅기획site_code!D31,$O$4:$O$200,0)),IF(ISNUMBER(FIND("-",태깅기획site_code!D31)),IFERROR(INDEX(고객법인일정파일!$C$4:$C$200,MATCH(LEFT(태깅기획site_code!D31,FIND("-",태깅기획site_code!D31)-1),고객법인일정파일!$C$4:$C$200,0)),""),IF(태깅기획site_code!D31="SCA",IF(RIGHT(태깅기획site_code!F31,3)="_fr",IFERROR(INDEX(고객법인일정파일!$C$4:$C$200,MATCH("SEWA (Africa_FR)",고객법인일정파일!$C$4:$C$200,0)),""),IF(RIGHT(태깅기획site_code!F31,3)="_en",IFERROR(INDEX(고객법인일정파일!$C$4:$C$200,MATCH("SEWA (Africa_EN)",고객법인일정파일!$C$4:$C$200,0)),""),"")),""))))))))</f>
        <v>XADADG</v>
      </c>
      <c r="Q31" s="11" t="str">
        <f>IF(LEN(TRIM(P31))=0,"",IFERROR(INDEX(고객법인일정파일!$E$4:$E$192,MATCH(P31,고객법인일정파일!$C$4:$C$192,0)),""))</f>
        <v>O</v>
      </c>
      <c r="R31" s="12" t="str">
        <f>IF(OR(LEN(TRIM(P31))=0,Q31="X",Q31&lt;&gt;"O"),"",IFERROR(INDEX(고객법인일정파일!$F$4:$F$192,MATCH(P31,고객법인일정파일!$C$4:$C$192,0)),""))</f>
        <v>TBC</v>
      </c>
      <c r="S31" s="12" t="str">
        <f>IF(OR(LEN(TRIM(P31))=0,Q31="X",Q31&lt;&gt;"O"),"",IFERROR(INDEX(고객법인일정파일!$H$4:$H$192,MATCH(P31,고객법인일정파일!$C$4:$C$192,0)),""))</f>
        <v>TBC</v>
      </c>
      <c r="U31" s="11" t="str">
        <f>IF((고객법인일정파일!C31="Total"),"",IF(COUNTIF(MASTER!$D$5:$D$192,IF(고객법인일정파일!C31="한총","SEC",고객법인일정파일!C31))&gt;0,"","사용 안됨"))</f>
        <v/>
      </c>
    </row>
    <row r="32" spans="2:21">
      <c r="B32" s="145"/>
      <c r="C32" s="183" t="s">
        <v>337</v>
      </c>
      <c r="D32" s="183" t="s">
        <v>333</v>
      </c>
      <c r="E32" s="183" t="s">
        <v>20</v>
      </c>
      <c r="F32" s="142">
        <v>46297</v>
      </c>
      <c r="G32" s="182" t="str">
        <f>"W"&amp;WEEKNUM(F42)</f>
        <v>W6</v>
      </c>
      <c r="H32" s="142">
        <v>46313</v>
      </c>
      <c r="I32" s="182" t="e">
        <f>"W"&amp;WEEKNUM(H42)</f>
        <v>#VALUE!</v>
      </c>
      <c r="J32" s="151" t="str">
        <f>"Note1-test "&amp;C42</f>
        <v>Note1-test XMAD</v>
      </c>
      <c r="O32" s="11" t="str">
        <f>IF(IF(OR(NOT(ISBLANK(고객법인일정파일!B32)),ISBLANK(고객법인일정파일!C32),고객법인일정파일!C32="Total"),"",IF(ISNUMBER(FIND("-",고객법인일정파일!C32)),LEFT(고객법인일정파일!C32,FIND("-",고객법인일정파일!C32)-1),IF(ISNUMBER(FIND(" ",고객법인일정파일!C32)),LEFT(고객법인일정파일!C32,FIND(" ",고객법인일정파일!C32)-1),고객법인일정파일!C32)))="한총","sec",IF(OR(NOT(ISBLANK(고객법인일정파일!B32)),ISBLANK(고객법인일정파일!C32),고객법인일정파일!C32="Total"),"",IF(ISNUMBER(FIND("-",고객법인일정파일!C32)),LEFT(고객법인일정파일!C32,FIND("-",고객법인일정파일!C32)-1),IF(ISNUMBER(FIND(" ",고객법인일정파일!C32)),LEFT(고객법인일정파일!C32,FIND(" ",고객법인일정파일!C32)-1),고객법인일정파일!C32))))</f>
        <v>XADUXU</v>
      </c>
      <c r="P32" s="11" t="str">
        <f>IF(ISBLANK(태깅기획site_code!F32),"",IF(COUNTIF(고객법인일정파일!$C$4:$C$200,태깅기획site_code!D32&amp;"-"&amp;UPPER(IF(ISNUMBER(FIND("_",태깅기획site_code!F32)),LEFT(태깅기획site_code!F32,FIND("_",태깅기획site_code!F32)-1),태깅기획site_code!F32)))&gt;0,태깅기획site_code!D32&amp;"-"&amp;UPPER(IF(ISNUMBER(FIND("_",태깅기획site_code!F32)),LEFT(태깅기획site_code!F32,FIND("_",태깅기획site_code!F32)-1),태깅기획site_code!F32)),IF(COUNTIF(고객법인일정파일!$C$4:$C$200,태깅기획site_code!D32&amp;" ("&amp;PROPER(LEFT(태깅기획site_code!F32,FIND("_",태깅기획site_code!F32)-1))&amp;"_"&amp;UPPER(MID(태깅기획site_code!F32,FIND("_",태깅기획site_code!F32)+1,20))&amp;")")&gt;0,태깅기획site_code!D32&amp;" ("&amp;PROPER(LEFT(태깅기획site_code!F32,FIND("_",태깅기획site_code!F32)-1))&amp;"_"&amp;UPPER(MID(태깅기획site_code!F32,FIND("_",태깅기획site_code!F32)+1,20))&amp;")",IF(COUNTIF(고객법인일정파일!$C$4:$C$200,태깅기획site_code!D32)&gt;0,태깅기획site_code!D32,IF(ISNUMBER(FIND("_",태깅기획site_code!F32)),"",IFERROR(INDEX(고객법인일정파일!$C$4:$C$200,MATCH(태깅기획site_code!D32,$O$4:$O$200,0)),IF(ISNUMBER(FIND("-",태깅기획site_code!D32)),IFERROR(INDEX(고객법인일정파일!$C$4:$C$200,MATCH(LEFT(태깅기획site_code!D32,FIND("-",태깅기획site_code!D32)-1),고객법인일정파일!$C$4:$C$200,0)),""),IF(태깅기획site_code!D32="SCA",IF(RIGHT(태깅기획site_code!F32,3)="_fr",IFERROR(INDEX(고객법인일정파일!$C$4:$C$200,MATCH("SEWA (Africa_FR)",고객법인일정파일!$C$4:$C$200,0)),""),IF(RIGHT(태깅기획site_code!F32,3)="_en",IFERROR(INDEX(고객법인일정파일!$C$4:$C$200,MATCH("SEWA (Africa_EN)",고객법인일정파일!$C$4:$C$200,0)),""),"")),""))))))))</f>
        <v>XADIB-ES</v>
      </c>
      <c r="Q32" s="11" t="str">
        <f>IF(LEN(TRIM(P32))=0,"",IFERROR(INDEX(고객법인일정파일!$E$4:$E$192,MATCH(P32,고객법인일정파일!$C$4:$C$192,0)),""))</f>
        <v>O</v>
      </c>
      <c r="R32" s="12">
        <f>IF(OR(LEN(TRIM(P32))=0,Q32="X",Q32&lt;&gt;"O"),"",IFERROR(INDEX(고객법인일정파일!$F$4:$F$192,MATCH(P32,고객법인일정파일!$C$4:$C$192,0)),""))</f>
        <v>46042</v>
      </c>
      <c r="S32" s="12">
        <f>IF(OR(LEN(TRIM(P32))=0,Q32="X",Q32&lt;&gt;"O"),"",IFERROR(INDEX(고객법인일정파일!$H$4:$H$192,MATCH(P32,고객법인일정파일!$C$4:$C$192,0)),""))</f>
        <v>46057</v>
      </c>
      <c r="U32" s="11" t="str">
        <f>IF((고객법인일정파일!C32="Total"),"",IF(COUNTIF(MASTER!$D$5:$D$192,IF(고객법인일정파일!C32="한총","SEC",고객법인일정파일!C32))&gt;0,"","사용 안됨"))</f>
        <v/>
      </c>
    </row>
    <row r="33" spans="2:21">
      <c r="B33" s="145"/>
      <c r="C33" s="183" t="s">
        <v>338</v>
      </c>
      <c r="D33" s="183" t="s">
        <v>333</v>
      </c>
      <c r="E33" s="183" t="s">
        <v>20</v>
      </c>
      <c r="F33" s="142">
        <v>46042</v>
      </c>
      <c r="G33" s="182" t="str">
        <f>"W"&amp;WEEKNUM(F44)</f>
        <v>W0</v>
      </c>
      <c r="H33" s="142">
        <v>46063</v>
      </c>
      <c r="I33" s="182" t="str">
        <f>"W"&amp;WEEKNUM(H44)</f>
        <v>W0</v>
      </c>
      <c r="J33" s="150"/>
      <c r="O33" s="11" t="str">
        <f>IF(IF(OR(NOT(ISBLANK(고객법인일정파일!B33)),ISBLANK(고객법인일정파일!C33),고객법인일정파일!C33="Total"),"",IF(ISNUMBER(FIND("-",고객법인일정파일!C33)),LEFT(고객법인일정파일!C33,FIND("-",고객법인일정파일!C33)-1),IF(ISNUMBER(FIND(" ",고객법인일정파일!C33)),LEFT(고객법인일정파일!C33,FIND(" ",고객법인일정파일!C33)-1),고객법인일정파일!C33)))="한총","sec",IF(OR(NOT(ISBLANK(고객법인일정파일!B33)),ISBLANK(고객법인일정파일!C33),고객법인일정파일!C33="Total"),"",IF(ISNUMBER(FIND("-",고객법인일정파일!C33)),LEFT(고객법인일정파일!C33,FIND("-",고객법인일정파일!C33)-1),IF(ISNUMBER(FIND(" ",고객법인일정파일!C33)),LEFT(고객법인일정파일!C33,FIND(" ",고객법인일정파일!C33)-1),고객법인일정파일!C33))))</f>
        <v>XADLU</v>
      </c>
      <c r="P33" s="11" t="str">
        <f>IF(ISBLANK(태깅기획site_code!F33),"",IF(COUNTIF(고객법인일정파일!$C$4:$C$200,태깅기획site_code!D33&amp;"-"&amp;UPPER(IF(ISNUMBER(FIND("_",태깅기획site_code!F33)),LEFT(태깅기획site_code!F33,FIND("_",태깅기획site_code!F33)-1),태깅기획site_code!F33)))&gt;0,태깅기획site_code!D33&amp;"-"&amp;UPPER(IF(ISNUMBER(FIND("_",태깅기획site_code!F33)),LEFT(태깅기획site_code!F33,FIND("_",태깅기획site_code!F33)-1),태깅기획site_code!F33)),IF(COUNTIF(고객법인일정파일!$C$4:$C$200,태깅기획site_code!D33&amp;" ("&amp;PROPER(LEFT(태깅기획site_code!F33,FIND("_",태깅기획site_code!F33)-1))&amp;"_"&amp;UPPER(MID(태깅기획site_code!F33,FIND("_",태깅기획site_code!F33)+1,20))&amp;")")&gt;0,태깅기획site_code!D33&amp;" ("&amp;PROPER(LEFT(태깅기획site_code!F33,FIND("_",태깅기획site_code!F33)-1))&amp;"_"&amp;UPPER(MID(태깅기획site_code!F33,FIND("_",태깅기획site_code!F33)+1,20))&amp;")",IF(COUNTIF(고객법인일정파일!$C$4:$C$200,태깅기획site_code!D33)&gt;0,태깅기획site_code!D33,IF(ISNUMBER(FIND("_",태깅기획site_code!F33)),"",IFERROR(INDEX(고객법인일정파일!$C$4:$C$200,MATCH(태깅기획site_code!D33,$O$4:$O$200,0)),IF(ISNUMBER(FIND("-",태깅기획site_code!D33)),IFERROR(INDEX(고객법인일정파일!$C$4:$C$200,MATCH(LEFT(태깅기획site_code!D33,FIND("-",태깅기획site_code!D33)-1),고객법인일정파일!$C$4:$C$200,0)),""),IF(태깅기획site_code!D33="SCA",IF(RIGHT(태깅기획site_code!F33,3)="_fr",IFERROR(INDEX(고객법인일정파일!$C$4:$C$200,MATCH("SEWA (Africa_FR)",고객법인일정파일!$C$4:$C$200,0)),""),IF(RIGHT(태깅기획site_code!F33,3)="_en",IFERROR(INDEX(고객법인일정파일!$C$4:$C$200,MATCH("SEWA (Africa_EN)",고객법인일정파일!$C$4:$C$200,0)),""),"")),""))))))))</f>
        <v>XADNU</v>
      </c>
      <c r="Q33" s="11" t="str">
        <f>IF(LEN(TRIM(P33))=0,"",IFERROR(INDEX(고객법인일정파일!$E$4:$E$192,MATCH(P33,고객법인일정파일!$C$4:$C$192,0)),""))</f>
        <v>X</v>
      </c>
      <c r="R33" s="12" t="str">
        <f>IF(OR(LEN(TRIM(P33))=0,Q33="X",Q33&lt;&gt;"O"),"",IFERROR(INDEX(고객법인일정파일!$F$4:$F$192,MATCH(P33,고객법인일정파일!$C$4:$C$192,0)),""))</f>
        <v/>
      </c>
      <c r="S33" s="12" t="str">
        <f>IF(OR(LEN(TRIM(P33))=0,Q33="X",Q33&lt;&gt;"O"),"",IFERROR(INDEX(고객법인일정파일!$H$4:$H$192,MATCH(P33,고객법인일정파일!$C$4:$C$192,0)),""))</f>
        <v/>
      </c>
      <c r="U33" s="11" t="str">
        <f>IF((고객법인일정파일!C33="Total"),"",IF(COUNTIF(MASTER!$D$5:$D$192,IF(고객법인일정파일!C33="한총","SEC",고객법인일정파일!C33))&gt;0,"","사용 안됨"))</f>
        <v/>
      </c>
    </row>
    <row r="34" spans="2:21">
      <c r="B34" s="145"/>
      <c r="C34" s="183" t="s">
        <v>339</v>
      </c>
      <c r="D34" s="183" t="s">
        <v>333</v>
      </c>
      <c r="E34" s="183" t="s">
        <v>20</v>
      </c>
      <c r="F34" s="142">
        <v>46048</v>
      </c>
      <c r="G34" s="182" t="str">
        <f>"W"&amp;WEEKNUM(F44)</f>
        <v>W0</v>
      </c>
      <c r="H34" s="142">
        <v>46063</v>
      </c>
      <c r="I34" s="182" t="str">
        <f>"W"&amp;WEEKNUM(H44)</f>
        <v>W0</v>
      </c>
      <c r="J34" s="150"/>
      <c r="O34" s="11" t="str">
        <f>IF(IF(OR(NOT(ISBLANK(고객법인일정파일!B34)),ISBLANK(고객법인일정파일!C34),고객법인일정파일!C34="Total"),"",IF(ISNUMBER(FIND("-",고객법인일정파일!C34)),LEFT(고객법인일정파일!C34,FIND("-",고객법인일정파일!C34)-1),IF(ISNUMBER(FIND(" ",고객법인일정파일!C34)),LEFT(고객법인일정파일!C34,FIND(" ",고객법인일정파일!C34)-1),고객법인일정파일!C34)))="한총","sec",IF(OR(NOT(ISBLANK(고객법인일정파일!B34)),ISBLANK(고객법인일정파일!C34),고객법인일정파일!C34="Total"),"",IF(ISNUMBER(FIND("-",고객법인일정파일!C34)),LEFT(고객법인일정파일!C34,FIND("-",고객법인일정파일!C34)-1),IF(ISNUMBER(FIND(" ",고객법인일정파일!C34)),LEFT(고객법인일정파일!C34,FIND(" ",고객법인일정파일!C34)-1),고객법인일정파일!C34))))</f>
        <v>XADPR</v>
      </c>
      <c r="P34" s="11" t="str">
        <f>IF(ISBLANK(태깅기획site_code!F34),"",IF(COUNTIF(고객법인일정파일!$C$4:$C$200,태깅기획site_code!D34&amp;"-"&amp;UPPER(IF(ISNUMBER(FIND("_",태깅기획site_code!F34)),LEFT(태깅기획site_code!F34,FIND("_",태깅기획site_code!F34)-1),태깅기획site_code!F34)))&gt;0,태깅기획site_code!D34&amp;"-"&amp;UPPER(IF(ISNUMBER(FIND("_",태깅기획site_code!F34)),LEFT(태깅기획site_code!F34,FIND("_",태깅기획site_code!F34)-1),태깅기획site_code!F34)),IF(COUNTIF(고객법인일정파일!$C$4:$C$200,태깅기획site_code!D34&amp;" ("&amp;PROPER(LEFT(태깅기획site_code!F34,FIND("_",태깅기획site_code!F34)-1))&amp;"_"&amp;UPPER(MID(태깅기획site_code!F34,FIND("_",태깅기획site_code!F34)+1,20))&amp;")")&gt;0,태깅기획site_code!D34&amp;" ("&amp;PROPER(LEFT(태깅기획site_code!F34,FIND("_",태깅기획site_code!F34)-1))&amp;"_"&amp;UPPER(MID(태깅기획site_code!F34,FIND("_",태깅기획site_code!F34)+1,20))&amp;")",IF(COUNTIF(고객법인일정파일!$C$4:$C$200,태깅기획site_code!D34)&gt;0,태깅기획site_code!D34,IF(ISNUMBER(FIND("_",태깅기획site_code!F34)),"",IFERROR(INDEX(고객법인일정파일!$C$4:$C$200,MATCH(태깅기획site_code!D34,$O$4:$O$200,0)),IF(ISNUMBER(FIND("-",태깅기획site_code!D34)),IFERROR(INDEX(고객법인일정파일!$C$4:$C$200,MATCH(LEFT(태깅기획site_code!D34,FIND("-",태깅기획site_code!D34)-1),고객법인일정파일!$C$4:$C$200,0)),""),IF(태깅기획site_code!D34="SCA",IF(RIGHT(태깅기획site_code!F34,3)="_fr",IFERROR(INDEX(고객법인일정파일!$C$4:$C$200,MATCH("SEWA (Africa_FR)",고객법인일정파일!$C$4:$C$200,0)),""),IF(RIGHT(태깅기획site_code!F34,3)="_en",IFERROR(INDEX(고객법인일정파일!$C$4:$C$200,MATCH("SEWA (Africa_EN)",고객법인일정파일!$C$4:$C$200,0)),""),"")),""))))))))</f>
        <v>XADF</v>
      </c>
      <c r="Q34" s="11" t="str">
        <f>IF(LEN(TRIM(P34))=0,"",IFERROR(INDEX(고객법인일정파일!$E$4:$E$192,MATCH(P34,고객법인일정파일!$C$4:$C$192,0)),""))</f>
        <v>O</v>
      </c>
      <c r="R34" s="12">
        <f>IF(OR(LEN(TRIM(P34))=0,Q34="X",Q34&lt;&gt;"O"),"",IFERROR(INDEX(고객법인일정파일!$F$4:$F$192,MATCH(P34,고객법인일정파일!$C$4:$C$192,0)),""))</f>
        <v>46071</v>
      </c>
      <c r="S34" s="12">
        <f>IF(OR(LEN(TRIM(P34))=0,Q34="X",Q34&lt;&gt;"O"),"",IFERROR(INDEX(고객법인일정파일!$H$4:$H$192,MATCH(P34,고객법인일정파일!$C$4:$C$192,0)),""))</f>
        <v>46081</v>
      </c>
      <c r="U34" s="11" t="str">
        <f>IF((고객법인일정파일!C34="Total"),"",IF(COUNTIF(MASTER!$D$5:$D$192,IF(고객법인일정파일!C34="한총","SEC",고객법인일정파일!C34))&gt;0,"","사용 안됨"))</f>
        <v/>
      </c>
    </row>
    <row r="35" spans="2:21">
      <c r="B35" s="144" t="s">
        <v>75</v>
      </c>
      <c r="C35" s="183" t="s">
        <v>312</v>
      </c>
      <c r="D35" s="183"/>
      <c r="E35" s="183"/>
      <c r="F35" s="142"/>
      <c r="G35" s="182" t="str">
        <f>"W"&amp;WEEKNUM(F45)</f>
        <v>W3</v>
      </c>
      <c r="H35" s="142"/>
      <c r="I35" s="182" t="str">
        <f>"W"&amp;WEEKNUM(H45)</f>
        <v>W4</v>
      </c>
      <c r="J35" s="150"/>
      <c r="O35" s="11" t="str">
        <f>IF(IF(OR(NOT(ISBLANK(고객법인일정파일!B35)),ISBLANK(고객법인일정파일!C35),고객법인일정파일!C35="Total"),"",IF(ISNUMBER(FIND("-",고객법인일정파일!C35)),LEFT(고객법인일정파일!C35,FIND("-",고객법인일정파일!C35)-1),IF(ISNUMBER(FIND(" ",고객법인일정파일!C35)),LEFT(고객법인일정파일!C35,FIND(" ",고객법인일정파일!C35)-1),고객법인일정파일!C35)))="한총","sec",IF(OR(NOT(ISBLANK(고객법인일정파일!B35)),ISBLANK(고객법인일정파일!C35),고객법인일정파일!C35="Total"),"",IF(ISNUMBER(FIND("-",고객법인일정파일!C35)),LEFT(고객법인일정파일!C35,FIND("-",고객법인일정파일!C35)-1),IF(ISNUMBER(FIND(" ",고객법인일정파일!C35)),LEFT(고객법인일정파일!C35,FIND(" ",고객법인일정파일!C35)-1),고객법인일정파일!C35))))</f>
        <v/>
      </c>
      <c r="P35" s="11" t="str">
        <f>IF(ISBLANK(태깅기획site_code!F35),"",IF(COUNTIF(고객법인일정파일!$C$4:$C$200,태깅기획site_code!D35&amp;"-"&amp;UPPER(IF(ISNUMBER(FIND("_",태깅기획site_code!F35)),LEFT(태깅기획site_code!F35,FIND("_",태깅기획site_code!F35)-1),태깅기획site_code!F35)))&gt;0,태깅기획site_code!D35&amp;"-"&amp;UPPER(IF(ISNUMBER(FIND("_",태깅기획site_code!F35)),LEFT(태깅기획site_code!F35,FIND("_",태깅기획site_code!F35)-1),태깅기획site_code!F35)),IF(COUNTIF(고객법인일정파일!$C$4:$C$200,태깅기획site_code!D35&amp;" ("&amp;PROPER(LEFT(태깅기획site_code!F35,FIND("_",태깅기획site_code!F35)-1))&amp;"_"&amp;UPPER(MID(태깅기획site_code!F35,FIND("_",태깅기획site_code!F35)+1,20))&amp;")")&gt;0,태깅기획site_code!D35&amp;" ("&amp;PROPER(LEFT(태깅기획site_code!F35,FIND("_",태깅기획site_code!F35)-1))&amp;"_"&amp;UPPER(MID(태깅기획site_code!F35,FIND("_",태깅기획site_code!F35)+1,20))&amp;")",IF(COUNTIF(고객법인일정파일!$C$4:$C$200,태깅기획site_code!D35)&gt;0,태깅기획site_code!D35,IF(ISNUMBER(FIND("_",태깅기획site_code!F35)),"",IFERROR(INDEX(고객법인일정파일!$C$4:$C$200,MATCH(태깅기획site_code!D35,$O$4:$O$200,0)),IF(ISNUMBER(FIND("-",태깅기획site_code!D35)),IFERROR(INDEX(고객법인일정파일!$C$4:$C$200,MATCH(LEFT(태깅기획site_code!D35,FIND("-",태깅기획site_code!D35)-1),고객법인일정파일!$C$4:$C$200,0)),""),IF(태깅기획site_code!D35="SCA",IF(RIGHT(태깅기획site_code!F35,3)="_fr",IFERROR(INDEX(고객법인일정파일!$C$4:$C$200,MATCH("SEWA (Africa_FR)",고객법인일정파일!$C$4:$C$200,0)),""),IF(RIGHT(태깅기획site_code!F35,3)="_en",IFERROR(INDEX(고객법인일정파일!$C$4:$C$200,MATCH("SEWA (Africa_EN)",고객법인일정파일!$C$4:$C$200,0)),""),"")),""))))))))</f>
        <v/>
      </c>
      <c r="Q35" s="11" t="str">
        <f>IF(LEN(TRIM(P35))=0,"",IFERROR(INDEX(고객법인일정파일!$E$4:$E$192,MATCH(P35,고객법인일정파일!$C$4:$C$192,0)),""))</f>
        <v/>
      </c>
      <c r="R35" s="12" t="str">
        <f>IF(OR(LEN(TRIM(P35))=0,Q35="X",Q35&lt;&gt;"O"),"",IFERROR(INDEX(고객법인일정파일!$F$4:$F$192,MATCH(P35,고객법인일정파일!$C$4:$C$192,0)),""))</f>
        <v/>
      </c>
      <c r="S35" s="12" t="str">
        <f>IF(OR(LEN(TRIM(P35))=0,Q35="X",Q35&lt;&gt;"O"),"",IFERROR(INDEX(고객법인일정파일!$H$4:$H$192,MATCH(P35,고객법인일정파일!$C$4:$C$192,0)),""))</f>
        <v/>
      </c>
      <c r="U35" s="11" t="str">
        <f>IF((고객법인일정파일!C35="Total"),"",IF(COUNTIF(MASTER!$D$5:$D$192,IF(고객법인일정파일!C35="한총","SEC",고객법인일정파일!C35))&gt;0,"","사용 안됨"))</f>
        <v>사용 안됨</v>
      </c>
    </row>
    <row r="36" spans="2:21">
      <c r="B36" s="145"/>
      <c r="C36" s="183" t="s">
        <v>340</v>
      </c>
      <c r="D36" s="183" t="s">
        <v>333</v>
      </c>
      <c r="E36" s="182" t="s">
        <v>20</v>
      </c>
      <c r="F36" s="142">
        <v>46046</v>
      </c>
      <c r="G36" s="182" t="str">
        <f>"W"&amp;WEEKNUM(F46)</f>
        <v>W0</v>
      </c>
      <c r="H36" s="143">
        <v>46067</v>
      </c>
      <c r="I36" s="182" t="str">
        <f>"W"&amp;WEEKNUM(H46)</f>
        <v>W0</v>
      </c>
      <c r="J36" s="150"/>
      <c r="O36" s="11" t="str">
        <f>IF(IF(OR(NOT(ISBLANK(고객법인일정파일!B36)),ISBLANK(고객법인일정파일!C36),고객법인일정파일!C36="Total"),"",IF(ISNUMBER(FIND("-",고객법인일정파일!C36)),LEFT(고객법인일정파일!C36,FIND("-",고객법인일정파일!C36)-1),IF(ISNUMBER(FIND(" ",고객법인일정파일!C36)),LEFT(고객법인일정파일!C36,FIND(" ",고객법인일정파일!C36)-1),고객법인일정파일!C36)))="한총","sec",IF(OR(NOT(ISBLANK(고객법인일정파일!B36)),ISBLANK(고객법인일정파일!C36),고객법인일정파일!C36="Total"),"",IF(ISNUMBER(FIND("-",고객법인일정파일!C36)),LEFT(고객법인일정파일!C36,FIND("-",고객법인일정파일!C36)-1),IF(ISNUMBER(FIND(" ",고객법인일정파일!C36)),LEFT(고객법인일정파일!C36,FIND(" ",고객법인일정파일!C36)-1),고객법인일정파일!C36))))</f>
        <v>XADUU</v>
      </c>
      <c r="P36" s="11" t="str">
        <f>IF(ISBLANK(태깅기획site_code!F36),"",IF(COUNTIF(고객법인일정파일!$C$4:$C$200,태깅기획site_code!D36&amp;"-"&amp;UPPER(IF(ISNUMBER(FIND("_",태깅기획site_code!F36)),LEFT(태깅기획site_code!F36,FIND("_",태깅기획site_code!F36)-1),태깅기획site_code!F36)))&gt;0,태깅기획site_code!D36&amp;"-"&amp;UPPER(IF(ISNUMBER(FIND("_",태깅기획site_code!F36)),LEFT(태깅기획site_code!F36,FIND("_",태깅기획site_code!F36)-1),태깅기획site_code!F36)),IF(COUNTIF(고객법인일정파일!$C$4:$C$200,태깅기획site_code!D36&amp;" ("&amp;PROPER(LEFT(태깅기획site_code!F36,FIND("_",태깅기획site_code!F36)-1))&amp;"_"&amp;UPPER(MID(태깅기획site_code!F36,FIND("_",태깅기획site_code!F36)+1,20))&amp;")")&gt;0,태깅기획site_code!D36&amp;" ("&amp;PROPER(LEFT(태깅기획site_code!F36,FIND("_",태깅기획site_code!F36)-1))&amp;"_"&amp;UPPER(MID(태깅기획site_code!F36,FIND("_",태깅기획site_code!F36)+1,20))&amp;")",IF(COUNTIF(고객법인일정파일!$C$4:$C$200,태깅기획site_code!D36)&gt;0,태깅기획site_code!D36,IF(ISNUMBER(FIND("_",태깅기획site_code!F36)),"",IFERROR(INDEX(고객법인일정파일!$C$4:$C$200,MATCH(태깅기획site_code!D36,$O$4:$O$200,0)),IF(ISNUMBER(FIND("-",태깅기획site_code!D36)),IFERROR(INDEX(고객법인일정파일!$C$4:$C$200,MATCH(LEFT(태깅기획site_code!D36,FIND("-",태깅기획site_code!D36)-1),고객법인일정파일!$C$4:$C$200,0)),""),IF(태깅기획site_code!D36="SCA",IF(RIGHT(태깅기획site_code!F36,3)="_fr",IFERROR(INDEX(고객법인일정파일!$C$4:$C$200,MATCH("SEWA (Africa_FR)",고객법인일정파일!$C$4:$C$200,0)),""),IF(RIGHT(태깅기획site_code!F36,3)="_en",IFERROR(INDEX(고객법인일정파일!$C$4:$C$200,MATCH("SEWA (Africa_EN)",고객법인일정파일!$C$4:$C$200,0)),""),"")),""))))))))</f>
        <v/>
      </c>
      <c r="Q36" s="11" t="str">
        <f>IF(LEN(TRIM(P36))=0,"",IFERROR(INDEX(고객법인일정파일!$E$4:$E$192,MATCH(P36,고객법인일정파일!$C$4:$C$192,0)),""))</f>
        <v/>
      </c>
      <c r="R36" s="12" t="str">
        <f>IF(OR(LEN(TRIM(P36))=0,Q36="X",Q36&lt;&gt;"O"),"",IFERROR(INDEX(고객법인일정파일!$F$4:$F$192,MATCH(P36,고객법인일정파일!$C$4:$C$192,0)),""))</f>
        <v/>
      </c>
      <c r="S36" s="12" t="str">
        <f>IF(OR(LEN(TRIM(P36))=0,Q36="X",Q36&lt;&gt;"O"),"",IFERROR(INDEX(고객법인일정파일!$H$4:$H$192,MATCH(P36,고객법인일정파일!$C$4:$C$192,0)),""))</f>
        <v/>
      </c>
      <c r="U36" s="11" t="str">
        <f>IF((고객법인일정파일!C36="Total"),"",IF(COUNTIF(MASTER!$D$5:$D$192,IF(고객법인일정파일!C36="한총","SEC",고객법인일정파일!C36))&gt;0,"","사용 안됨"))</f>
        <v/>
      </c>
    </row>
    <row r="37" spans="2:21">
      <c r="B37" s="145"/>
      <c r="C37" s="183" t="s">
        <v>341</v>
      </c>
      <c r="D37" s="183" t="s">
        <v>333</v>
      </c>
      <c r="E37" s="183" t="s">
        <v>20</v>
      </c>
      <c r="F37" s="142">
        <v>46038</v>
      </c>
      <c r="G37" s="182" t="str">
        <f>"W"&amp;WEEKNUM(F46)</f>
        <v>W0</v>
      </c>
      <c r="H37" s="142">
        <v>46064</v>
      </c>
      <c r="I37" s="182" t="str">
        <f>"W"&amp;WEEKNUM(H46)</f>
        <v>W0</v>
      </c>
      <c r="J37" s="150"/>
      <c r="O37" s="11" t="str">
        <f>IF(IF(OR(NOT(ISBLANK(고객법인일정파일!B37)),ISBLANK(고객법인일정파일!C37),고객법인일정파일!C37="Total"),"",IF(ISNUMBER(FIND("-",고객법인일정파일!C37)),LEFT(고객법인일정파일!C37,FIND("-",고객법인일정파일!C37)-1),IF(ISNUMBER(FIND(" ",고객법인일정파일!C37)),LEFT(고객법인일정파일!C37,FIND(" ",고객법인일정파일!C37)-1),고객법인일정파일!C37)))="한총","sec",IF(OR(NOT(ISBLANK(고객법인일정파일!B37)),ISBLANK(고객법인일정파일!C37),고객법인일정파일!C37="Total"),"",IF(ISNUMBER(FIND("-",고객법인일정파일!C37)),LEFT(고객법인일정파일!C37,FIND("-",고객법인일정파일!C37)-1),IF(ISNUMBER(FIND(" ",고객법인일정파일!C37)),LEFT(고객법인일정파일!C37,FIND(" ",고객법인일정파일!C37)-1),고객법인일정파일!C37))))</f>
        <v>XADPCO</v>
      </c>
      <c r="P37" s="11" t="str">
        <f>IF(ISBLANK(태깅기획site_code!F37),"",IF(COUNTIF(고객법인일정파일!$C$4:$C$200,태깅기획site_code!D37&amp;"-"&amp;UPPER(IF(ISNUMBER(FIND("_",태깅기획site_code!F37)),LEFT(태깅기획site_code!F37,FIND("_",태깅기획site_code!F37)-1),태깅기획site_code!F37)))&gt;0,태깅기획site_code!D37&amp;"-"&amp;UPPER(IF(ISNUMBER(FIND("_",태깅기획site_code!F37)),LEFT(태깅기획site_code!F37,FIND("_",태깅기획site_code!F37)-1),태깅기획site_code!F37)),IF(COUNTIF(고객법인일정파일!$C$4:$C$200,태깅기획site_code!D37&amp;" ("&amp;PROPER(LEFT(태깅기획site_code!F37,FIND("_",태깅기획site_code!F37)-1))&amp;"_"&amp;UPPER(MID(태깅기획site_code!F37,FIND("_",태깅기획site_code!F37)+1,20))&amp;")")&gt;0,태깅기획site_code!D37&amp;" ("&amp;PROPER(LEFT(태깅기획site_code!F37,FIND("_",태깅기획site_code!F37)-1))&amp;"_"&amp;UPPER(MID(태깅기획site_code!F37,FIND("_",태깅기획site_code!F37)+1,20))&amp;")",IF(COUNTIF(고객법인일정파일!$C$4:$C$200,태깅기획site_code!D37)&gt;0,태깅기획site_code!D37,IF(ISNUMBER(FIND("_",태깅기획site_code!F37)),"",IFERROR(INDEX(고객법인일정파일!$C$4:$C$200,MATCH(태깅기획site_code!D37,$O$4:$O$200,0)),IF(ISNUMBER(FIND("-",태깅기획site_code!D37)),IFERROR(INDEX(고객법인일정파일!$C$4:$C$200,MATCH(LEFT(태깅기획site_code!D37,FIND("-",태깅기획site_code!D37)-1),고객법인일정파일!$C$4:$C$200,0)),""),IF(태깅기획site_code!D37="SCA",IF(RIGHT(태깅기획site_code!F37,3)="_fr",IFERROR(INDEX(고객법인일정파일!$C$4:$C$200,MATCH("SEWA (Africa_FR)",고객법인일정파일!$C$4:$C$200,0)),""),IF(RIGHT(태깅기획site_code!F37,3)="_en",IFERROR(INDEX(고객법인일정파일!$C$4:$C$200,MATCH("SEWA (Africa_EN)",고객법인일정파일!$C$4:$C$200,0)),""),"")),""))))))))</f>
        <v>XADHK</v>
      </c>
      <c r="Q37" s="11" t="str">
        <f>IF(LEN(TRIM(P37))=0,"",IFERROR(INDEX(고객법인일정파일!$E$4:$E$192,MATCH(P37,고객법인일정파일!$C$4:$C$192,0)),""))</f>
        <v>O</v>
      </c>
      <c r="R37" s="12">
        <f>IF(OR(LEN(TRIM(P37))=0,Q37="X",Q37&lt;&gt;"O"),"",IFERROR(INDEX(고객법인일정파일!$F$4:$F$192,MATCH(P37,고객법인일정파일!$C$4:$C$192,0)),""))</f>
        <v>46054</v>
      </c>
      <c r="S37" s="12">
        <f>IF(OR(LEN(TRIM(P37))=0,Q37="X",Q37&lt;&gt;"O"),"",IFERROR(INDEX(고객법인일정파일!$H$4:$H$192,MATCH(P37,고객법인일정파일!$C$4:$C$192,0)),""))</f>
        <v>46064</v>
      </c>
      <c r="U37" s="11" t="str">
        <f>IF((고객법인일정파일!C37="Total"),"",IF(COUNTIF(MASTER!$D$5:$D$192,IF(고객법인일정파일!C37="한총","SEC",고객법인일정파일!C37))&gt;0,"","사용 안됨"))</f>
        <v/>
      </c>
    </row>
    <row r="38" spans="2:21">
      <c r="B38" s="145"/>
      <c r="C38" s="183" t="s">
        <v>342</v>
      </c>
      <c r="D38" s="183" t="s">
        <v>333</v>
      </c>
      <c r="E38" s="183"/>
      <c r="F38" s="142"/>
      <c r="G38" s="182" t="str">
        <f>"W"&amp;WEEKNUM(F48)</f>
        <v>W6</v>
      </c>
      <c r="H38" s="142"/>
      <c r="I38" s="182" t="str">
        <f>"W"&amp;WEEKNUM(H48)</f>
        <v>W7</v>
      </c>
      <c r="J38" s="151" t="str">
        <f>"Note1-test "&amp;C48</f>
        <v>Note1-test XADTK</v>
      </c>
      <c r="O38" s="11" t="str">
        <f>IF(IF(OR(NOT(ISBLANK(고객법인일정파일!B38)),ISBLANK(고객법인일정파일!C38),고객법인일정파일!C38="Total"),"",IF(ISNUMBER(FIND("-",고객법인일정파일!C38)),LEFT(고객법인일정파일!C38,FIND("-",고객법인일정파일!C38)-1),IF(ISNUMBER(FIND(" ",고객법인일정파일!C38)),LEFT(고객법인일정파일!C38,FIND(" ",고객법인일정파일!C38)-1),고객법인일정파일!C38)))="한총","sec",IF(OR(NOT(ISBLANK(고객법인일정파일!B38)),ISBLANK(고객법인일정파일!C38),고객법인일정파일!C38="Total"),"",IF(ISNUMBER(FIND("-",고객법인일정파일!C38)),LEFT(고객법인일정파일!C38,FIND("-",고객법인일정파일!C38)-1),IF(ISNUMBER(FIND(" ",고객법인일정파일!C38)),LEFT(고객법인일정파일!C38,FIND(" ",고객법인일정파일!C38)-1),고객법인일정파일!C38))))</f>
        <v>XADIN</v>
      </c>
      <c r="P38" s="11" t="str">
        <f>IF(ISBLANK(태깅기획site_code!F38),"",IF(COUNTIF(고객법인일정파일!$C$4:$C$200,태깅기획site_code!D38&amp;"-"&amp;UPPER(IF(ISNUMBER(FIND("_",태깅기획site_code!F38)),LEFT(태깅기획site_code!F38,FIND("_",태깅기획site_code!F38)-1),태깅기획site_code!F38)))&gt;0,태깅기획site_code!D38&amp;"-"&amp;UPPER(IF(ISNUMBER(FIND("_",태깅기획site_code!F38)),LEFT(태깅기획site_code!F38,FIND("_",태깅기획site_code!F38)-1),태깅기획site_code!F38)),IF(COUNTIF(고객법인일정파일!$C$4:$C$200,태깅기획site_code!D38&amp;" ("&amp;PROPER(LEFT(태깅기획site_code!F38,FIND("_",태깅기획site_code!F38)-1))&amp;"_"&amp;UPPER(MID(태깅기획site_code!F38,FIND("_",태깅기획site_code!F38)+1,20))&amp;")")&gt;0,태깅기획site_code!D38&amp;" ("&amp;PROPER(LEFT(태깅기획site_code!F38,FIND("_",태깅기획site_code!F38)-1))&amp;"_"&amp;UPPER(MID(태깅기획site_code!F38,FIND("_",태깅기획site_code!F38)+1,20))&amp;")",IF(COUNTIF(고객법인일정파일!$C$4:$C$200,태깅기획site_code!D38)&gt;0,태깅기획site_code!D38,IF(ISNUMBER(FIND("_",태깅기획site_code!F38)),"",IFERROR(INDEX(고객법인일정파일!$C$4:$C$200,MATCH(태깅기획site_code!D38,$O$4:$O$200,0)),IF(ISNUMBER(FIND("-",태깅기획site_code!D38)),IFERROR(INDEX(고객법인일정파일!$C$4:$C$200,MATCH(LEFT(태깅기획site_code!D38,FIND("-",태깅기획site_code!D38)-1),고객법인일정파일!$C$4:$C$200,0)),""),IF(태깅기획site_code!D38="SCA",IF(RIGHT(태깅기획site_code!F38,3)="_fr",IFERROR(INDEX(고객법인일정파일!$C$4:$C$200,MATCH("SEWA (Africa_FR)",고객법인일정파일!$C$4:$C$200,0)),""),IF(RIGHT(태깅기획site_code!F38,3)="_en",IFERROR(INDEX(고객법인일정파일!$C$4:$C$200,MATCH("SEWA (Africa_EN)",고객법인일정파일!$C$4:$C$200,0)),""),"")),""))))))))</f>
        <v>XADHK</v>
      </c>
      <c r="Q38" s="11" t="str">
        <f>IF(LEN(TRIM(P38))=0,"",IFERROR(INDEX(고객법인일정파일!$E$4:$E$192,MATCH(P38,고객법인일정파일!$C$4:$C$192,0)),""))</f>
        <v>O</v>
      </c>
      <c r="R38" s="12">
        <f>IF(OR(LEN(TRIM(P38))=0,Q38="X",Q38&lt;&gt;"O"),"",IFERROR(INDEX(고객법인일정파일!$F$4:$F$192,MATCH(P38,고객법인일정파일!$C$4:$C$192,0)),""))</f>
        <v>46054</v>
      </c>
      <c r="S38" s="12">
        <f>IF(OR(LEN(TRIM(P38))=0,Q38="X",Q38&lt;&gt;"O"),"",IFERROR(INDEX(고객법인일정파일!$H$4:$H$192,MATCH(P38,고객법인일정파일!$C$4:$C$192,0)),""))</f>
        <v>46064</v>
      </c>
      <c r="U38" s="11" t="str">
        <f>IF((고객법인일정파일!C38="Total"),"",IF(COUNTIF(MASTER!$D$5:$D$192,IF(고객법인일정파일!C38="한총","SEC",고객법인일정파일!C38))&gt;0,"","사용 안됨"))</f>
        <v/>
      </c>
    </row>
    <row r="39" spans="2:21">
      <c r="B39" s="145"/>
      <c r="C39" s="183" t="s">
        <v>343</v>
      </c>
      <c r="D39" s="183" t="s">
        <v>333</v>
      </c>
      <c r="E39" s="182" t="s">
        <v>20</v>
      </c>
      <c r="F39" s="142">
        <v>46036</v>
      </c>
      <c r="G39" s="182" t="e">
        <f>"W"&amp;WEEKNUM(F49)</f>
        <v>#VALUE!</v>
      </c>
      <c r="H39" s="143">
        <v>46064</v>
      </c>
      <c r="I39" s="182" t="e">
        <f>"W"&amp;WEEKNUM(H49)</f>
        <v>#VALUE!</v>
      </c>
      <c r="J39" s="150"/>
      <c r="O39" s="11" t="str">
        <f>IF(IF(OR(NOT(ISBLANK(고객법인일정파일!B39)),ISBLANK(고객법인일정파일!C39),고객법인일정파일!C39="Total"),"",IF(ISNUMBER(FIND("-",고객법인일정파일!C39)),LEFT(고객법인일정파일!C39,FIND("-",고객법인일정파일!C39)-1),IF(ISNUMBER(FIND(" ",고객법인일정파일!C39)),LEFT(고객법인일정파일!C39,FIND(" ",고객법인일정파일!C39)-1),고객법인일정파일!C39)))="한총","sec",IF(OR(NOT(ISBLANK(고객법인일정파일!B39)),ISBLANK(고객법인일정파일!C39),고객법인일정파일!C39="Total"),"",IF(ISNUMBER(FIND("-",고객법인일정파일!C39)),LEFT(고객법인일정파일!C39,FIND("-",고객법인일정파일!C39)-1),IF(ISNUMBER(FIND(" ",고객법인일정파일!C39)),LEFT(고객법인일정파일!C39,FIND(" ",고객법인일정파일!C39)-1),고객법인일정파일!C39))))</f>
        <v>XADNZ</v>
      </c>
      <c r="P39" s="11" t="str">
        <f>IF(ISBLANK(태깅기획site_code!F39),"",IF(COUNTIF(고객법인일정파일!$C$4:$C$200,태깅기획site_code!D39&amp;"-"&amp;UPPER(IF(ISNUMBER(FIND("_",태깅기획site_code!F39)),LEFT(태깅기획site_code!F39,FIND("_",태깅기획site_code!F39)-1),태깅기획site_code!F39)))&gt;0,태깅기획site_code!D39&amp;"-"&amp;UPPER(IF(ISNUMBER(FIND("_",태깅기획site_code!F39)),LEFT(태깅기획site_code!F39,FIND("_",태깅기획site_code!F39)-1),태깅기획site_code!F39)),IF(COUNTIF(고객법인일정파일!$C$4:$C$200,태깅기획site_code!D39&amp;" ("&amp;PROPER(LEFT(태깅기획site_code!F39,FIND("_",태깅기획site_code!F39)-1))&amp;"_"&amp;UPPER(MID(태깅기획site_code!F39,FIND("_",태깅기획site_code!F39)+1,20))&amp;")")&gt;0,태깅기획site_code!D39&amp;" ("&amp;PROPER(LEFT(태깅기획site_code!F39,FIND("_",태깅기획site_code!F39)-1))&amp;"_"&amp;UPPER(MID(태깅기획site_code!F39,FIND("_",태깅기획site_code!F39)+1,20))&amp;")",IF(COUNTIF(고객법인일정파일!$C$4:$C$200,태깅기획site_code!D39)&gt;0,태깅기획site_code!D39,IF(ISNUMBER(FIND("_",태깅기획site_code!F39)),"",IFERROR(INDEX(고객법인일정파일!$C$4:$C$200,MATCH(태깅기획site_code!D39,$O$4:$O$200,0)),IF(ISNUMBER(FIND("-",태깅기획site_code!D39)),IFERROR(INDEX(고객법인일정파일!$C$4:$C$200,MATCH(LEFT(태깅기획site_code!D39,FIND("-",태깅기획site_code!D39)-1),고객법인일정파일!$C$4:$C$200,0)),""),IF(태깅기획site_code!D39="SCA",IF(RIGHT(태깅기획site_code!F39,3)="_fr",IFERROR(INDEX(고객법인일정파일!$C$4:$C$200,MATCH("SEWA (Africa_FR)",고객법인일정파일!$C$4:$C$200,0)),""),IF(RIGHT(태깅기획site_code!F39,3)="_en",IFERROR(INDEX(고객법인일정파일!$C$4:$C$200,MATCH("SEWA (Africa_EN)",고객법인일정파일!$C$4:$C$200,0)),""),"")),""))))))))</f>
        <v>XADUD</v>
      </c>
      <c r="Q39" s="11" t="str">
        <f>IF(LEN(TRIM(P39))=0,"",IFERROR(INDEX(고객법인일정파일!$E$4:$E$192,MATCH(P39,고객법인일정파일!$C$4:$C$192,0)),""))</f>
        <v>X</v>
      </c>
      <c r="R39" s="12" t="str">
        <f>IF(OR(LEN(TRIM(P39))=0,Q39="X",Q39&lt;&gt;"O"),"",IFERROR(INDEX(고객법인일정파일!$F$4:$F$192,MATCH(P39,고객법인일정파일!$C$4:$C$192,0)),""))</f>
        <v/>
      </c>
      <c r="S39" s="12" t="str">
        <f>IF(OR(LEN(TRIM(P39))=0,Q39="X",Q39&lt;&gt;"O"),"",IFERROR(INDEX(고객법인일정파일!$H$4:$H$192,MATCH(P39,고객법인일정파일!$C$4:$C$192,0)),""))</f>
        <v/>
      </c>
      <c r="U39" s="11" t="str">
        <f>IF((고객법인일정파일!C39="Total"),"",IF(COUNTIF(MASTER!$D$5:$D$192,IF(고객법인일정파일!C39="한총","SEC",고객법인일정파일!C39))&gt;0,"","사용 안됨"))</f>
        <v/>
      </c>
    </row>
    <row r="40" spans="2:21">
      <c r="B40" s="145"/>
      <c r="C40" s="183" t="s">
        <v>344</v>
      </c>
      <c r="D40" s="183" t="s">
        <v>333</v>
      </c>
      <c r="E40" s="183" t="s">
        <v>20</v>
      </c>
      <c r="F40" s="142">
        <v>46054</v>
      </c>
      <c r="G40" s="182" t="str">
        <f t="shared" ref="G40:I55" si="2">"W"&amp;WEEKNUM(F40)</f>
        <v>W6</v>
      </c>
      <c r="H40" s="142">
        <v>46067</v>
      </c>
      <c r="I40" s="182" t="str">
        <f t="shared" si="2"/>
        <v>W7</v>
      </c>
      <c r="J40" s="150"/>
      <c r="O40" s="11" t="str">
        <f>IF(IF(OR(NOT(ISBLANK(고객법인일정파일!B40)),ISBLANK(고객법인일정파일!C40),고객법인일정파일!C40="Total"),"",IF(ISNUMBER(FIND("-",고객법인일정파일!C40)),LEFT(고객법인일정파일!C40,FIND("-",고객법인일정파일!C40)-1),IF(ISNUMBER(FIND(" ",고객법인일정파일!C40)),LEFT(고객법인일정파일!C40,FIND(" ",고객법인일정파일!C40)-1),고객법인일정파일!C40)))="한총","sec",IF(OR(NOT(ISBLANK(고객법인일정파일!B40)),ISBLANK(고객법인일정파일!C40),고객법인일정파일!C40="Total"),"",IF(ISNUMBER(FIND("-",고객법인일정파일!C40)),LEFT(고객법인일정파일!C40,FIND("-",고객법인일정파일!C40)-1),IF(ISNUMBER(FIND(" ",고객법인일정파일!C40)),LEFT(고객법인일정파일!C40,FIND(" ",고객법인일정파일!C40)-1),고객법인일정파일!C40))))</f>
        <v>XUVINU</v>
      </c>
      <c r="P40" s="11" t="str">
        <f>IF(ISBLANK(태깅기획site_code!F40),"",IF(COUNTIF(고객법인일정파일!$C$4:$C$200,태깅기획site_code!D40&amp;"-"&amp;UPPER(IF(ISNUMBER(FIND("_",태깅기획site_code!F40)),LEFT(태깅기획site_code!F40,FIND("_",태깅기획site_code!F40)-1),태깅기획site_code!F40)))&gt;0,태깅기획site_code!D40&amp;"-"&amp;UPPER(IF(ISNUMBER(FIND("_",태깅기획site_code!F40)),LEFT(태깅기획site_code!F40,FIND("_",태깅기획site_code!F40)-1),태깅기획site_code!F40)),IF(COUNTIF(고객법인일정파일!$C$4:$C$200,태깅기획site_code!D40&amp;" ("&amp;PROPER(LEFT(태깅기획site_code!F40,FIND("_",태깅기획site_code!F40)-1))&amp;"_"&amp;UPPER(MID(태깅기획site_code!F40,FIND("_",태깅기획site_code!F40)+1,20))&amp;")")&gt;0,태깅기획site_code!D40&amp;" ("&amp;PROPER(LEFT(태깅기획site_code!F40,FIND("_",태깅기획site_code!F40)-1))&amp;"_"&amp;UPPER(MID(태깅기획site_code!F40,FIND("_",태깅기획site_code!F40)+1,20))&amp;")",IF(COUNTIF(고객법인일정파일!$C$4:$C$200,태깅기획site_code!D40)&gt;0,태깅기획site_code!D40,IF(ISNUMBER(FIND("_",태깅기획site_code!F40)),"",IFERROR(INDEX(고객법인일정파일!$C$4:$C$200,MATCH(태깅기획site_code!D40,$O$4:$O$200,0)),IF(ISNUMBER(FIND("-",태깅기획site_code!D40)),IFERROR(INDEX(고객법인일정파일!$C$4:$C$200,MATCH(LEFT(태깅기획site_code!D40,FIND("-",태깅기획site_code!D40)-1),고객법인일정파일!$C$4:$C$200,0)),""),IF(태깅기획site_code!D40="SCA",IF(RIGHT(태깅기획site_code!F40,3)="_fr",IFERROR(INDEX(고객법인일정파일!$C$4:$C$200,MATCH("SEWA (Africa_FR)",고객법인일정파일!$C$4:$C$200,0)),""),IF(RIGHT(태깅기획site_code!F40,3)="_en",IFERROR(INDEX(고객법인일정파일!$C$4:$C$200,MATCH("SEWA (Africa_EN)",고객법인일정파일!$C$4:$C$200,0)),""),"")),""))))))))</f>
        <v>XADH</v>
      </c>
      <c r="Q40" s="11" t="str">
        <f>IF(LEN(TRIM(P40))=0,"",IFERROR(INDEX(고객법인일정파일!$E$4:$E$192,MATCH(P40,고객법인일정파일!$C$4:$C$192,0)),""))</f>
        <v>O</v>
      </c>
      <c r="R40" s="12">
        <f>IF(OR(LEN(TRIM(P40))=0,Q40="X",Q40&lt;&gt;"O"),"",IFERROR(INDEX(고객법인일정파일!$F$4:$F$192,MATCH(P40,고객법인일정파일!$C$4:$C$192,0)),""))</f>
        <v>46048</v>
      </c>
      <c r="S40" s="12">
        <f>IF(OR(LEN(TRIM(P40))=0,Q40="X",Q40&lt;&gt;"O"),"",IFERROR(INDEX(고객법인일정파일!$H$4:$H$192,MATCH(P40,고객법인일정파일!$C$4:$C$192,0)),""))</f>
        <v>46054</v>
      </c>
      <c r="U40" s="11" t="str">
        <f>IF((고객법인일정파일!C40="Total"),"",IF(COUNTIF(MASTER!$D$5:$D$192,IF(고객법인일정파일!C40="한총","SEC",고객법인일정파일!C40))&gt;0,"","사용 안됨"))</f>
        <v/>
      </c>
    </row>
    <row r="41" spans="2:21">
      <c r="B41" s="145"/>
      <c r="C41" s="183" t="s">
        <v>345</v>
      </c>
      <c r="D41" s="183" t="s">
        <v>333</v>
      </c>
      <c r="E41" s="183" t="s">
        <v>20</v>
      </c>
      <c r="F41" s="142">
        <v>46243</v>
      </c>
      <c r="G41" s="182" t="str">
        <f t="shared" si="2"/>
        <v>W33</v>
      </c>
      <c r="H41" s="142">
        <v>46246</v>
      </c>
      <c r="I41" s="182" t="str">
        <f t="shared" si="2"/>
        <v>W33</v>
      </c>
      <c r="J41" s="151" t="str">
        <f>"Note1-test "&amp;C11</f>
        <v>Note1-test XADF</v>
      </c>
      <c r="O41" s="11" t="str">
        <f>IF(IF(OR(NOT(ISBLANK(고객법인일정파일!B41)),ISBLANK(고객법인일정파일!C41),고객법인일정파일!C41="Total"),"",IF(ISNUMBER(FIND("-",고객법인일정파일!C41)),LEFT(고객법인일정파일!C41,FIND("-",고객법인일정파일!C41)-1),IF(ISNUMBER(FIND(" ",고객법인일정파일!C41)),LEFT(고객법인일정파일!C41,FIND(" ",고객법인일정파일!C41)-1),고객법인일정파일!C41)))="한총","sec",IF(OR(NOT(ISBLANK(고객법인일정파일!B41)),ISBLANK(고객법인일정파일!C41),고객법인일정파일!C41="Total"),"",IF(ISNUMBER(FIND("-",고객법인일정파일!C41)),LEFT(고객법인일정파일!C41,FIND("-",고객법인일정파일!C41)-1),IF(ISNUMBER(FIND(" ",고객법인일정파일!C41)),LEFT(고객법인일정파일!C41,FIND(" ",고객법인일정파일!C41)-1),고객법인일정파일!C41))))</f>
        <v>TXAD</v>
      </c>
      <c r="P41" s="11" t="str">
        <f>IF(ISBLANK(태깅기획site_code!F41),"",IF(COUNTIF(고객법인일정파일!$C$4:$C$200,태깅기획site_code!D41&amp;"-"&amp;UPPER(IF(ISNUMBER(FIND("_",태깅기획site_code!F41)),LEFT(태깅기획site_code!F41,FIND("_",태깅기획site_code!F41)-1),태깅기획site_code!F41)))&gt;0,태깅기획site_code!D41&amp;"-"&amp;UPPER(IF(ISNUMBER(FIND("_",태깅기획site_code!F41)),LEFT(태깅기획site_code!F41,FIND("_",태깅기획site_code!F41)-1),태깅기획site_code!F41)),IF(COUNTIF(고객법인일정파일!$C$4:$C$200,태깅기획site_code!D41&amp;" ("&amp;PROPER(LEFT(태깅기획site_code!F41,FIND("_",태깅기획site_code!F41)-1))&amp;"_"&amp;UPPER(MID(태깅기획site_code!F41,FIND("_",태깅기획site_code!F41)+1,20))&amp;")")&gt;0,태깅기획site_code!D41&amp;" ("&amp;PROPER(LEFT(태깅기획site_code!F41,FIND("_",태깅기획site_code!F41)-1))&amp;"_"&amp;UPPER(MID(태깅기획site_code!F41,FIND("_",태깅기획site_code!F41)+1,20))&amp;")",IF(COUNTIF(고객법인일정파일!$C$4:$C$200,태깅기획site_code!D41)&gt;0,태깅기획site_code!D41,IF(ISNUMBER(FIND("_",태깅기획site_code!F41)),"",IFERROR(INDEX(고객법인일정파일!$C$4:$C$200,MATCH(태깅기획site_code!D41,$O$4:$O$200,0)),IF(ISNUMBER(FIND("-",태깅기획site_code!D41)),IFERROR(INDEX(고객법인일정파일!$C$4:$C$200,MATCH(LEFT(태깅기획site_code!D41,FIND("-",태깅기획site_code!D41)-1),고객법인일정파일!$C$4:$C$200,0)),""),IF(태깅기획site_code!D41="SCA",IF(RIGHT(태깅기획site_code!F41,3)="_fr",IFERROR(INDEX(고객법인일정파일!$C$4:$C$200,MATCH("SEWA (Africa_FR)",고객법인일정파일!$C$4:$C$200,0)),""),IF(RIGHT(태깅기획site_code!F41,3)="_en",IFERROR(INDEX(고객법인일정파일!$C$4:$C$200,MATCH("SEWA (Africa_EN)",고객법인일정파일!$C$4:$C$200,0)),""),"")),""))))))))</f>
        <v>XADIN</v>
      </c>
      <c r="Q41" s="11">
        <f>IF(LEN(TRIM(P41))=0,"",IFERROR(INDEX(고객법인일정파일!$E$4:$E$192,MATCH(P41,고객법인일정파일!$C$4:$C$192,0)),""))</f>
        <v>0</v>
      </c>
      <c r="R41" s="12" t="str">
        <f>IF(OR(LEN(TRIM(P41))=0,Q41="X",Q41&lt;&gt;"O"),"",IFERROR(INDEX(고객법인일정파일!$F$4:$F$192,MATCH(P41,고객법인일정파일!$C$4:$C$192,0)),""))</f>
        <v/>
      </c>
      <c r="S41" s="12" t="str">
        <f>IF(OR(LEN(TRIM(P41))=0,Q41="X",Q41&lt;&gt;"O"),"",IFERROR(INDEX(고객법인일정파일!$H$4:$H$192,MATCH(P41,고객법인일정파일!$C$4:$C$192,0)),""))</f>
        <v/>
      </c>
      <c r="U41" s="11" t="str">
        <f>IF((고객법인일정파일!C41="Total"),"",IF(COUNTIF(MASTER!$D$5:$D$192,IF(고객법인일정파일!C41="한총","SEC",고객법인일정파일!C41))&gt;0,"","사용 안됨"))</f>
        <v/>
      </c>
    </row>
    <row r="42" spans="2:21">
      <c r="B42" s="145"/>
      <c r="C42" s="183" t="s">
        <v>346</v>
      </c>
      <c r="D42" s="183" t="s">
        <v>333</v>
      </c>
      <c r="E42" s="183" t="s">
        <v>73</v>
      </c>
      <c r="F42" s="142">
        <v>46054</v>
      </c>
      <c r="G42" s="182" t="str">
        <f t="shared" si="2"/>
        <v>W6</v>
      </c>
      <c r="H42" s="142" t="s">
        <v>347</v>
      </c>
      <c r="I42" s="182" t="e">
        <f t="shared" si="2"/>
        <v>#VALUE!</v>
      </c>
      <c r="J42" s="151" t="str">
        <f>"Note1-test "&amp;C12</f>
        <v>Note1-test XADI</v>
      </c>
      <c r="O42" s="11" t="str">
        <f>IF(IF(OR(NOT(ISBLANK(고객법인일정파일!B42)),ISBLANK(고객법인일정파일!C42),고객법인일정파일!C42="Total"),"",IF(ISNUMBER(FIND("-",고객법인일정파일!C42)),LEFT(고객법인일정파일!C42,FIND("-",고객법인일정파일!C42)-1),IF(ISNUMBER(FIND(" ",고객법인일정파일!C42)),LEFT(고객법인일정파일!C42,FIND(" ",고객법인일정파일!C42)-1),고객법인일정파일!C42)))="한총","sec",IF(OR(NOT(ISBLANK(고객법인일정파일!B42)),ISBLANK(고객법인일정파일!C42),고객법인일정파일!C42="Total"),"",IF(ISNUMBER(FIND("-",고객법인일정파일!C42)),LEFT(고객법인일정파일!C42,FIND("-",고객법인일정파일!C42)-1),IF(ISNUMBER(FIND(" ",고객법인일정파일!C42)),LEFT(고객법인일정파일!C42,FIND(" ",고객법인일정파일!C42)-1),고객법인일정파일!C42))))</f>
        <v>XMAD</v>
      </c>
      <c r="P42" s="11" t="str">
        <f>IF(ISBLANK(태깅기획site_code!F42),"",IF(COUNTIF(고객법인일정파일!$C$4:$C$200,태깅기획site_code!D42&amp;"-"&amp;UPPER(IF(ISNUMBER(FIND("_",태깅기획site_code!F42)),LEFT(태깅기획site_code!F42,FIND("_",태깅기획site_code!F42)-1),태깅기획site_code!F42)))&gt;0,태깅기획site_code!D42&amp;"-"&amp;UPPER(IF(ISNUMBER(FIND("_",태깅기획site_code!F42)),LEFT(태깅기획site_code!F42,FIND("_",태깅기획site_code!F42)-1),태깅기획site_code!F42)),IF(COUNTIF(고객법인일정파일!$C$4:$C$200,태깅기획site_code!D42&amp;" ("&amp;PROPER(LEFT(태깅기획site_code!F42,FIND("_",태깅기획site_code!F42)-1))&amp;"_"&amp;UPPER(MID(태깅기획site_code!F42,FIND("_",태깅기획site_code!F42)+1,20))&amp;")")&gt;0,태깅기획site_code!D42&amp;" ("&amp;PROPER(LEFT(태깅기획site_code!F42,FIND("_",태깅기획site_code!F42)-1))&amp;"_"&amp;UPPER(MID(태깅기획site_code!F42,FIND("_",태깅기획site_code!F42)+1,20))&amp;")",IF(COUNTIF(고객법인일정파일!$C$4:$C$200,태깅기획site_code!D42)&gt;0,태깅기획site_code!D42,IF(ISNUMBER(FIND("_",태깅기획site_code!F42)),"",IFERROR(INDEX(고객법인일정파일!$C$4:$C$200,MATCH(태깅기획site_code!D42,$O$4:$O$200,0)),IF(ISNUMBER(FIND("-",태깅기획site_code!D42)),IFERROR(INDEX(고객법인일정파일!$C$4:$C$200,MATCH(LEFT(태깅기획site_code!D42,FIND("-",태깅기획site_code!D42)-1),고객법인일정파일!$C$4:$C$200,0)),""),IF(태깅기획site_code!D42="SCA",IF(RIGHT(태깅기획site_code!F42,3)="_fr",IFERROR(INDEX(고객법인일정파일!$C$4:$C$200,MATCH("SEWA (Africa_FR)",고객법인일정파일!$C$4:$C$200,0)),""),IF(RIGHT(태깅기획site_code!F42,3)="_en",IFERROR(INDEX(고객법인일정파일!$C$4:$C$200,MATCH("SEWA (Africa_EN)",고객법인일정파일!$C$4:$C$200,0)),""),"")),""))))))))</f>
        <v>XADUK-IE</v>
      </c>
      <c r="Q42" s="11" t="str">
        <f>IF(LEN(TRIM(P42))=0,"",IFERROR(INDEX(고객법인일정파일!$E$4:$E$192,MATCH(P42,고객법인일정파일!$C$4:$C$192,0)),""))</f>
        <v>X</v>
      </c>
      <c r="R42" s="12" t="str">
        <f>IF(OR(LEN(TRIM(P42))=0,Q42="X",Q42&lt;&gt;"O"),"",IFERROR(INDEX(고객법인일정파일!$F$4:$F$192,MATCH(P42,고객법인일정파일!$C$4:$C$192,0)),""))</f>
        <v/>
      </c>
      <c r="S42" s="12" t="str">
        <f>IF(OR(LEN(TRIM(P42))=0,Q42="X",Q42&lt;&gt;"O"),"",IFERROR(INDEX(고객법인일정파일!$H$4:$H$192,MATCH(P42,고객법인일정파일!$C$4:$C$192,0)),""))</f>
        <v/>
      </c>
      <c r="U42" s="11" t="str">
        <f>IF((고객법인일정파일!C42="Total"),"",IF(COUNTIF(MASTER!$D$5:$D$192,IF(고객법인일정파일!C42="한총","SEC",고객법인일정파일!C42))&gt;0,"","사용 안됨"))</f>
        <v/>
      </c>
    </row>
    <row r="43" spans="2:21">
      <c r="B43" s="145"/>
      <c r="C43" s="183" t="s">
        <v>348</v>
      </c>
      <c r="D43" s="183" t="s">
        <v>333</v>
      </c>
      <c r="E43" s="183" t="s">
        <v>73</v>
      </c>
      <c r="F43" s="142"/>
      <c r="G43" s="182" t="str">
        <f>"W"&amp;WEEKNUM(F44)</f>
        <v>W0</v>
      </c>
      <c r="H43" s="142"/>
      <c r="I43" s="182" t="str">
        <f>"W"&amp;WEEKNUM(H44)</f>
        <v>W0</v>
      </c>
      <c r="J43" s="151" t="str">
        <f>"Note1-test "&amp;C14</f>
        <v>Note1-test XADIB-PT</v>
      </c>
      <c r="O43" s="11" t="str">
        <f>IF(IF(OR(NOT(ISBLANK(고객법인일정파일!B43)),ISBLANK(고객법인일정파일!C43),고객법인일정파일!C43="Total"),"",IF(ISNUMBER(FIND("-",고객법인일정파일!C43)),LEFT(고객법인일정파일!C43,FIND("-",고객법인일정파일!C43)-1),IF(ISNUMBER(FIND(" ",고객법인일정파일!C43)),LEFT(고객법인일정파일!C43,FIND(" ",고객법인일정파일!C43)-1),고객법인일정파일!C43)))="한총","sec",IF(OR(NOT(ISBLANK(고객법인일정파일!B43)),ISBLANK(고객법인일정파일!C43),고객법인일정파일!C43="Total"),"",IF(ISNUMBER(FIND("-",고객법인일정파일!C43)),LEFT(고객법인일정파일!C43,FIND("-",고객법인일정파일!C43)-1),IF(ISNUMBER(FIND(" ",고객법인일정파일!C43)),LEFT(고객법인일정파일!C43,FIND(" ",고객법인일정파일!C43)-1),고객법인일정파일!C43))))</f>
        <v>XADXP</v>
      </c>
      <c r="P43" s="11" t="str">
        <f>IF(ISBLANK(태깅기획site_code!F43),"",IF(COUNTIF(고객법인일정파일!$C$4:$C$200,태깅기획site_code!D43&amp;"-"&amp;UPPER(IF(ISNUMBER(FIND("_",태깅기획site_code!F43)),LEFT(태깅기획site_code!F43,FIND("_",태깅기획site_code!F43)-1),태깅기획site_code!F43)))&gt;0,태깅기획site_code!D43&amp;"-"&amp;UPPER(IF(ISNUMBER(FIND("_",태깅기획site_code!F43)),LEFT(태깅기획site_code!F43,FIND("_",태깅기획site_code!F43)-1),태깅기획site_code!F43)),IF(COUNTIF(고객법인일정파일!$C$4:$C$200,태깅기획site_code!D43&amp;" ("&amp;PROPER(LEFT(태깅기획site_code!F43,FIND("_",태깅기획site_code!F43)-1))&amp;"_"&amp;UPPER(MID(태깅기획site_code!F43,FIND("_",태깅기획site_code!F43)+1,20))&amp;")")&gt;0,태깅기획site_code!D43&amp;" ("&amp;PROPER(LEFT(태깅기획site_code!F43,FIND("_",태깅기획site_code!F43)-1))&amp;"_"&amp;UPPER(MID(태깅기획site_code!F43,FIND("_",태깅기획site_code!F43)+1,20))&amp;")",IF(COUNTIF(고객법인일정파일!$C$4:$C$200,태깅기획site_code!D43)&gt;0,태깅기획site_code!D43,IF(ISNUMBER(FIND("_",태깅기획site_code!F43)),"",IFERROR(INDEX(고객법인일정파일!$C$4:$C$200,MATCH(태깅기획site_code!D43,$O$4:$O$200,0)),IF(ISNUMBER(FIND("-",태깅기획site_code!D43)),IFERROR(INDEX(고객법인일정파일!$C$4:$C$200,MATCH(LEFT(태깅기획site_code!D43,FIND("-",태깅기획site_code!D43)-1),고객법인일정파일!$C$4:$C$200,0)),""),IF(태깅기획site_code!D43="SCA",IF(RIGHT(태깅기획site_code!F43,3)="_fr",IFERROR(INDEX(고객법인일정파일!$C$4:$C$200,MATCH("SEWA (Africa_FR)",고객법인일정파일!$C$4:$C$200,0)),""),IF(RIGHT(태깅기획site_code!F43,3)="_en",IFERROR(INDEX(고객법인일정파일!$C$4:$C$200,MATCH("SEWA (Africa_EN)",고객법인일정파일!$C$4:$C$200,0)),""),"")),""))))))))</f>
        <v>XADIL</v>
      </c>
      <c r="Q43" s="11" t="str">
        <f>IF(LEN(TRIM(P43))=0,"",IFERROR(INDEX(고객법인일정파일!$E$4:$E$192,MATCH(P43,고객법인일정파일!$C$4:$C$192,0)),""))</f>
        <v>X</v>
      </c>
      <c r="R43" s="12" t="str">
        <f>IF(OR(LEN(TRIM(P43))=0,Q43="X",Q43&lt;&gt;"O"),"",IFERROR(INDEX(고객법인일정파일!$F$4:$F$192,MATCH(P43,고객법인일정파일!$C$4:$C$192,0)),""))</f>
        <v/>
      </c>
      <c r="S43" s="12" t="str">
        <f>IF(OR(LEN(TRIM(P43))=0,Q43="X",Q43&lt;&gt;"O"),"",IFERROR(INDEX(고객법인일정파일!$H$4:$H$192,MATCH(P43,고객법인일정파일!$C$4:$C$192,0)),""))</f>
        <v/>
      </c>
      <c r="U43" s="11" t="str">
        <f>IF((고객법인일정파일!C43="Total"),"",IF(COUNTIF(MASTER!$D$5:$D$192,IF(고객법인일정파일!C43="한총","SEC",고객법인일정파일!C43))&gt;0,"","사용 안됨"))</f>
        <v/>
      </c>
    </row>
    <row r="44" spans="2:21">
      <c r="B44" s="144" t="s">
        <v>76</v>
      </c>
      <c r="C44" s="183" t="s">
        <v>312</v>
      </c>
      <c r="D44" s="183"/>
      <c r="E44" s="183"/>
      <c r="F44" s="142"/>
      <c r="G44" s="182" t="str">
        <f t="shared" si="2"/>
        <v>W0</v>
      </c>
      <c r="H44" s="142"/>
      <c r="I44" s="182" t="str">
        <f t="shared" si="2"/>
        <v>W0</v>
      </c>
      <c r="J44" s="150"/>
      <c r="O44" s="11" t="str">
        <f>IF(IF(OR(NOT(ISBLANK(고객법인일정파일!B44)),ISBLANK(고객법인일정파일!C44),고객법인일정파일!C44="Total"),"",IF(ISNUMBER(FIND("-",고객법인일정파일!C44)),LEFT(고객법인일정파일!C44,FIND("-",고객법인일정파일!C44)-1),IF(ISNUMBER(FIND(" ",고객법인일정파일!C44)),LEFT(고객법인일정파일!C44,FIND(" ",고객법인일정파일!C44)-1),고객법인일정파일!C44)))="한총","sec",IF(OR(NOT(ISBLANK(고객법인일정파일!B44)),ISBLANK(고객법인일정파일!C44),고객법인일정파일!C44="Total"),"",IF(ISNUMBER(FIND("-",고객법인일정파일!C44)),LEFT(고객법인일정파일!C44,FIND("-",고객법인일정파일!C44)-1),IF(ISNUMBER(FIND(" ",고객법인일정파일!C44)),LEFT(고객법인일정파일!C44,FIND(" ",고객법인일정파일!C44)-1),고객법인일정파일!C44))))</f>
        <v/>
      </c>
      <c r="P44" s="11" t="str">
        <f>IF(ISBLANK(태깅기획site_code!F44),"",IF(COUNTIF(고객법인일정파일!$C$4:$C$200,태깅기획site_code!D44&amp;"-"&amp;UPPER(IF(ISNUMBER(FIND("_",태깅기획site_code!F44)),LEFT(태깅기획site_code!F44,FIND("_",태깅기획site_code!F44)-1),태깅기획site_code!F44)))&gt;0,태깅기획site_code!D44&amp;"-"&amp;UPPER(IF(ISNUMBER(FIND("_",태깅기획site_code!F44)),LEFT(태깅기획site_code!F44,FIND("_",태깅기획site_code!F44)-1),태깅기획site_code!F44)),IF(COUNTIF(고객법인일정파일!$C$4:$C$200,태깅기획site_code!D44&amp;" ("&amp;PROPER(LEFT(태깅기획site_code!F44,FIND("_",태깅기획site_code!F44)-1))&amp;"_"&amp;UPPER(MID(태깅기획site_code!F44,FIND("_",태깅기획site_code!F44)+1,20))&amp;")")&gt;0,태깅기획site_code!D44&amp;" ("&amp;PROPER(LEFT(태깅기획site_code!F44,FIND("_",태깅기획site_code!F44)-1))&amp;"_"&amp;UPPER(MID(태깅기획site_code!F44,FIND("_",태깅기획site_code!F44)+1,20))&amp;")",IF(COUNTIF(고객법인일정파일!$C$4:$C$200,태깅기획site_code!D44)&gt;0,태깅기획site_code!D44,IF(ISNUMBER(FIND("_",태깅기획site_code!F44)),"",IFERROR(INDEX(고객법인일정파일!$C$4:$C$200,MATCH(태깅기획site_code!D44,$O$4:$O$200,0)),IF(ISNUMBER(FIND("-",태깅기획site_code!D44)),IFERROR(INDEX(고객법인일정파일!$C$4:$C$200,MATCH(LEFT(태깅기획site_code!D44,FIND("-",태깅기획site_code!D44)-1),고객법인일정파일!$C$4:$C$200,0)),""),IF(태깅기획site_code!D44="SCA",IF(RIGHT(태깅기획site_code!F44,3)="_fr",IFERROR(INDEX(고객법인일정파일!$C$4:$C$200,MATCH("SEWA (Africa_FR)",고객법인일정파일!$C$4:$C$200,0)),""),IF(RIGHT(태깅기획site_code!F44,3)="_en",IFERROR(INDEX(고객법인일정파일!$C$4:$C$200,MATCH("SEWA (Africa_EN)",고객법인일정파일!$C$4:$C$200,0)),""),"")),""))))))))</f>
        <v>XIADL</v>
      </c>
      <c r="Q44" s="11" t="str">
        <f>IF(LEN(TRIM(P44))=0,"",IFERROR(INDEX(고객법인일정파일!$E$4:$E$192,MATCH(P44,고객법인일정파일!$C$4:$C$192,0)),""))</f>
        <v>O</v>
      </c>
      <c r="R44" s="12">
        <f>IF(OR(LEN(TRIM(P44))=0,Q44="X",Q44&lt;&gt;"O"),"",IFERROR(INDEX(고객법인일정파일!$F$4:$F$192,MATCH(P44,고객법인일정파일!$C$4:$C$192,0)),""))</f>
        <v>46038</v>
      </c>
      <c r="S44" s="12">
        <f>IF(OR(LEN(TRIM(P44))=0,Q44="X",Q44&lt;&gt;"O"),"",IFERROR(INDEX(고객법인일정파일!$H$4:$H$192,MATCH(P44,고객법인일정파일!$C$4:$C$192,0)),""))</f>
        <v>46044</v>
      </c>
      <c r="U44" s="11" t="str">
        <f>IF((고객법인일정파일!C44="Total"),"",IF(COUNTIF(MASTER!$D$5:$D$192,IF(고객법인일정파일!C44="한총","SEC",고객법인일정파일!C44))&gt;0,"","사용 안됨"))</f>
        <v>사용 안됨</v>
      </c>
    </row>
    <row r="45" spans="2:21">
      <c r="B45" s="145"/>
      <c r="C45" s="183" t="s">
        <v>349</v>
      </c>
      <c r="D45" s="183" t="s">
        <v>333</v>
      </c>
      <c r="E45" s="182" t="s">
        <v>20</v>
      </c>
      <c r="F45" s="142">
        <v>46038</v>
      </c>
      <c r="G45" s="182" t="str">
        <f t="shared" si="2"/>
        <v>W3</v>
      </c>
      <c r="H45" s="143">
        <v>46044</v>
      </c>
      <c r="I45" s="182" t="str">
        <f t="shared" si="2"/>
        <v>W4</v>
      </c>
      <c r="J45" s="150"/>
      <c r="O45" s="11" t="str">
        <f>IF(IF(OR(NOT(ISBLANK(고객법인일정파일!B45)),ISBLANK(고객법인일정파일!C45),고객법인일정파일!C45="Total"),"",IF(ISNUMBER(FIND("-",고객법인일정파일!C45)),LEFT(고객법인일정파일!C45,FIND("-",고객법인일정파일!C45)-1),IF(ISNUMBER(FIND(" ",고객법인일정파일!C45)),LEFT(고객법인일정파일!C45,FIND(" ",고객법인일정파일!C45)-1),고객법인일정파일!C45)))="한총","sec",IF(OR(NOT(ISBLANK(고객법인일정파일!B45)),ISBLANK(고객법인일정파일!C45),고객법인일정파일!C45="Total"),"",IF(ISNUMBER(FIND("-",고객법인일정파일!C45)),LEFT(고객법인일정파일!C45,FIND("-",고객법인일정파일!C45)-1),IF(ISNUMBER(FIND(" ",고객법인일정파일!C45)),LEFT(고객법인일정파일!C45,FIND(" ",고객법인일정파일!C45)-1),고객법인일정파일!C45))))</f>
        <v>XIADL</v>
      </c>
      <c r="P45" s="11" t="str">
        <f>IF(ISBLANK(태깅기획site_code!F45),"",IF(COUNTIF(고객법인일정파일!$C$4:$C$200,태깅기획site_code!D45&amp;"-"&amp;UPPER(IF(ISNUMBER(FIND("_",태깅기획site_code!F45)),LEFT(태깅기획site_code!F45,FIND("_",태깅기획site_code!F45)-1),태깅기획site_code!F45)))&gt;0,태깅기획site_code!D45&amp;"-"&amp;UPPER(IF(ISNUMBER(FIND("_",태깅기획site_code!F45)),LEFT(태깅기획site_code!F45,FIND("_",태깅기획site_code!F45)-1),태깅기획site_code!F45)),IF(COUNTIF(고객법인일정파일!$C$4:$C$200,태깅기획site_code!D45&amp;" ("&amp;PROPER(LEFT(태깅기획site_code!F45,FIND("_",태깅기획site_code!F45)-1))&amp;"_"&amp;UPPER(MID(태깅기획site_code!F45,FIND("_",태깅기획site_code!F45)+1,20))&amp;")")&gt;0,태깅기획site_code!D45&amp;" ("&amp;PROPER(LEFT(태깅기획site_code!F45,FIND("_",태깅기획site_code!F45)-1))&amp;"_"&amp;UPPER(MID(태깅기획site_code!F45,FIND("_",태깅기획site_code!F45)+1,20))&amp;")",IF(COUNTIF(고객법인일정파일!$C$4:$C$200,태깅기획site_code!D45)&gt;0,태깅기획site_code!D45,IF(ISNUMBER(FIND("_",태깅기획site_code!F45)),"",IFERROR(INDEX(고객법인일정파일!$C$4:$C$200,MATCH(태깅기획site_code!D45,$O$4:$O$200,0)),IF(ISNUMBER(FIND("-",태깅기획site_code!D45)),IFERROR(INDEX(고객법인일정파일!$C$4:$C$200,MATCH(LEFT(태깅기획site_code!D45,FIND("-",태깅기획site_code!D45)-1),고객법인일정파일!$C$4:$C$200,0)),""),IF(태깅기획site_code!D45="SCA",IF(RIGHT(태깅기획site_code!F45,3)="_fr",IFERROR(INDEX(고객법인일정파일!$C$4:$C$200,MATCH("SEWA (Africa_FR)",고객법인일정파일!$C$4:$C$200,0)),""),IF(RIGHT(태깅기획site_code!F45,3)="_en",IFERROR(INDEX(고객법인일정파일!$C$4:$C$200,MATCH("SEWA (Africa_EN)",고객법인일정파일!$C$4:$C$200,0)),""),"")),""))))))))</f>
        <v>XADLV</v>
      </c>
      <c r="Q45" s="11" t="str">
        <f>IF(LEN(TRIM(P45))=0,"",IFERROR(INDEX(고객법인일정파일!$E$4:$E$192,MATCH(P45,고객법인일정파일!$C$4:$C$192,0)),""))</f>
        <v>O</v>
      </c>
      <c r="R45" s="12" t="str">
        <f>IF(OR(LEN(TRIM(P45))=0,Q45="X",Q45&lt;&gt;"O"),"",IFERROR(INDEX(고객법인일정파일!$F$4:$F$192,MATCH(P45,고객법인일정파일!$C$4:$C$192,0)),""))</f>
        <v>TBC</v>
      </c>
      <c r="S45" s="12" t="str">
        <f>IF(OR(LEN(TRIM(P45))=0,Q45="X",Q45&lt;&gt;"O"),"",IFERROR(INDEX(고객법인일정파일!$H$4:$H$192,MATCH(P45,고객법인일정파일!$C$4:$C$192,0)),""))</f>
        <v>TBC</v>
      </c>
      <c r="U45" s="11" t="str">
        <f>IF((고객법인일정파일!C45="Total"),"",IF(COUNTIF(MASTER!$D$5:$D$192,IF(고객법인일정파일!C45="한총","SEC",고객법인일정파일!C45))&gt;0,"","사용 안됨"))</f>
        <v/>
      </c>
    </row>
    <row r="46" spans="2:21">
      <c r="B46" s="144" t="s">
        <v>77</v>
      </c>
      <c r="C46" s="183" t="s">
        <v>312</v>
      </c>
      <c r="D46" s="183"/>
      <c r="E46" s="183"/>
      <c r="F46" s="142"/>
      <c r="G46" s="182" t="str">
        <f t="shared" si="2"/>
        <v>W0</v>
      </c>
      <c r="H46" s="142"/>
      <c r="I46" s="182" t="str">
        <f t="shared" si="2"/>
        <v>W0</v>
      </c>
      <c r="J46" s="150"/>
      <c r="O46" s="11" t="str">
        <f>IF(IF(OR(NOT(ISBLANK(고객법인일정파일!B46)),ISBLANK(고객법인일정파일!C46),고객법인일정파일!C46="Total"),"",IF(ISNUMBER(FIND("-",고객법인일정파일!C46)),LEFT(고객법인일정파일!C46,FIND("-",고객법인일정파일!C46)-1),IF(ISNUMBER(FIND(" ",고객법인일정파일!C46)),LEFT(고객법인일정파일!C46,FIND(" ",고객법인일정파일!C46)-1),고객법인일정파일!C46)))="한총","sec",IF(OR(NOT(ISBLANK(고객법인일정파일!B46)),ISBLANK(고객법인일정파일!C46),고객법인일정파일!C46="Total"),"",IF(ISNUMBER(FIND("-",고객법인일정파일!C46)),LEFT(고객법인일정파일!C46,FIND("-",고객법인일정파일!C46)-1),IF(ISNUMBER(FIND(" ",고객법인일정파일!C46)),LEFT(고객법인일정파일!C46,FIND(" ",고객법인일정파일!C46)-1),고객법인일정파일!C46))))</f>
        <v/>
      </c>
      <c r="P46" s="11" t="str">
        <f>IF(ISBLANK(태깅기획site_code!F46),"",IF(COUNTIF(고객법인일정파일!$C$4:$C$200,태깅기획site_code!D46&amp;"-"&amp;UPPER(IF(ISNUMBER(FIND("_",태깅기획site_code!F46)),LEFT(태깅기획site_code!F46,FIND("_",태깅기획site_code!F46)-1),태깅기획site_code!F46)))&gt;0,태깅기획site_code!D46&amp;"-"&amp;UPPER(IF(ISNUMBER(FIND("_",태깅기획site_code!F46)),LEFT(태깅기획site_code!F46,FIND("_",태깅기획site_code!F46)-1),태깅기획site_code!F46)),IF(COUNTIF(고객법인일정파일!$C$4:$C$200,태깅기획site_code!D46&amp;" ("&amp;PROPER(LEFT(태깅기획site_code!F46,FIND("_",태깅기획site_code!F46)-1))&amp;"_"&amp;UPPER(MID(태깅기획site_code!F46,FIND("_",태깅기획site_code!F46)+1,20))&amp;")")&gt;0,태깅기획site_code!D46&amp;" ("&amp;PROPER(LEFT(태깅기획site_code!F46,FIND("_",태깅기획site_code!F46)-1))&amp;"_"&amp;UPPER(MID(태깅기획site_code!F46,FIND("_",태깅기획site_code!F46)+1,20))&amp;")",IF(COUNTIF(고객법인일정파일!$C$4:$C$200,태깅기획site_code!D46)&gt;0,태깅기획site_code!D46,IF(ISNUMBER(FIND("_",태깅기획site_code!F46)),"",IFERROR(INDEX(고객법인일정파일!$C$4:$C$200,MATCH(태깅기획site_code!D46,$O$4:$O$200,0)),IF(ISNUMBER(FIND("-",태깅기획site_code!D46)),IFERROR(INDEX(고객법인일정파일!$C$4:$C$200,MATCH(LEFT(태깅기획site_code!D46,FIND("-",태깅기획site_code!D46)-1),고객법인일정파일!$C$4:$C$200,0)),""),IF(태깅기획site_code!D46="SCA",IF(RIGHT(태깅기획site_code!F46,3)="_fr",IFERROR(INDEX(고객법인일정파일!$C$4:$C$200,MATCH("SEWA (Africa_FR)",고객법인일정파일!$C$4:$C$200,0)),""),IF(RIGHT(태깅기획site_code!F46,3)="_en",IFERROR(INDEX(고객법인일정파일!$C$4:$C$200,MATCH("SEWA (Africa_EN)",고객법인일정파일!$C$4:$C$200,0)),""),"")),""))))))))</f>
        <v>XADLV</v>
      </c>
      <c r="Q46" s="11" t="str">
        <f>IF(LEN(TRIM(P46))=0,"",IFERROR(INDEX(고객법인일정파일!$E$4:$E$192,MATCH(P46,고객법인일정파일!$C$4:$C$192,0)),""))</f>
        <v>O</v>
      </c>
      <c r="R46" s="12" t="str">
        <f>IF(OR(LEN(TRIM(P46))=0,Q46="X",Q46&lt;&gt;"O"),"",IFERROR(INDEX(고객법인일정파일!$F$4:$F$192,MATCH(P46,고객법인일정파일!$C$4:$C$192,0)),""))</f>
        <v>TBC</v>
      </c>
      <c r="S46" s="12" t="str">
        <f>IF(OR(LEN(TRIM(P46))=0,Q46="X",Q46&lt;&gt;"O"),"",IFERROR(INDEX(고객법인일정파일!$H$4:$H$192,MATCH(P46,고객법인일정파일!$C$4:$C$192,0)),""))</f>
        <v>TBC</v>
      </c>
      <c r="U46" s="11" t="str">
        <f>IF((고객법인일정파일!C46="Total"),"",IF(COUNTIF(MASTER!$D$5:$D$192,IF(고객법인일정파일!C46="한총","SEC",고객법인일정파일!C46))&gt;0,"","사용 안됨"))</f>
        <v>사용 안됨</v>
      </c>
    </row>
    <row r="47" spans="2:21">
      <c r="B47" s="145"/>
      <c r="C47" s="183" t="s">
        <v>350</v>
      </c>
      <c r="D47" s="183" t="s">
        <v>333</v>
      </c>
      <c r="E47" s="182" t="s">
        <v>20</v>
      </c>
      <c r="F47" s="142" t="s">
        <v>78</v>
      </c>
      <c r="G47" s="182" t="str">
        <f>"W"&amp;WEEKNUM(F46)</f>
        <v>W0</v>
      </c>
      <c r="H47" s="143" t="s">
        <v>78</v>
      </c>
      <c r="I47" s="182" t="str">
        <f>"W"&amp;WEEKNUM(H46)</f>
        <v>W0</v>
      </c>
      <c r="J47" s="151" t="str">
        <f>"Note1-test "&amp;C16</f>
        <v>Note1-test XADBN-NL</v>
      </c>
      <c r="O47" s="11" t="str">
        <f>IF(IF(OR(NOT(ISBLANK(고객법인일정파일!B47)),ISBLANK(고객법인일정파일!C47),고객법인일정파일!C47="Total"),"",IF(ISNUMBER(FIND("-",고객법인일정파일!C47)),LEFT(고객법인일정파일!C47,FIND("-",고객법인일정파일!C47)-1),IF(ISNUMBER(FIND(" ",고객법인일정파일!C47)),LEFT(고객법인일정파일!C47,FIND(" ",고객법인일정파일!C47)-1),고객법인일정파일!C47)))="한총","sec",IF(OR(NOT(ISBLANK(고객법인일정파일!B47)),ISBLANK(고객법인일정파일!C47),고객법인일정파일!C47="Total"),"",IF(ISNUMBER(FIND("-",고객법인일정파일!C47)),LEFT(고객법인일정파일!C47,FIND("-",고객법인일정파일!C47)-1),IF(ISNUMBER(FIND(" ",고객법인일정파일!C47)),LEFT(고객법인일정파일!C47,FIND(" ",고객법인일정파일!C47)-1),고객법인일정파일!C47))))</f>
        <v>XGAD</v>
      </c>
      <c r="P47" s="11" t="str">
        <f>IF(ISBLANK(태깅기획site_code!F47),"",IF(COUNTIF(고객법인일정파일!$C$4:$C$200,태깅기획site_code!D47&amp;"-"&amp;UPPER(IF(ISNUMBER(FIND("_",태깅기획site_code!F47)),LEFT(태깅기획site_code!F47,FIND("_",태깅기획site_code!F47)-1),태깅기획site_code!F47)))&gt;0,태깅기획site_code!D47&amp;"-"&amp;UPPER(IF(ISNUMBER(FIND("_",태깅기획site_code!F47)),LEFT(태깅기획site_code!F47,FIND("_",태깅기획site_code!F47)-1),태깅기획site_code!F47)),IF(COUNTIF(고객법인일정파일!$C$4:$C$200,태깅기획site_code!D47&amp;" ("&amp;PROPER(LEFT(태깅기획site_code!F47,FIND("_",태깅기획site_code!F47)-1))&amp;"_"&amp;UPPER(MID(태깅기획site_code!F47,FIND("_",태깅기획site_code!F47)+1,20))&amp;")")&gt;0,태깅기획site_code!D47&amp;" ("&amp;PROPER(LEFT(태깅기획site_code!F47,FIND("_",태깅기획site_code!F47)-1))&amp;"_"&amp;UPPER(MID(태깅기획site_code!F47,FIND("_",태깅기획site_code!F47)+1,20))&amp;")",IF(COUNTIF(고객법인일정파일!$C$4:$C$200,태깅기획site_code!D47)&gt;0,태깅기획site_code!D47,IF(ISNUMBER(FIND("_",태깅기획site_code!F47)),"",IFERROR(INDEX(고객법인일정파일!$C$4:$C$200,MATCH(태깅기획site_code!D47,$O$4:$O$200,0)),IF(ISNUMBER(FIND("-",태깅기획site_code!D47)),IFERROR(INDEX(고객법인일정파일!$C$4:$C$200,MATCH(LEFT(태깅기획site_code!D47,FIND("-",태깅기획site_code!D47)-1),고객법인일정파일!$C$4:$C$200,0)),""),IF(태깅기획site_code!D47="SCA",IF(RIGHT(태깅기획site_code!F47,3)="_fr",IFERROR(INDEX(고객법인일정파일!$C$4:$C$200,MATCH("SEWA (Africa_FR)",고객법인일정파일!$C$4:$C$200,0)),""),IF(RIGHT(태깅기획site_code!F47,3)="_en",IFERROR(INDEX(고객법인일정파일!$C$4:$C$200,MATCH("SEWA (Africa_EN)",고객법인일정파일!$C$4:$C$200,0)),""),"")),""))))))))</f>
        <v/>
      </c>
      <c r="Q47" s="11" t="str">
        <f>IF(LEN(TRIM(P47))=0,"",IFERROR(INDEX(고객법인일정파일!$E$4:$E$192,MATCH(P47,고객법인일정파일!$C$4:$C$192,0)),""))</f>
        <v/>
      </c>
      <c r="R47" s="12" t="str">
        <f>IF(OR(LEN(TRIM(P47))=0,Q47="X",Q47&lt;&gt;"O"),"",IFERROR(INDEX(고객법인일정파일!$F$4:$F$192,MATCH(P47,고객법인일정파일!$C$4:$C$192,0)),""))</f>
        <v/>
      </c>
      <c r="S47" s="12" t="str">
        <f>IF(OR(LEN(TRIM(P47))=0,Q47="X",Q47&lt;&gt;"O"),"",IFERROR(INDEX(고객법인일정파일!$H$4:$H$192,MATCH(P47,고객법인일정파일!$C$4:$C$192,0)),""))</f>
        <v/>
      </c>
      <c r="U47" s="11" t="str">
        <f>IF((고객법인일정파일!C47="Total"),"",IF(COUNTIF(MASTER!$D$5:$D$192,IF(고객법인일정파일!C47="한총","SEC",고객법인일정파일!C47))&gt;0,"","사용 안됨"))</f>
        <v/>
      </c>
    </row>
    <row r="48" spans="2:21">
      <c r="B48" s="145"/>
      <c r="C48" s="183" t="s">
        <v>351</v>
      </c>
      <c r="D48" s="183" t="s">
        <v>333</v>
      </c>
      <c r="E48" s="183" t="s">
        <v>20</v>
      </c>
      <c r="F48" s="142">
        <v>46054</v>
      </c>
      <c r="G48" s="182" t="str">
        <f t="shared" si="2"/>
        <v>W6</v>
      </c>
      <c r="H48" s="142">
        <v>46063</v>
      </c>
      <c r="I48" s="182" t="str">
        <f t="shared" si="2"/>
        <v>W7</v>
      </c>
      <c r="J48" s="150"/>
      <c r="O48" s="11" t="str">
        <f>IF(IF(OR(NOT(ISBLANK(고객법인일정파일!B48)),ISBLANK(고객법인일정파일!C48),고객법인일정파일!C48="Total"),"",IF(ISNUMBER(FIND("-",고객법인일정파일!C48)),LEFT(고객법인일정파일!C48,FIND("-",고객법인일정파일!C48)-1),IF(ISNUMBER(FIND(" ",고객법인일정파일!C48)),LEFT(고객법인일정파일!C48,FIND(" ",고객법인일정파일!C48)-1),고객법인일정파일!C48)))="한총","sec",IF(OR(NOT(ISBLANK(고객법인일정파일!B48)),ISBLANK(고객법인일정파일!C48),고객법인일정파일!C48="Total"),"",IF(ISNUMBER(FIND("-",고객법인일정파일!C48)),LEFT(고객법인일정파일!C48,FIND("-",고객법인일정파일!C48)-1),IF(ISNUMBER(FIND(" ",고객법인일정파일!C48)),LEFT(고객법인일정파일!C48,FIND(" ",고객법인일정파일!C48)-1),고객법인일정파일!C48))))</f>
        <v>XADTK</v>
      </c>
      <c r="P48" s="11" t="str">
        <f>IF(ISBLANK(태깅기획site_code!F48),"",IF(COUNTIF(고객법인일정파일!$C$4:$C$200,태깅기획site_code!D48&amp;"-"&amp;UPPER(IF(ISNUMBER(FIND("_",태깅기획site_code!F48)),LEFT(태깅기획site_code!F48,FIND("_",태깅기획site_code!F48)-1),태깅기획site_code!F48)))&gt;0,태깅기획site_code!D48&amp;"-"&amp;UPPER(IF(ISNUMBER(FIND("_",태깅기획site_code!F48)),LEFT(태깅기획site_code!F48,FIND("_",태깅기획site_code!F48)-1),태깅기획site_code!F48)),IF(COUNTIF(고객법인일정파일!$C$4:$C$200,태깅기획site_code!D48&amp;" ("&amp;PROPER(LEFT(태깅기획site_code!F48,FIND("_",태깅기획site_code!F48)-1))&amp;"_"&amp;UPPER(MID(태깅기획site_code!F48,FIND("_",태깅기획site_code!F48)+1,20))&amp;")")&gt;0,태깅기획site_code!D48&amp;" ("&amp;PROPER(LEFT(태깅기획site_code!F48,FIND("_",태깅기획site_code!F48)-1))&amp;"_"&amp;UPPER(MID(태깅기획site_code!F48,FIND("_",태깅기획site_code!F48)+1,20))&amp;")",IF(COUNTIF(고객법인일정파일!$C$4:$C$200,태깅기획site_code!D48)&gt;0,태깅기획site_code!D48,IF(ISNUMBER(FIND("_",태깅기획site_code!F48)),"",IFERROR(INDEX(고객법인일정파일!$C$4:$C$200,MATCH(태깅기획site_code!D48,$O$4:$O$200,0)),IF(ISNUMBER(FIND("-",태깅기획site_code!D48)),IFERROR(INDEX(고객법인일정파일!$C$4:$C$200,MATCH(LEFT(태깅기획site_code!D48,FIND("-",태깅기획site_code!D48)-1),고객법인일정파일!$C$4:$C$200,0)),""),IF(태깅기획site_code!D48="SCA",IF(RIGHT(태깅기획site_code!F48,3)="_fr",IFERROR(INDEX(고객법인일정파일!$C$4:$C$200,MATCH("SEWA (Africa_FR)",고객법인일정파일!$C$4:$C$200,0)),""),IF(RIGHT(태깅기획site_code!F48,3)="_en",IFERROR(INDEX(고객법인일정파일!$C$4:$C$200,MATCH("SEWA (Africa_EN)",고객법인일정파일!$C$4:$C$200,0)),""),"")),""))))))))</f>
        <v>XADI</v>
      </c>
      <c r="Q48" s="11" t="str">
        <f>IF(LEN(TRIM(P48))=0,"",IFERROR(INDEX(고객법인일정파일!$E$4:$E$192,MATCH(P48,고객법인일정파일!$C$4:$C$192,0)),""))</f>
        <v>O</v>
      </c>
      <c r="R48" s="12">
        <f>IF(OR(LEN(TRIM(P48))=0,Q48="X",Q48&lt;&gt;"O"),"",IFERROR(INDEX(고객법인일정파일!$F$4:$F$192,MATCH(P48,고객법인일정파일!$C$4:$C$192,0)),""))</f>
        <v>46050</v>
      </c>
      <c r="S48" s="12">
        <f>IF(OR(LEN(TRIM(P48))=0,Q48="X",Q48&lt;&gt;"O"),"",IFERROR(INDEX(고객법인일정파일!$H$4:$H$192,MATCH(P48,고객법인일정파일!$C$4:$C$192,0)),""))</f>
        <v>46064</v>
      </c>
      <c r="U48" s="11" t="str">
        <f>IF((고객법인일정파일!C48="Total"),"",IF(COUNTIF(MASTER!$D$5:$D$192,IF(고객법인일정파일!C48="한총","SEC",고객법인일정파일!C48))&gt;0,"","사용 안됨"))</f>
        <v/>
      </c>
    </row>
    <row r="49" spans="2:21">
      <c r="B49" s="145"/>
      <c r="C49" s="183" t="s">
        <v>352</v>
      </c>
      <c r="D49" s="183" t="s">
        <v>333</v>
      </c>
      <c r="E49" s="183" t="s">
        <v>20</v>
      </c>
      <c r="F49" s="142" t="s">
        <v>78</v>
      </c>
      <c r="G49" s="182" t="e">
        <f t="shared" si="2"/>
        <v>#VALUE!</v>
      </c>
      <c r="H49" s="142" t="s">
        <v>78</v>
      </c>
      <c r="I49" s="182" t="e">
        <f t="shared" si="2"/>
        <v>#VALUE!</v>
      </c>
      <c r="J49" s="151" t="str">
        <f>"Note1-test "&amp;C19</f>
        <v>Note1-test XADCZ</v>
      </c>
      <c r="O49" s="11" t="str">
        <f>IF(IF(OR(NOT(ISBLANK(고객법인일정파일!B49)),ISBLANK(고객법인일정파일!C49),고객법인일정파일!C49="Total"),"",IF(ISNUMBER(FIND("-",고객법인일정파일!C49)),LEFT(고객법인일정파일!C49,FIND("-",고객법인일정파일!C49)-1),IF(ISNUMBER(FIND(" ",고객법인일정파일!C49)),LEFT(고객법인일정파일!C49,FIND(" ",고객법인일정파일!C49)-1),고객법인일정파일!C49)))="한총","sec",IF(OR(NOT(ISBLANK(고객법인일정파일!B49)),ISBLANK(고객법인일정파일!C49),고객법인일정파일!C49="Total"),"",IF(ISNUMBER(FIND("-",고객법인일정파일!C49)),LEFT(고객법인일정파일!C49,FIND("-",고객법인일정파일!C49)-1),IF(ISNUMBER(FIND(" ",고객법인일정파일!C49)),LEFT(고객법인일정파일!C49,FIND(" ",고객법인일정파일!C49)-1),고객법인일정파일!C49))))</f>
        <v>XADMUG</v>
      </c>
      <c r="P49" s="11" t="str">
        <f>IF(ISBLANK(태깅기획site_code!F49),"",IF(COUNTIF(고객법인일정파일!$C$4:$C$200,태깅기획site_code!D49&amp;"-"&amp;UPPER(IF(ISNUMBER(FIND("_",태깅기획site_code!F49)),LEFT(태깅기획site_code!F49,FIND("_",태깅기획site_code!F49)-1),태깅기획site_code!F49)))&gt;0,태깅기획site_code!D49&amp;"-"&amp;UPPER(IF(ISNUMBER(FIND("_",태깅기획site_code!F49)),LEFT(태깅기획site_code!F49,FIND("_",태깅기획site_code!F49)-1),태깅기획site_code!F49)),IF(COUNTIF(고객법인일정파일!$C$4:$C$200,태깅기획site_code!D49&amp;" ("&amp;PROPER(LEFT(태깅기획site_code!F49,FIND("_",태깅기획site_code!F49)-1))&amp;"_"&amp;UPPER(MID(태깅기획site_code!F49,FIND("_",태깅기획site_code!F49)+1,20))&amp;")")&gt;0,태깅기획site_code!D49&amp;" ("&amp;PROPER(LEFT(태깅기획site_code!F49,FIND("_",태깅기획site_code!F49)-1))&amp;"_"&amp;UPPER(MID(태깅기획site_code!F49,FIND("_",태깅기획site_code!F49)+1,20))&amp;")",IF(COUNTIF(고객법인일정파일!$C$4:$C$200,태깅기획site_code!D49)&gt;0,태깅기획site_code!D49,IF(ISNUMBER(FIND("_",태깅기획site_code!F49)),"",IFERROR(INDEX(고객법인일정파일!$C$4:$C$200,MATCH(태깅기획site_code!D49,$O$4:$O$200,0)),IF(ISNUMBER(FIND("-",태깅기획site_code!D49)),IFERROR(INDEX(고객법인일정파일!$C$4:$C$200,MATCH(LEFT(태깅기획site_code!D49,FIND("-",태깅기획site_code!D49)-1),고객법인일정파일!$C$4:$C$200,0)),""),IF(태깅기획site_code!D49="SCA",IF(RIGHT(태깅기획site_code!F49,3)="_fr",IFERROR(INDEX(고객법인일정파일!$C$4:$C$200,MATCH("SEWA (Africa_FR)",고객법인일정파일!$C$4:$C$200,0)),""),IF(RIGHT(태깅기획site_code!F49,3)="_en",IFERROR(INDEX(고객법인일정파일!$C$4:$C$200,MATCH("SEWA (Africa_EN)",고객법인일정파일!$C$4:$C$200,0)),""),"")),""))))))))</f>
        <v>XADJ</v>
      </c>
      <c r="Q49" s="11" t="str">
        <f>IF(LEN(TRIM(P49))=0,"",IFERROR(INDEX(고객법인일정파일!$E$4:$E$192,MATCH(P49,고객법인일정파일!$C$4:$C$192,0)),""))</f>
        <v>X</v>
      </c>
      <c r="R49" s="12" t="str">
        <f>IF(OR(LEN(TRIM(P49))=0,Q49="X",Q49&lt;&gt;"O"),"",IFERROR(INDEX(고객법인일정파일!$F$4:$F$192,MATCH(P49,고객법인일정파일!$C$4:$C$192,0)),""))</f>
        <v/>
      </c>
      <c r="S49" s="12" t="str">
        <f>IF(OR(LEN(TRIM(P49))=0,Q49="X",Q49&lt;&gt;"O"),"",IFERROR(INDEX(고객법인일정파일!$H$4:$H$192,MATCH(P49,고객법인일정파일!$C$4:$C$192,0)),""))</f>
        <v/>
      </c>
      <c r="U49" s="11" t="str">
        <f>IF((고객법인일정파일!C49="Total"),"",IF(COUNTIF(MASTER!$D$5:$D$192,IF(고객법인일정파일!C49="한총","SEC",고객법인일정파일!C49))&gt;0,"","사용 안됨"))</f>
        <v/>
      </c>
    </row>
    <row r="50" spans="2:21">
      <c r="B50" s="145"/>
      <c r="C50" s="183" t="s">
        <v>353</v>
      </c>
      <c r="D50" s="183" t="s">
        <v>333</v>
      </c>
      <c r="E50" s="183" t="s">
        <v>20</v>
      </c>
      <c r="F50" s="142" t="s">
        <v>78</v>
      </c>
      <c r="G50" s="182" t="e">
        <f t="shared" si="2"/>
        <v>#VALUE!</v>
      </c>
      <c r="H50" s="142" t="s">
        <v>78</v>
      </c>
      <c r="I50" s="182" t="e">
        <f t="shared" si="2"/>
        <v>#VALUE!</v>
      </c>
      <c r="J50" s="151" t="str">
        <f>"Note1-test "&amp;C20</f>
        <v>Note1-test XADPOL</v>
      </c>
      <c r="O50" s="11" t="str">
        <f>IF(IF(OR(NOT(ISBLANK(고객법인일정파일!B50)),ISBLANK(고객법인일정파일!C50),고객법인일정파일!C50="Total"),"",IF(ISNUMBER(FIND("-",고객법인일정파일!C50)),LEFT(고객법인일정파일!C50,FIND("-",고객법인일정파일!C50)-1),IF(ISNUMBER(FIND(" ",고객법인일정파일!C50)),LEFT(고객법인일정파일!C50,FIND(" ",고객법인일정파일!C50)-1),고객법인일정파일!C50)))="한총","sec",IF(OR(NOT(ISBLANK(고객법인일정파일!B50)),ISBLANK(고객법인일정파일!C50),고객법인일정파일!C50="Total"),"",IF(ISNUMBER(FIND("-",고객법인일정파일!C50)),LEFT(고객법인일정파일!C50,FIND("-",고객법인일정파일!C50)-1),IF(ISNUMBER(FIND(" ",고객법인일정파일!C50)),LEFT(고객법인일정파일!C50,FIND(" ",고객법인일정파일!C50)-1),고객법인일정파일!C50))))</f>
        <v>XADLV</v>
      </c>
      <c r="P50" s="11" t="str">
        <f>IF(ISBLANK(태깅기획site_code!F50),"",IF(COUNTIF(고객법인일정파일!$C$4:$C$200,태깅기획site_code!D50&amp;"-"&amp;UPPER(IF(ISNUMBER(FIND("_",태깅기획site_code!F50)),LEFT(태깅기획site_code!F50,FIND("_",태깅기획site_code!F50)-1),태깅기획site_code!F50)))&gt;0,태깅기획site_code!D50&amp;"-"&amp;UPPER(IF(ISNUMBER(FIND("_",태깅기획site_code!F50)),LEFT(태깅기획site_code!F50,FIND("_",태깅기획site_code!F50)-1),태깅기획site_code!F50)),IF(COUNTIF(고객법인일정파일!$C$4:$C$200,태깅기획site_code!D50&amp;" ("&amp;PROPER(LEFT(태깅기획site_code!F50,FIND("_",태깅기획site_code!F50)-1))&amp;"_"&amp;UPPER(MID(태깅기획site_code!F50,FIND("_",태깅기획site_code!F50)+1,20))&amp;")")&gt;0,태깅기획site_code!D50&amp;" ("&amp;PROPER(LEFT(태깅기획site_code!F50,FIND("_",태깅기획site_code!F50)-1))&amp;"_"&amp;UPPER(MID(태깅기획site_code!F50,FIND("_",태깅기획site_code!F50)+1,20))&amp;")",IF(COUNTIF(고객법인일정파일!$C$4:$C$200,태깅기획site_code!D50)&gt;0,태깅기획site_code!D50,IF(ISNUMBER(FIND("_",태깅기획site_code!F50)),"",IFERROR(INDEX(고객법인일정파일!$C$4:$C$200,MATCH(태깅기획site_code!D50,$O$4:$O$200,0)),IF(ISNUMBER(FIND("-",태깅기획site_code!D50)),IFERROR(INDEX(고객법인일정파일!$C$4:$C$200,MATCH(LEFT(태깅기획site_code!D50,FIND("-",태깅기획site_code!D50)-1),고객법인일정파일!$C$4:$C$200,0)),""),IF(태깅기획site_code!D50="SCA",IF(RIGHT(태깅기획site_code!F50,3)="_fr",IFERROR(INDEX(고객법인일정파일!$C$4:$C$200,MATCH("SEWA (Africa_FR)",고객법인일정파일!$C$4:$C$200,0)),""),IF(RIGHT(태깅기획site_code!F50,3)="_en",IFERROR(INDEX(고객법인일정파일!$C$4:$C$200,MATCH("SEWA (Africa_EN)",고객법인일정파일!$C$4:$C$200,0)),""),"")),""))))))))</f>
        <v>XADCAD</v>
      </c>
      <c r="Q50" s="11" t="str">
        <f>IF(LEN(TRIM(P50))=0,"",IFERROR(INDEX(고객법인일정파일!$E$4:$E$192,MATCH(P50,고객법인일정파일!$C$4:$C$192,0)),""))</f>
        <v>O</v>
      </c>
      <c r="R50" s="12">
        <f>IF(OR(LEN(TRIM(P50))=0,Q50="X",Q50&lt;&gt;"O"),"",IFERROR(INDEX(고객법인일정파일!$F$4:$F$192,MATCH(P50,고객법인일정파일!$C$4:$C$192,0)),""))</f>
        <v>46054</v>
      </c>
      <c r="S50" s="12">
        <f>IF(OR(LEN(TRIM(P50))=0,Q50="X",Q50&lt;&gt;"O"),"",IFERROR(INDEX(고객법인일정파일!$H$4:$H$192,MATCH(P50,고객법인일정파일!$C$4:$C$192,0)),""))</f>
        <v>46064</v>
      </c>
      <c r="U50" s="11" t="str">
        <f>IF((고객법인일정파일!C50="Total"),"",IF(COUNTIF(MASTER!$D$5:$D$192,IF(고객법인일정파일!C50="한총","SEC",고객법인일정파일!C50))&gt;0,"","사용 안됨"))</f>
        <v/>
      </c>
    </row>
    <row r="51" spans="2:21">
      <c r="B51" s="145"/>
      <c r="C51" s="183" t="s">
        <v>354</v>
      </c>
      <c r="D51" s="183" t="s">
        <v>333</v>
      </c>
      <c r="E51" s="183" t="s">
        <v>73</v>
      </c>
      <c r="F51" s="142"/>
      <c r="G51" s="182" t="str">
        <f t="shared" si="2"/>
        <v>W0</v>
      </c>
      <c r="H51" s="142"/>
      <c r="I51" s="182" t="str">
        <f t="shared" si="2"/>
        <v>W0</v>
      </c>
      <c r="J51" s="150"/>
      <c r="O51" s="11" t="str">
        <f>IF(IF(OR(NOT(ISBLANK(고객법인일정파일!B51)),ISBLANK(고객법인일정파일!C51),고객법인일정파일!C51="Total"),"",IF(ISNUMBER(FIND("-",고객법인일정파일!C51)),LEFT(고객법인일정파일!C51,FIND("-",고객법인일정파일!C51)-1),IF(ISNUMBER(FIND(" ",고객법인일정파일!C51)),LEFT(고객법인일정파일!C51,FIND(" ",고객법인일정파일!C51)-1),고객법인일정파일!C51)))="한총","sec",IF(OR(NOT(ISBLANK(고객법인일정파일!B51)),ISBLANK(고객법인일정파일!C51),고객법인일정파일!C51="Total"),"",IF(ISNUMBER(FIND("-",고객법인일정파일!C51)),LEFT(고객법인일정파일!C51,FIND("-",고객법인일정파일!C51)-1),IF(ISNUMBER(FIND(" ",고객법인일정파일!C51)),LEFT(고객법인일정파일!C51,FIND(" ",고객법인일정파일!C51)-1),고객법인일정파일!C51))))</f>
        <v>XADXUR</v>
      </c>
      <c r="P51" s="11" t="str">
        <f>IF(ISBLANK(태깅기획site_code!F51),"",IF(COUNTIF(고객법인일정파일!$C$4:$C$200,태깅기획site_code!D51&amp;"-"&amp;UPPER(IF(ISNUMBER(FIND("_",태깅기획site_code!F51)),LEFT(태깅기획site_code!F51,FIND("_",태깅기획site_code!F51)-1),태깅기획site_code!F51)))&gt;0,태깅기획site_code!D51&amp;"-"&amp;UPPER(IF(ISNUMBER(FIND("_",태깅기획site_code!F51)),LEFT(태깅기획site_code!F51,FIND("_",태깅기획site_code!F51)-1),태깅기획site_code!F51)),IF(COUNTIF(고객법인일정파일!$C$4:$C$200,태깅기획site_code!D51&amp;" ("&amp;PROPER(LEFT(태깅기획site_code!F51,FIND("_",태깅기획site_code!F51)-1))&amp;"_"&amp;UPPER(MID(태깅기획site_code!F51,FIND("_",태깅기획site_code!F51)+1,20))&amp;")")&gt;0,태깅기획site_code!D51&amp;" ("&amp;PROPER(LEFT(태깅기획site_code!F51,FIND("_",태깅기획site_code!F51)-1))&amp;"_"&amp;UPPER(MID(태깅기획site_code!F51,FIND("_",태깅기획site_code!F51)+1,20))&amp;")",IF(COUNTIF(고객법인일정파일!$C$4:$C$200,태깅기획site_code!D51)&gt;0,태깅기획site_code!D51,IF(ISNUMBER(FIND("_",태깅기획site_code!F51)),"",IFERROR(INDEX(고객법인일정파일!$C$4:$C$200,MATCH(태깅기획site_code!D51,$O$4:$O$200,0)),IF(ISNUMBER(FIND("-",태깅기획site_code!D51)),IFERROR(INDEX(고객법인일정파일!$C$4:$C$200,MATCH(LEFT(태깅기획site_code!D51,FIND("-",태깅기획site_code!D51)-1),고객법인일정파일!$C$4:$C$200,0)),""),IF(태깅기획site_code!D51="SCA",IF(RIGHT(태깅기획site_code!F51,3)="_fr",IFERROR(INDEX(고객법인일정파일!$C$4:$C$200,MATCH("SEWA (Africa_FR)",고객법인일정파일!$C$4:$C$200,0)),""),IF(RIGHT(태깅기획site_code!F51,3)="_en",IFERROR(INDEX(고객법인일정파일!$C$4:$C$200,MATCH("SEWA (Africa_EN)",고객법인일정파일!$C$4:$C$200,0)),""),"")),""))))))))</f>
        <v>XADCAD</v>
      </c>
      <c r="Q51" s="11" t="str">
        <f>IF(LEN(TRIM(P51))=0,"",IFERROR(INDEX(고객법인일정파일!$E$4:$E$192,MATCH(P51,고객법인일정파일!$C$4:$C$192,0)),""))</f>
        <v>O</v>
      </c>
      <c r="R51" s="12">
        <f>IF(OR(LEN(TRIM(P51))=0,Q51="X",Q51&lt;&gt;"O"),"",IFERROR(INDEX(고객법인일정파일!$F$4:$F$192,MATCH(P51,고객법인일정파일!$C$4:$C$192,0)),""))</f>
        <v>46054</v>
      </c>
      <c r="S51" s="12">
        <f>IF(OR(LEN(TRIM(P51))=0,Q51="X",Q51&lt;&gt;"O"),"",IFERROR(INDEX(고객법인일정파일!$H$4:$H$192,MATCH(P51,고객법인일정파일!$C$4:$C$192,0)),""))</f>
        <v>46064</v>
      </c>
      <c r="U51" s="11" t="str">
        <f>IF((고객법인일정파일!C51="Total"),"",IF(COUNTIF(MASTER!$D$5:$D$192,IF(고객법인일정파일!C51="한총","SEC",고객법인일정파일!C51))&gt;0,"","사용 안됨"))</f>
        <v/>
      </c>
    </row>
    <row r="52" spans="2:21">
      <c r="B52" s="145"/>
      <c r="C52" s="183" t="s">
        <v>355</v>
      </c>
      <c r="D52" s="183" t="s">
        <v>333</v>
      </c>
      <c r="E52" s="183" t="s">
        <v>20</v>
      </c>
      <c r="F52" s="142" t="s">
        <v>78</v>
      </c>
      <c r="G52" s="182" t="e">
        <f t="shared" si="2"/>
        <v>#VALUE!</v>
      </c>
      <c r="H52" s="143" t="s">
        <v>78</v>
      </c>
      <c r="I52" s="182" t="e">
        <f t="shared" si="2"/>
        <v>#VALUE!</v>
      </c>
      <c r="J52" s="151" t="str">
        <f>"Note1-test "&amp;C22</f>
        <v>Note1-test XADUX-CH</v>
      </c>
      <c r="O52" s="11" t="str">
        <f>IF(IF(OR(NOT(ISBLANK(고객법인일정파일!B52)),ISBLANK(고객법인일정파일!C52),고객법인일정파일!C52="Total"),"",IF(ISNUMBER(FIND("-",고객법인일정파일!C52)),LEFT(고객법인일정파일!C52,FIND("-",고객법인일정파일!C52)-1),IF(ISNUMBER(FIND(" ",고객법인일정파일!C52)),LEFT(고객법인일정파일!C52,FIND(" ",고객법인일정파일!C52)-1),고객법인일정파일!C52)))="한총","sec",IF(OR(NOT(ISBLANK(고객법인일정파일!B52)),ISBLANK(고객법인일정파일!C52),고객법인일정파일!C52="Total"),"",IF(ISNUMBER(FIND("-",고객법인일정파일!C52)),LEFT(고객법인일정파일!C52,FIND("-",고객법인일정파일!C52)-1),IF(ISNUMBER(FIND(" ",고객법인일정파일!C52)),LEFT(고객법인일정파일!C52,FIND(" ",고객법인일정파일!C52)-1),고객법인일정파일!C52))))</f>
        <v>XADADG</v>
      </c>
      <c r="P52" s="11" t="str">
        <f>IF(ISBLANK(태깅기획site_code!F52),"",IF(COUNTIF(고객법인일정파일!$C$4:$C$200,태깅기획site_code!D52&amp;"-"&amp;UPPER(IF(ISNUMBER(FIND("_",태깅기획site_code!F52)),LEFT(태깅기획site_code!F52,FIND("_",태깅기획site_code!F52)-1),태깅기획site_code!F52)))&gt;0,태깅기획site_code!D52&amp;"-"&amp;UPPER(IF(ISNUMBER(FIND("_",태깅기획site_code!F52)),LEFT(태깅기획site_code!F52,FIND("_",태깅기획site_code!F52)-1),태깅기획site_code!F52)),IF(COUNTIF(고객법인일정파일!$C$4:$C$200,태깅기획site_code!D52&amp;" ("&amp;PROPER(LEFT(태깅기획site_code!F52,FIND("_",태깅기획site_code!F52)-1))&amp;"_"&amp;UPPER(MID(태깅기획site_code!F52,FIND("_",태깅기획site_code!F52)+1,20))&amp;")")&gt;0,태깅기획site_code!D52&amp;" ("&amp;PROPER(LEFT(태깅기획site_code!F52,FIND("_",태깅기획site_code!F52)-1))&amp;"_"&amp;UPPER(MID(태깅기획site_code!F52,FIND("_",태깅기획site_code!F52)+1,20))&amp;")",IF(COUNTIF(고객법인일정파일!$C$4:$C$200,태깅기획site_code!D52)&gt;0,태깅기획site_code!D52,IF(ISNUMBER(FIND("_",태깅기획site_code!F52)),"",IFERROR(INDEX(고객법인일정파일!$C$4:$C$200,MATCH(태깅기획site_code!D52,$O$4:$O$200,0)),IF(ISNUMBER(FIND("-",태깅기획site_code!D52)),IFERROR(INDEX(고객법인일정파일!$C$4:$C$200,MATCH(LEFT(태깅기획site_code!D52,FIND("-",태깅기획site_code!D52)-1),고객법인일정파일!$C$4:$C$200,0)),""),IF(태깅기획site_code!D52="SCA",IF(RIGHT(태깅기획site_code!F52,3)="_fr",IFERROR(INDEX(고객법인일정파일!$C$4:$C$200,MATCH("SEWA (Africa_FR)",고객법인일정파일!$C$4:$C$200,0)),""),IF(RIGHT(태깅기획site_code!F52,3)="_en",IFERROR(INDEX(고객법인일정파일!$C$4:$C$200,MATCH("SEWA (Africa_EN)",고객법인일정파일!$C$4:$C$200,0)),""),"")),""))))))))</f>
        <v>XADLU</v>
      </c>
      <c r="Q52" s="11" t="str">
        <f>IF(LEN(TRIM(P52))=0,"",IFERROR(INDEX(고객법인일정파일!$E$4:$E$192,MATCH(P52,고객법인일정파일!$C$4:$C$192,0)),""))</f>
        <v>O</v>
      </c>
      <c r="R52" s="12">
        <f>IF(OR(LEN(TRIM(P52))=0,Q52="X",Q52&lt;&gt;"O"),"",IFERROR(INDEX(고객법인일정파일!$F$4:$F$192,MATCH(P52,고객법인일정파일!$C$4:$C$192,0)),""))</f>
        <v>46042</v>
      </c>
      <c r="S52" s="12">
        <f>IF(OR(LEN(TRIM(P52))=0,Q52="X",Q52&lt;&gt;"O"),"",IFERROR(INDEX(고객법인일정파일!$H$4:$H$192,MATCH(P52,고객법인일정파일!$C$4:$C$192,0)),""))</f>
        <v>46063</v>
      </c>
      <c r="U52" s="11" t="str">
        <f>IF((고객법인일정파일!C52="Total"),"",IF(COUNTIF(MASTER!$D$5:$D$192,IF(고객법인일정파일!C52="한총","SEC",고객법인일정파일!C52))&gt;0,"","사용 안됨"))</f>
        <v/>
      </c>
    </row>
    <row r="53" spans="2:21">
      <c r="B53" s="145"/>
      <c r="C53" s="183" t="s">
        <v>356</v>
      </c>
      <c r="D53" s="183" t="s">
        <v>333</v>
      </c>
      <c r="E53" s="183" t="s">
        <v>73</v>
      </c>
      <c r="F53" s="142"/>
      <c r="G53" s="182" t="str">
        <f>"W"&amp;WEEKNUM(F54)</f>
        <v>W7</v>
      </c>
      <c r="H53" s="142"/>
      <c r="I53" s="182" t="e">
        <f>"W"&amp;WEEKNUM(H54)</f>
        <v>#VALUE!</v>
      </c>
      <c r="J53" s="150"/>
      <c r="O53" s="11" t="str">
        <f>IF(IF(OR(NOT(ISBLANK(고객법인일정파일!B53)),ISBLANK(고객법인일정파일!C53),고객법인일정파일!C53="Total"),"",IF(ISNUMBER(FIND("-",고객법인일정파일!C53)),LEFT(고객법인일정파일!C53,FIND("-",고객법인일정파일!C53)-1),IF(ISNUMBER(FIND(" ",고객법인일정파일!C53)),LEFT(고객법인일정파일!C53,FIND(" ",고객법인일정파일!C53)-1),고객법인일정파일!C53)))="한총","sec",IF(OR(NOT(ISBLANK(고객법인일정파일!B53)),ISBLANK(고객법인일정파일!C53),고객법인일정파일!C53="Total"),"",IF(ISNUMBER(FIND("-",고객법인일정파일!C53)),LEFT(고객법인일정파일!C53,FIND("-",고객법인일정파일!C53)-1),IF(ISNUMBER(FIND(" ",고객법인일정파일!C53)),LEFT(고객법인일정파일!C53,FIND(" ",고객법인일정파일!C53)-1),고객법인일정파일!C53))))</f>
        <v>XADIL</v>
      </c>
      <c r="P53" s="11" t="str">
        <f>IF(ISBLANK(태깅기획site_code!F53),"",IF(COUNTIF(고객법인일정파일!$C$4:$C$200,태깅기획site_code!D53&amp;"-"&amp;UPPER(IF(ISNUMBER(FIND("_",태깅기획site_code!F53)),LEFT(태깅기획site_code!F53,FIND("_",태깅기획site_code!F53)-1),태깅기획site_code!F53)))&gt;0,태깅기획site_code!D53&amp;"-"&amp;UPPER(IF(ISNUMBER(FIND("_",태깅기획site_code!F53)),LEFT(태깅기획site_code!F53,FIND("_",태깅기획site_code!F53)-1),태깅기획site_code!F53)),IF(COUNTIF(고객법인일정파일!$C$4:$C$200,태깅기획site_code!D53&amp;" ("&amp;PROPER(LEFT(태깅기획site_code!F53,FIND("_",태깅기획site_code!F53)-1))&amp;"_"&amp;UPPER(MID(태깅기획site_code!F53,FIND("_",태깅기획site_code!F53)+1,20))&amp;")")&gt;0,태깅기획site_code!D53&amp;" ("&amp;PROPER(LEFT(태깅기획site_code!F53,FIND("_",태깅기획site_code!F53)-1))&amp;"_"&amp;UPPER(MID(태깅기획site_code!F53,FIND("_",태깅기획site_code!F53)+1,20))&amp;")",IF(COUNTIF(고객법인일정파일!$C$4:$C$200,태깅기획site_code!D53)&gt;0,태깅기획site_code!D53,IF(ISNUMBER(FIND("_",태깅기획site_code!F53)),"",IFERROR(INDEX(고객법인일정파일!$C$4:$C$200,MATCH(태깅기획site_code!D53,$O$4:$O$200,0)),IF(ISNUMBER(FIND("-",태깅기획site_code!D53)),IFERROR(INDEX(고객법인일정파일!$C$4:$C$200,MATCH(LEFT(태깅기획site_code!D53,FIND("-",태깅기획site_code!D53)-1),고객법인일정파일!$C$4:$C$200,0)),""),IF(태깅기획site_code!D53="SCA",IF(RIGHT(태깅기획site_code!F53,3)="_fr",IFERROR(INDEX(고객법인일정파일!$C$4:$C$200,MATCH("SEWA (Africa_FR)",고객법인일정파일!$C$4:$C$200,0)),""),IF(RIGHT(태깅기획site_code!F53,3)="_en",IFERROR(INDEX(고객법인일정파일!$C$4:$C$200,MATCH("SEWA (Africa_EN)",고객법인일정파일!$C$4:$C$200,0)),""),"")),""))))))))</f>
        <v>XADLU</v>
      </c>
      <c r="Q53" s="11" t="str">
        <f>IF(LEN(TRIM(P53))=0,"",IFERROR(INDEX(고객법인일정파일!$E$4:$E$192,MATCH(P53,고객법인일정파일!$C$4:$C$192,0)),""))</f>
        <v>O</v>
      </c>
      <c r="R53" s="12">
        <f>IF(OR(LEN(TRIM(P53))=0,Q53="X",Q53&lt;&gt;"O"),"",IFERROR(INDEX(고객법인일정파일!$F$4:$F$192,MATCH(P53,고객법인일정파일!$C$4:$C$192,0)),""))</f>
        <v>46042</v>
      </c>
      <c r="S53" s="12">
        <f>IF(OR(LEN(TRIM(P53))=0,Q53="X",Q53&lt;&gt;"O"),"",IFERROR(INDEX(고객법인일정파일!$H$4:$H$192,MATCH(P53,고객법인일정파일!$C$4:$C$192,0)),""))</f>
        <v>46063</v>
      </c>
      <c r="U53" s="11" t="str">
        <f>IF((고객법인일정파일!C53="Total"),"",IF(COUNTIF(MASTER!$D$5:$D$192,IF(고객법인일정파일!C53="한총","SEC",고객법인일정파일!C53))&gt;0,"","사용 안됨"))</f>
        <v/>
      </c>
    </row>
    <row r="54" spans="2:21">
      <c r="B54" s="145"/>
      <c r="C54" s="183" t="s">
        <v>357</v>
      </c>
      <c r="D54" s="183" t="s">
        <v>333</v>
      </c>
      <c r="E54" s="183" t="s">
        <v>20</v>
      </c>
      <c r="F54" s="142">
        <v>46064</v>
      </c>
      <c r="G54" s="182" t="str">
        <f t="shared" si="2"/>
        <v>W7</v>
      </c>
      <c r="H54" s="143" t="s">
        <v>78</v>
      </c>
      <c r="I54" s="182" t="e">
        <f t="shared" si="2"/>
        <v>#VALUE!</v>
      </c>
      <c r="J54" s="151" t="str">
        <f>"Note1-test "&amp;C21</f>
        <v>Note1-test XADUX-UT</v>
      </c>
      <c r="O54" s="11" t="str">
        <f>IF(IF(OR(NOT(ISBLANK(고객법인일정파일!B54)),ISBLANK(고객법인일정파일!C54),고객법인일정파일!C54="Total"),"",IF(ISNUMBER(FIND("-",고객법인일정파일!C54)),LEFT(고객법인일정파일!C54,FIND("-",고객법인일정파일!C54)-1),IF(ISNUMBER(FIND(" ",고객법인일정파일!C54)),LEFT(고객법인일정파일!C54,FIND(" ",고객법인일정파일!C54)-1),고객법인일정파일!C54)))="한총","sec",IF(OR(NOT(ISBLANK(고객법인일정파일!B54)),ISBLANK(고객법인일정파일!C54),고객법인일정파일!C54="Total"),"",IF(ISNUMBER(FIND("-",고객법인일정파일!C54)),LEFT(고객법인일정파일!C54,FIND("-",고객법인일정파일!C54)-1),IF(ISNUMBER(FIND(" ",고객법인일정파일!C54)),LEFT(고객법인일정파일!C54,FIND(" ",고객법인일정파일!C54)-1),고객법인일정파일!C54))))</f>
        <v>XADPUK</v>
      </c>
      <c r="P54" s="11" t="str">
        <f>IF(ISBLANK(태깅기획site_code!F54),"",IF(COUNTIF(고객법인일정파일!$C$4:$C$200,태깅기획site_code!D54&amp;"-"&amp;UPPER(IF(ISNUMBER(FIND("_",태깅기획site_code!F54)),LEFT(태깅기획site_code!F54,FIND("_",태깅기획site_code!F54)-1),태깅기획site_code!F54)))&gt;0,태깅기획site_code!D54&amp;"-"&amp;UPPER(IF(ISNUMBER(FIND("_",태깅기획site_code!F54)),LEFT(태깅기획site_code!F54,FIND("_",태깅기획site_code!F54)-1),태깅기획site_code!F54)),IF(COUNTIF(고객법인일정파일!$C$4:$C$200,태깅기획site_code!D54&amp;" ("&amp;PROPER(LEFT(태깅기획site_code!F54,FIND("_",태깅기획site_code!F54)-1))&amp;"_"&amp;UPPER(MID(태깅기획site_code!F54,FIND("_",태깅기획site_code!F54)+1,20))&amp;")")&gt;0,태깅기획site_code!D54&amp;" ("&amp;PROPER(LEFT(태깅기획site_code!F54,FIND("_",태깅기획site_code!F54)-1))&amp;"_"&amp;UPPER(MID(태깅기획site_code!F54,FIND("_",태깅기획site_code!F54)+1,20))&amp;")",IF(COUNTIF(고객법인일정파일!$C$4:$C$200,태깅기획site_code!D54)&gt;0,태깅기획site_code!D54,IF(ISNUMBER(FIND("_",태깅기획site_code!F54)),"",IFERROR(INDEX(고객법인일정파일!$C$4:$C$200,MATCH(태깅기획site_code!D54,$O$4:$O$200,0)),IF(ISNUMBER(FIND("-",태깅기획site_code!D54)),IFERROR(INDEX(고객법인일정파일!$C$4:$C$200,MATCH(LEFT(태깅기획site_code!D54,FIND("-",태깅기획site_code!D54)-1),고객법인일정파일!$C$4:$C$200,0)),""),IF(태깅기획site_code!D54="SCA",IF(RIGHT(태깅기획site_code!F54,3)="_fr",IFERROR(INDEX(고객법인일정파일!$C$4:$C$200,MATCH("SEWA (Africa_FR)",고객법인일정파일!$C$4:$C$200,0)),""),IF(RIGHT(태깅기획site_code!F54,3)="_en",IFERROR(INDEX(고객법인일정파일!$C$4:$C$200,MATCH("SEWA (Africa_EN)",고객법인일정파일!$C$4:$C$200,0)),""),"")),""))))))))</f>
        <v>XADLV</v>
      </c>
      <c r="Q54" s="11" t="str">
        <f>IF(LEN(TRIM(P54))=0,"",IFERROR(INDEX(고객법인일정파일!$E$4:$E$192,MATCH(P54,고객법인일정파일!$C$4:$C$192,0)),""))</f>
        <v>O</v>
      </c>
      <c r="R54" s="12" t="str">
        <f>IF(OR(LEN(TRIM(P54))=0,Q54="X",Q54&lt;&gt;"O"),"",IFERROR(INDEX(고객법인일정파일!$F$4:$F$192,MATCH(P54,고객법인일정파일!$C$4:$C$192,0)),""))</f>
        <v>TBC</v>
      </c>
      <c r="S54" s="12" t="str">
        <f>IF(OR(LEN(TRIM(P54))=0,Q54="X",Q54&lt;&gt;"O"),"",IFERROR(INDEX(고객법인일정파일!$H$4:$H$192,MATCH(P54,고객법인일정파일!$C$4:$C$192,0)),""))</f>
        <v>TBC</v>
      </c>
      <c r="U54" s="11" t="str">
        <f>IF((고객법인일정파일!C54="Total"),"",IF(COUNTIF(MASTER!$D$5:$D$192,IF(고객법인일정파일!C54="한총","SEC",고객법인일정파일!C54))&gt;0,"","사용 안됨"))</f>
        <v/>
      </c>
    </row>
    <row r="55" spans="2:21">
      <c r="B55" s="144" t="s">
        <v>79</v>
      </c>
      <c r="C55" s="183" t="s">
        <v>312</v>
      </c>
      <c r="D55" s="183"/>
      <c r="E55" s="183"/>
      <c r="F55" s="142"/>
      <c r="G55" s="182" t="str">
        <f t="shared" si="2"/>
        <v>W0</v>
      </c>
      <c r="H55" s="142"/>
      <c r="I55" s="182" t="str">
        <f t="shared" si="2"/>
        <v>W0</v>
      </c>
      <c r="J55" s="150"/>
      <c r="O55" s="11" t="str">
        <f>IF(IF(OR(NOT(ISBLANK(고객법인일정파일!B55)),ISBLANK(고객법인일정파일!C55),고객법인일정파일!C55="Total"),"",IF(ISNUMBER(FIND("-",고객법인일정파일!C55)),LEFT(고객법인일정파일!C55,FIND("-",고객법인일정파일!C55)-1),IF(ISNUMBER(FIND(" ",고객법인일정파일!C55)),LEFT(고객법인일정파일!C55,FIND(" ",고객법인일정파일!C55)-1),고객법인일정파일!C55)))="한총","sec",IF(OR(NOT(ISBLANK(고객법인일정파일!B55)),ISBLANK(고객법인일정파일!C55),고객법인일정파일!C55="Total"),"",IF(ISNUMBER(FIND("-",고객법인일정파일!C55)),LEFT(고객법인일정파일!C55,FIND("-",고객법인일정파일!C55)-1),IF(ISNUMBER(FIND(" ",고객법인일정파일!C55)),LEFT(고객법인일정파일!C55,FIND(" ",고객법인일정파일!C55)-1),고객법인일정파일!C55))))</f>
        <v/>
      </c>
      <c r="P55" s="11" t="str">
        <f>IF(ISBLANK(태깅기획site_code!F55),"",IF(COUNTIF(고객법인일정파일!$C$4:$C$200,태깅기획site_code!D55&amp;"-"&amp;UPPER(IF(ISNUMBER(FIND("_",태깅기획site_code!F55)),LEFT(태깅기획site_code!F55,FIND("_",태깅기획site_code!F55)-1),태깅기획site_code!F55)))&gt;0,태깅기획site_code!D55&amp;"-"&amp;UPPER(IF(ISNUMBER(FIND("_",태깅기획site_code!F55)),LEFT(태깅기획site_code!F55,FIND("_",태깅기획site_code!F55)-1),태깅기획site_code!F55)),IF(COUNTIF(고객법인일정파일!$C$4:$C$200,태깅기획site_code!D55&amp;" ("&amp;PROPER(LEFT(태깅기획site_code!F55,FIND("_",태깅기획site_code!F55)-1))&amp;"_"&amp;UPPER(MID(태깅기획site_code!F55,FIND("_",태깅기획site_code!F55)+1,20))&amp;")")&gt;0,태깅기획site_code!D55&amp;" ("&amp;PROPER(LEFT(태깅기획site_code!F55,FIND("_",태깅기획site_code!F55)-1))&amp;"_"&amp;UPPER(MID(태깅기획site_code!F55,FIND("_",태깅기획site_code!F55)+1,20))&amp;")",IF(COUNTIF(고객법인일정파일!$C$4:$C$200,태깅기획site_code!D55)&gt;0,태깅기획site_code!D55,IF(ISNUMBER(FIND("_",태깅기획site_code!F55)),"",IFERROR(INDEX(고객법인일정파일!$C$4:$C$200,MATCH(태깅기획site_code!D55,$O$4:$O$200,0)),IF(ISNUMBER(FIND("-",태깅기획site_code!D55)),IFERROR(INDEX(고객법인일정파일!$C$4:$C$200,MATCH(LEFT(태깅기획site_code!D55,FIND("-",태깅기획site_code!D55)-1),고객법인일정파일!$C$4:$C$200,0)),""),IF(태깅기획site_code!D55="SCA",IF(RIGHT(태깅기획site_code!F55,3)="_fr",IFERROR(INDEX(고객법인일정파일!$C$4:$C$200,MATCH("SEWA (Africa_FR)",고객법인일정파일!$C$4:$C$200,0)),""),IF(RIGHT(태깅기획site_code!F55,3)="_en",IFERROR(INDEX(고객법인일정파일!$C$4:$C$200,MATCH("SEWA (Africa_EN)",고객법인일정파일!$C$4:$C$200,0)),""),"")),""))))))))</f>
        <v>XADLV</v>
      </c>
      <c r="Q55" s="11" t="str">
        <f>IF(LEN(TRIM(P55))=0,"",IFERROR(INDEX(고객법인일정파일!$E$4:$E$192,MATCH(P55,고객법인일정파일!$C$4:$C$192,0)),""))</f>
        <v>O</v>
      </c>
      <c r="R55" s="12" t="str">
        <f>IF(OR(LEN(TRIM(P55))=0,Q55="X",Q55&lt;&gt;"O"),"",IFERROR(INDEX(고객법인일정파일!$F$4:$F$192,MATCH(P55,고객법인일정파일!$C$4:$C$192,0)),""))</f>
        <v>TBC</v>
      </c>
      <c r="S55" s="12" t="str">
        <f>IF(OR(LEN(TRIM(P55))=0,Q55="X",Q55&lt;&gt;"O"),"",IFERROR(INDEX(고객법인일정파일!$H$4:$H$192,MATCH(P55,고객법인일정파일!$C$4:$C$192,0)),""))</f>
        <v>TBC</v>
      </c>
      <c r="U55" s="11" t="str">
        <f>IF((고객법인일정파일!C55="Total"),"",IF(COUNTIF(MASTER!$D$5:$D$192,IF(고객법인일정파일!C55="한총","SEC",고객법인일정파일!C55))&gt;0,"","사용 안됨"))</f>
        <v>사용 안됨</v>
      </c>
    </row>
    <row r="56" spans="2:21">
      <c r="B56" s="145"/>
      <c r="C56" s="183" t="s">
        <v>358</v>
      </c>
      <c r="D56" s="182" t="s">
        <v>359</v>
      </c>
      <c r="E56" s="182" t="s">
        <v>20</v>
      </c>
      <c r="F56" s="142">
        <v>46054</v>
      </c>
      <c r="G56" s="182" t="str">
        <f t="shared" ref="G56:I69" si="3">"W"&amp;WEEKNUM(F56)</f>
        <v>W6</v>
      </c>
      <c r="H56" s="143">
        <v>46064</v>
      </c>
      <c r="I56" s="182" t="str">
        <f t="shared" si="3"/>
        <v>W7</v>
      </c>
      <c r="J56" s="150"/>
      <c r="O56" s="11" t="str">
        <f>IF(IF(OR(NOT(ISBLANK(고객법인일정파일!B56)),ISBLANK(고객법인일정파일!C56),고객법인일정파일!C56="Total"),"",IF(ISNUMBER(FIND("-",고객법인일정파일!C56)),LEFT(고객법인일정파일!C56,FIND("-",고객법인일정파일!C56)-1),IF(ISNUMBER(FIND(" ",고객법인일정파일!C56)),LEFT(고객법인일정파일!C56,FIND(" ",고객법인일정파일!C56)-1),고객법인일정파일!C56)))="한총","sec",IF(OR(NOT(ISBLANK(고객법인일정파일!B56)),ISBLANK(고객법인일정파일!C56),고객법인일정파일!C56="Total"),"",IF(ISNUMBER(FIND("-",고객법인일정파일!C56)),LEFT(고객법인일정파일!C56,FIND("-",고객법인일정파일!C56)-1),IF(ISNUMBER(FIND(" ",고객법인일정파일!C56)),LEFT(고객법인일정파일!C56,FIND(" ",고객법인일정파일!C56)-1),고객법인일정파일!C56))))</f>
        <v>XADCAD</v>
      </c>
      <c r="P56" s="11" t="str">
        <f>IF(ISBLANK(태깅기획site_code!F56),"",IF(COUNTIF(고객법인일정파일!$C$4:$C$200,태깅기획site_code!D56&amp;"-"&amp;UPPER(IF(ISNUMBER(FIND("_",태깅기획site_code!F56)),LEFT(태깅기획site_code!F56,FIND("_",태깅기획site_code!F56)-1),태깅기획site_code!F56)))&gt;0,태깅기획site_code!D56&amp;"-"&amp;UPPER(IF(ISNUMBER(FIND("_",태깅기획site_code!F56)),LEFT(태깅기획site_code!F56,FIND("_",태깅기획site_code!F56)-1),태깅기획site_code!F56)),IF(COUNTIF(고객법인일정파일!$C$4:$C$200,태깅기획site_code!D56&amp;" ("&amp;PROPER(LEFT(태깅기획site_code!F56,FIND("_",태깅기획site_code!F56)-1))&amp;"_"&amp;UPPER(MID(태깅기획site_code!F56,FIND("_",태깅기획site_code!F56)+1,20))&amp;")")&gt;0,태깅기획site_code!D56&amp;" ("&amp;PROPER(LEFT(태깅기획site_code!F56,FIND("_",태깅기획site_code!F56)-1))&amp;"_"&amp;UPPER(MID(태깅기획site_code!F56,FIND("_",태깅기획site_code!F56)+1,20))&amp;")",IF(COUNTIF(고객법인일정파일!$C$4:$C$200,태깅기획site_code!D56)&gt;0,태깅기획site_code!D56,IF(ISNUMBER(FIND("_",태깅기획site_code!F56)),"",IFERROR(INDEX(고객법인일정파일!$C$4:$C$200,MATCH(태깅기획site_code!D56,$O$4:$O$200,0)),IF(ISNUMBER(FIND("-",태깅기획site_code!D56)),IFERROR(INDEX(고객법인일정파일!$C$4:$C$200,MATCH(LEFT(태깅기획site_code!D56,FIND("-",태깅기획site_code!D56)-1),고객법인일정파일!$C$4:$C$200,0)),""),IF(태깅기획site_code!D56="SCA",IF(RIGHT(태깅기획site_code!F56,3)="_fr",IFERROR(INDEX(고객법인일정파일!$C$4:$C$200,MATCH("SEWA (Africa_FR)",고객법인일정파일!$C$4:$C$200,0)),""),IF(RIGHT(태깅기획site_code!F56,3)="_en",IFERROR(INDEX(고객법인일정파일!$C$4:$C$200,MATCH("SEWA (Africa_EN)",고객법인일정파일!$C$4:$C$200,0)),""),"")),""))))))))</f>
        <v>XADLV</v>
      </c>
      <c r="Q56" s="11" t="str">
        <f>IF(LEN(TRIM(P56))=0,"",IFERROR(INDEX(고객법인일정파일!$E$4:$E$192,MATCH(P56,고객법인일정파일!$C$4:$C$192,0)),""))</f>
        <v>O</v>
      </c>
      <c r="R56" s="12" t="str">
        <f>IF(OR(LEN(TRIM(P56))=0,Q56="X",Q56&lt;&gt;"O"),"",IFERROR(INDEX(고객법인일정파일!$F$4:$F$192,MATCH(P56,고객법인일정파일!$C$4:$C$192,0)),""))</f>
        <v>TBC</v>
      </c>
      <c r="S56" s="12" t="str">
        <f>IF(OR(LEN(TRIM(P56))=0,Q56="X",Q56&lt;&gt;"O"),"",IFERROR(INDEX(고객법인일정파일!$H$4:$H$192,MATCH(P56,고객법인일정파일!$C$4:$C$192,0)),""))</f>
        <v>TBC</v>
      </c>
      <c r="U56" s="11" t="str">
        <f>IF((고객법인일정파일!C56="Total"),"",IF(COUNTIF(MASTER!$D$5:$D$192,IF(고객법인일정파일!C56="한총","SEC",고객법인일정파일!C56))&gt;0,"","사용 안됨"))</f>
        <v/>
      </c>
    </row>
    <row r="57" spans="2:21">
      <c r="B57" s="144" t="s">
        <v>80</v>
      </c>
      <c r="C57" s="183" t="s">
        <v>312</v>
      </c>
      <c r="D57" s="183"/>
      <c r="E57" s="183"/>
      <c r="F57" s="142"/>
      <c r="G57" s="182" t="str">
        <f>"W"&amp;WEEKNUM(F56)</f>
        <v>W6</v>
      </c>
      <c r="H57" s="142"/>
      <c r="I57" s="182" t="str">
        <f>"W"&amp;WEEKNUM(H56)</f>
        <v>W7</v>
      </c>
      <c r="J57" s="150"/>
      <c r="O57" s="11" t="str">
        <f>IF(IF(OR(NOT(ISBLANK(고객법인일정파일!B57)),ISBLANK(고객법인일정파일!C57),고객법인일정파일!C57="Total"),"",IF(ISNUMBER(FIND("-",고객법인일정파일!C57)),LEFT(고객법인일정파일!C57,FIND("-",고객법인일정파일!C57)-1),IF(ISNUMBER(FIND(" ",고객법인일정파일!C57)),LEFT(고객법인일정파일!C57,FIND(" ",고객법인일정파일!C57)-1),고객법인일정파일!C57)))="한총","sec",IF(OR(NOT(ISBLANK(고객법인일정파일!B57)),ISBLANK(고객법인일정파일!C57),고객법인일정파일!C57="Total"),"",IF(ISNUMBER(FIND("-",고객법인일정파일!C57)),LEFT(고객법인일정파일!C57,FIND("-",고객법인일정파일!C57)-1),IF(ISNUMBER(FIND(" ",고객법인일정파일!C57)),LEFT(고객법인일정파일!C57,FIND(" ",고객법인일정파일!C57)-1),고객법인일정파일!C57))))</f>
        <v/>
      </c>
      <c r="P57" s="11" t="str">
        <f>IF(ISBLANK(태깅기획site_code!F57),"",IF(COUNTIF(고객법인일정파일!$C$4:$C$200,태깅기획site_code!D57&amp;"-"&amp;UPPER(IF(ISNUMBER(FIND("_",태깅기획site_code!F57)),LEFT(태깅기획site_code!F57,FIND("_",태깅기획site_code!F57)-1),태깅기획site_code!F57)))&gt;0,태깅기획site_code!D57&amp;"-"&amp;UPPER(IF(ISNUMBER(FIND("_",태깅기획site_code!F57)),LEFT(태깅기획site_code!F57,FIND("_",태깅기획site_code!F57)-1),태깅기획site_code!F57)),IF(COUNTIF(고객법인일정파일!$C$4:$C$200,태깅기획site_code!D57&amp;" ("&amp;PROPER(LEFT(태깅기획site_code!F57,FIND("_",태깅기획site_code!F57)-1))&amp;"_"&amp;UPPER(MID(태깅기획site_code!F57,FIND("_",태깅기획site_code!F57)+1,20))&amp;")")&gt;0,태깅기획site_code!D57&amp;" ("&amp;PROPER(LEFT(태깅기획site_code!F57,FIND("_",태깅기획site_code!F57)-1))&amp;"_"&amp;UPPER(MID(태깅기획site_code!F57,FIND("_",태깅기획site_code!F57)+1,20))&amp;")",IF(COUNTIF(고객법인일정파일!$C$4:$C$200,태깅기획site_code!D57)&gt;0,태깅기획site_code!D57,IF(ISNUMBER(FIND("_",태깅기획site_code!F57)),"",IFERROR(INDEX(고객법인일정파일!$C$4:$C$200,MATCH(태깅기획site_code!D57,$O$4:$O$200,0)),IF(ISNUMBER(FIND("-",태깅기획site_code!D57)),IFERROR(INDEX(고객법인일정파일!$C$4:$C$200,MATCH(LEFT(태깅기획site_code!D57,FIND("-",태깅기획site_code!D57)-1),고객법인일정파일!$C$4:$C$200,0)),""),IF(태깅기획site_code!D57="SCA",IF(RIGHT(태깅기획site_code!F57,3)="_fr",IFERROR(INDEX(고객법인일정파일!$C$4:$C$200,MATCH("SEWA (Africa_FR)",고객법인일정파일!$C$4:$C$200,0)),""),IF(RIGHT(태깅기획site_code!F57,3)="_en",IFERROR(INDEX(고객법인일정파일!$C$4:$C$200,MATCH("SEWA (Africa_EN)",고객법인일정파일!$C$4:$C$200,0)),""),"")),""))))))))</f>
        <v>XADB</v>
      </c>
      <c r="Q57" s="11">
        <f>IF(LEN(TRIM(P57))=0,"",IFERROR(INDEX(고객법인일정파일!$E$4:$E$192,MATCH(P57,고객법인일정파일!$C$4:$C$192,0)),""))</f>
        <v>0</v>
      </c>
      <c r="R57" s="12" t="str">
        <f>IF(OR(LEN(TRIM(P57))=0,Q57="X",Q57&lt;&gt;"O"),"",IFERROR(INDEX(고객법인일정파일!$F$4:$F$192,MATCH(P57,고객법인일정파일!$C$4:$C$192,0)),""))</f>
        <v/>
      </c>
      <c r="S57" s="12" t="str">
        <f>IF(OR(LEN(TRIM(P57))=0,Q57="X",Q57&lt;&gt;"O"),"",IFERROR(INDEX(고객법인일정파일!$H$4:$H$192,MATCH(P57,고객법인일정파일!$C$4:$C$192,0)),""))</f>
        <v/>
      </c>
      <c r="U57" s="11" t="str">
        <f>IF((고객법인일정파일!C57="Total"),"",IF(COUNTIF(MASTER!$D$5:$D$192,IF(고객법인일정파일!C57="한총","SEC",고객법인일정파일!C57))&gt;0,"","사용 안됨"))</f>
        <v>사용 안됨</v>
      </c>
    </row>
    <row r="58" spans="2:21">
      <c r="B58" s="145"/>
      <c r="C58" s="183" t="s">
        <v>360</v>
      </c>
      <c r="D58" s="182" t="s">
        <v>359</v>
      </c>
      <c r="E58" s="182" t="s">
        <v>20</v>
      </c>
      <c r="F58" s="142">
        <v>46042</v>
      </c>
      <c r="G58" s="182" t="str">
        <f t="shared" si="3"/>
        <v>W4</v>
      </c>
      <c r="H58" s="143">
        <v>46063</v>
      </c>
      <c r="I58" s="182" t="str">
        <f t="shared" si="3"/>
        <v>W7</v>
      </c>
      <c r="J58" s="150"/>
      <c r="O58" s="11" t="str">
        <f>IF(IF(OR(NOT(ISBLANK(고객법인일정파일!B58)),ISBLANK(고객법인일정파일!C58),고객법인일정파일!C58="Total"),"",IF(ISNUMBER(FIND("-",고객법인일정파일!C58)),LEFT(고객법인일정파일!C58,FIND("-",고객법인일정파일!C58)-1),IF(ISNUMBER(FIND(" ",고객법인일정파일!C58)),LEFT(고객법인일정파일!C58,FIND(" ",고객법인일정파일!C58)-1),고객법인일정파일!C58)))="한총","sec",IF(OR(NOT(ISBLANK(고객법인일정파일!B58)),ISBLANK(고객법인일정파일!C58),고객법인일정파일!C58="Total"),"",IF(ISNUMBER(FIND("-",고객법인일정파일!C58)),LEFT(고객법인일정파일!C58,FIND("-",고객법인일정파일!C58)-1),IF(ISNUMBER(FIND(" ",고객법인일정파일!C58)),LEFT(고객법인일정파일!C58,FIND(" ",고객법인일정파일!C58)-1),고객법인일정파일!C58))))</f>
        <v>XXU</v>
      </c>
      <c r="P58" s="11" t="str">
        <f>IF(ISBLANK(태깅기획site_code!F58),"",IF(COUNTIF(고객법인일정파일!$C$4:$C$200,태깅기획site_code!D58&amp;"-"&amp;UPPER(IF(ISNUMBER(FIND("_",태깅기획site_code!F58)),LEFT(태깅기획site_code!F58,FIND("_",태깅기획site_code!F58)-1),태깅기획site_code!F58)))&gt;0,태깅기획site_code!D58&amp;"-"&amp;UPPER(IF(ISNUMBER(FIND("_",태깅기획site_code!F58)),LEFT(태깅기획site_code!F58,FIND("_",태깅기획site_code!F58)-1),태깅기획site_code!F58)),IF(COUNTIF(고객법인일정파일!$C$4:$C$200,태깅기획site_code!D58&amp;" ("&amp;PROPER(LEFT(태깅기획site_code!F58,FIND("_",태깅기획site_code!F58)-1))&amp;"_"&amp;UPPER(MID(태깅기획site_code!F58,FIND("_",태깅기획site_code!F58)+1,20))&amp;")")&gt;0,태깅기획site_code!D58&amp;" ("&amp;PROPER(LEFT(태깅기획site_code!F58,FIND("_",태깅기획site_code!F58)-1))&amp;"_"&amp;UPPER(MID(태깅기획site_code!F58,FIND("_",태깅기획site_code!F58)+1,20))&amp;")",IF(COUNTIF(고객법인일정파일!$C$4:$C$200,태깅기획site_code!D58)&gt;0,태깅기획site_code!D58,IF(ISNUMBER(FIND("_",태깅기획site_code!F58)),"",IFERROR(INDEX(고객법인일정파일!$C$4:$C$200,MATCH(태깅기획site_code!D58,$O$4:$O$200,0)),IF(ISNUMBER(FIND("-",태깅기획site_code!D58)),IFERROR(INDEX(고객법인일정파일!$C$4:$C$200,MATCH(LEFT(태깅기획site_code!D58,FIND("-",태깅기획site_code!D58)-1),고객법인일정파일!$C$4:$C$200,0)),""),IF(태깅기획site_code!D58="SCA",IF(RIGHT(태깅기획site_code!F58,3)="_fr",IFERROR(INDEX(고객법인일정파일!$C$4:$C$200,MATCH("SEWA (Africa_FR)",고객법인일정파일!$C$4:$C$200,0)),""),IF(RIGHT(태깅기획site_code!F58,3)="_en",IFERROR(INDEX(고객법인일정파일!$C$4:$C$200,MATCH("SEWA (Africa_EN)",고객법인일정파일!$C$4:$C$200,0)),""),"")),""))))))))</f>
        <v>XADB</v>
      </c>
      <c r="Q58" s="11">
        <f>IF(LEN(TRIM(P58))=0,"",IFERROR(INDEX(고객법인일정파일!$E$4:$E$192,MATCH(P58,고객법인일정파일!$C$4:$C$192,0)),""))</f>
        <v>0</v>
      </c>
      <c r="R58" s="12" t="str">
        <f>IF(OR(LEN(TRIM(P58))=0,Q58="X",Q58&lt;&gt;"O"),"",IFERROR(INDEX(고객법인일정파일!$F$4:$F$192,MATCH(P58,고객법인일정파일!$C$4:$C$192,0)),""))</f>
        <v/>
      </c>
      <c r="S58" s="12" t="str">
        <f>IF(OR(LEN(TRIM(P58))=0,Q58="X",Q58&lt;&gt;"O"),"",IFERROR(INDEX(고객법인일정파일!$H$4:$H$192,MATCH(P58,고객법인일정파일!$C$4:$C$192,0)),""))</f>
        <v/>
      </c>
      <c r="U58" s="11" t="str">
        <f>IF((고객법인일정파일!C58="Total"),"",IF(COUNTIF(MASTER!$D$5:$D$192,IF(고객법인일정파일!C58="한총","SEC",고객법인일정파일!C58))&gt;0,"","사용 안됨"))</f>
        <v/>
      </c>
    </row>
    <row r="59" spans="2:21">
      <c r="B59" s="145"/>
      <c r="C59" s="183" t="s">
        <v>361</v>
      </c>
      <c r="D59" s="182" t="s">
        <v>359</v>
      </c>
      <c r="E59" s="183" t="s">
        <v>20</v>
      </c>
      <c r="F59" s="142">
        <v>46042</v>
      </c>
      <c r="G59" s="182" t="str">
        <f t="shared" si="3"/>
        <v>W4</v>
      </c>
      <c r="H59" s="142">
        <v>46063</v>
      </c>
      <c r="I59" s="182" t="str">
        <f t="shared" si="3"/>
        <v>W7</v>
      </c>
      <c r="J59" s="150"/>
      <c r="O59" s="11" t="str">
        <f>IF(IF(OR(NOT(ISBLANK(고객법인일정파일!B59)),ISBLANK(고객법인일정파일!C59),고객법인일정파일!C59="Total"),"",IF(ISNUMBER(FIND("-",고객법인일정파일!C59)),LEFT(고객법인일정파일!C59,FIND("-",고객법인일정파일!C59)-1),IF(ISNUMBER(FIND(" ",고객법인일정파일!C59)),LEFT(고객법인일정파일!C59,FIND(" ",고객법인일정파일!C59)-1),고객법인일정파일!C59)))="한총","sec",IF(OR(NOT(ISBLANK(고객법인일정파일!B59)),ISBLANK(고객법인일정파일!C59),고객법인일정파일!C59="Total"),"",IF(ISNUMBER(FIND("-",고객법인일정파일!C59)),LEFT(고객법인일정파일!C59,FIND("-",고객법인일정파일!C59)-1),IF(ISNUMBER(FIND(" ",고객법인일정파일!C59)),LEFT(고객법인일정파일!C59,FIND(" ",고객법인일정파일!C59)-1),고객법인일정파일!C59))))</f>
        <v>XADWU</v>
      </c>
      <c r="P59" s="11" t="str">
        <f>IF(ISBLANK(태깅기획site_code!F59),"",IF(COUNTIF(고객법인일정파일!$C$4:$C$200,태깅기획site_code!D59&amp;"-"&amp;UPPER(IF(ISNUMBER(FIND("_",태깅기획site_code!F59)),LEFT(태깅기획site_code!F59,FIND("_",태깅기획site_code!F59)-1),태깅기획site_code!F59)))&gt;0,태깅기획site_code!D59&amp;"-"&amp;UPPER(IF(ISNUMBER(FIND("_",태깅기획site_code!F59)),LEFT(태깅기획site_code!F59,FIND("_",태깅기획site_code!F59)-1),태깅기획site_code!F59)),IF(COUNTIF(고객법인일정파일!$C$4:$C$200,태깅기획site_code!D59&amp;" ("&amp;PROPER(LEFT(태깅기획site_code!F59,FIND("_",태깅기획site_code!F59)-1))&amp;"_"&amp;UPPER(MID(태깅기획site_code!F59,FIND("_",태깅기획site_code!F59)+1,20))&amp;")")&gt;0,태깅기획site_code!D59&amp;" ("&amp;PROPER(LEFT(태깅기획site_code!F59,FIND("_",태깅기획site_code!F59)-1))&amp;"_"&amp;UPPER(MID(태깅기획site_code!F59,FIND("_",태깅기획site_code!F59)+1,20))&amp;")",IF(COUNTIF(고객법인일정파일!$C$4:$C$200,태깅기획site_code!D59)&gt;0,태깅기획site_code!D59,IF(ISNUMBER(FIND("_",태깅기획site_code!F59)),"",IFERROR(INDEX(고객법인일정파일!$C$4:$C$200,MATCH(태깅기획site_code!D59,$O$4:$O$200,0)),IF(ISNUMBER(FIND("-",태깅기획site_code!D59)),IFERROR(INDEX(고객법인일정파일!$C$4:$C$200,MATCH(LEFT(태깅기획site_code!D59,FIND("-",태깅기획site_code!D59)-1),고객법인일정파일!$C$4:$C$200,0)),""),IF(태깅기획site_code!D59="SCA",IF(RIGHT(태깅기획site_code!F59,3)="_fr",IFERROR(INDEX(고객법인일정파일!$C$4:$C$200,MATCH("SEWA (Africa_FR)",고객법인일정파일!$C$4:$C$200,0)),""),IF(RIGHT(태깅기획site_code!F59,3)="_en",IFERROR(INDEX(고객법인일정파일!$C$4:$C$200,MATCH("SEWA (Africa_EN)",고객법인일정파일!$C$4:$C$200,0)),""),"")),""))))))))</f>
        <v>XADUD</v>
      </c>
      <c r="Q59" s="11" t="str">
        <f>IF(LEN(TRIM(P59))=0,"",IFERROR(INDEX(고객법인일정파일!$E$4:$E$192,MATCH(P59,고객법인일정파일!$C$4:$C$192,0)),""))</f>
        <v>X</v>
      </c>
      <c r="R59" s="12" t="str">
        <f>IF(OR(LEN(TRIM(P59))=0,Q59="X",Q59&lt;&gt;"O"),"",IFERROR(INDEX(고객법인일정파일!$F$4:$F$192,MATCH(P59,고객법인일정파일!$C$4:$C$192,0)),""))</f>
        <v/>
      </c>
      <c r="S59" s="12" t="str">
        <f>IF(OR(LEN(TRIM(P59))=0,Q59="X",Q59&lt;&gt;"O"),"",IFERROR(INDEX(고객법인일정파일!$H$4:$H$192,MATCH(P59,고객법인일정파일!$C$4:$C$192,0)),""))</f>
        <v/>
      </c>
      <c r="U59" s="11" t="str">
        <f>IF((고객법인일정파일!C59="Total"),"",IF(COUNTIF(MASTER!$D$5:$D$192,IF(고객법인일정파일!C59="한총","SEC",고객법인일정파일!C59))&gt;0,"","사용 안됨"))</f>
        <v>사용 안됨</v>
      </c>
    </row>
    <row r="60" spans="2:21">
      <c r="B60" s="145"/>
      <c r="C60" s="183" t="s">
        <v>362</v>
      </c>
      <c r="D60" s="182" t="s">
        <v>359</v>
      </c>
      <c r="E60" s="183" t="s">
        <v>20</v>
      </c>
      <c r="F60" s="142">
        <v>46042</v>
      </c>
      <c r="G60" s="182" t="str">
        <f t="shared" si="3"/>
        <v>W4</v>
      </c>
      <c r="H60" s="142">
        <v>46063</v>
      </c>
      <c r="I60" s="182" t="str">
        <f t="shared" si="3"/>
        <v>W7</v>
      </c>
      <c r="J60" s="150"/>
      <c r="O60" s="11" t="str">
        <f>IF(IF(OR(NOT(ISBLANK(고객법인일정파일!B60)),ISBLANK(고객법인일정파일!C60),고객법인일정파일!C60="Total"),"",IF(ISNUMBER(FIND("-",고객법인일정파일!C60)),LEFT(고객법인일정파일!C60,FIND("-",고객법인일정파일!C60)-1),IF(ISNUMBER(FIND(" ",고객법인일정파일!C60)),LEFT(고객법인일정파일!C60,FIND(" ",고객법인일정파일!C60)-1),고객법인일정파일!C60)))="한총","sec",IF(OR(NOT(ISBLANK(고객법인일정파일!B60)),ISBLANK(고객법인일정파일!C60),고객법인일정파일!C60="Total"),"",IF(ISNUMBER(FIND("-",고객법인일정파일!C60)),LEFT(고객법인일정파일!C60,FIND("-",고객법인일정파일!C60)-1),IF(ISNUMBER(FIND(" ",고객법인일정파일!C60)),LEFT(고객법인일정파일!C60,FIND(" ",고객법인일정파일!C60)-1),고객법인일정파일!C60))))</f>
        <v>XADWU</v>
      </c>
      <c r="P60" s="11" t="str">
        <f>IF(ISBLANK(태깅기획site_code!F60),"",IF(COUNTIF(고객법인일정파일!$C$4:$C$200,태깅기획site_code!D60&amp;"-"&amp;UPPER(IF(ISNUMBER(FIND("_",태깅기획site_code!F60)),LEFT(태깅기획site_code!F60,FIND("_",태깅기획site_code!F60)-1),태깅기획site_code!F60)))&gt;0,태깅기획site_code!D60&amp;"-"&amp;UPPER(IF(ISNUMBER(FIND("_",태깅기획site_code!F60)),LEFT(태깅기획site_code!F60,FIND("_",태깅기획site_code!F60)-1),태깅기획site_code!F60)),IF(COUNTIF(고객법인일정파일!$C$4:$C$200,태깅기획site_code!D60&amp;" ("&amp;PROPER(LEFT(태깅기획site_code!F60,FIND("_",태깅기획site_code!F60)-1))&amp;"_"&amp;UPPER(MID(태깅기획site_code!F60,FIND("_",태깅기획site_code!F60)+1,20))&amp;")")&gt;0,태깅기획site_code!D60&amp;" ("&amp;PROPER(LEFT(태깅기획site_code!F60,FIND("_",태깅기획site_code!F60)-1))&amp;"_"&amp;UPPER(MID(태깅기획site_code!F60,FIND("_",태깅기획site_code!F60)+1,20))&amp;")",IF(COUNTIF(고객법인일정파일!$C$4:$C$200,태깅기획site_code!D60)&gt;0,태깅기획site_code!D60,IF(ISNUMBER(FIND("_",태깅기획site_code!F60)),"",IFERROR(INDEX(고객법인일정파일!$C$4:$C$200,MATCH(태깅기획site_code!D60,$O$4:$O$200,0)),IF(ISNUMBER(FIND("-",태깅기획site_code!D60)),IFERROR(INDEX(고객법인일정파일!$C$4:$C$200,MATCH(LEFT(태깅기획site_code!D60,FIND("-",태깅기획site_code!D60)-1),고객법인일정파일!$C$4:$C$200,0)),""),IF(태깅기획site_code!D60="SCA",IF(RIGHT(태깅기획site_code!F60,3)="_fr",IFERROR(INDEX(고객법인일정파일!$C$4:$C$200,MATCH("SEWA (Africa_FR)",고객법인일정파일!$C$4:$C$200,0)),""),IF(RIGHT(태깅기획site_code!F60,3)="_en",IFERROR(INDEX(고객법인일정파일!$C$4:$C$200,MATCH("SEWA (Africa_EN)",고객법인일정파일!$C$4:$C$200,0)),""),"")),""))))))))</f>
        <v>TXAD-TH</v>
      </c>
      <c r="Q60" s="11" t="str">
        <f>IF(LEN(TRIM(P60))=0,"",IFERROR(INDEX(고객법인일정파일!$E$4:$E$192,MATCH(P60,고객법인일정파일!$C$4:$C$192,0)),""))</f>
        <v>O</v>
      </c>
      <c r="R60" s="12">
        <f>IF(OR(LEN(TRIM(P60))=0,Q60="X",Q60&lt;&gt;"O"),"",IFERROR(INDEX(고객법인일정파일!$F$4:$F$192,MATCH(P60,고객법인일정파일!$C$4:$C$192,0)),""))</f>
        <v>46243</v>
      </c>
      <c r="S60" s="12">
        <f>IF(OR(LEN(TRIM(P60))=0,Q60="X",Q60&lt;&gt;"O"),"",IFERROR(INDEX(고객법인일정파일!$H$4:$H$192,MATCH(P60,고객법인일정파일!$C$4:$C$192,0)),""))</f>
        <v>46246</v>
      </c>
      <c r="U60" s="11" t="str">
        <f>IF((고객법인일정파일!C60="Total"),"",IF(COUNTIF(MASTER!$D$5:$D$192,IF(고객법인일정파일!C60="한총","SEC",고객법인일정파일!C60))&gt;0,"","사용 안됨"))</f>
        <v>사용 안됨</v>
      </c>
    </row>
    <row r="61" spans="2:21">
      <c r="B61" s="145"/>
      <c r="C61" s="183" t="s">
        <v>363</v>
      </c>
      <c r="D61" s="182" t="s">
        <v>359</v>
      </c>
      <c r="E61" s="183"/>
      <c r="F61" s="142"/>
      <c r="G61" s="182" t="str">
        <f t="shared" si="3"/>
        <v>W0</v>
      </c>
      <c r="H61" s="142"/>
      <c r="I61" s="182" t="str">
        <f t="shared" si="3"/>
        <v>W0</v>
      </c>
      <c r="J61" s="150"/>
      <c r="O61" s="11" t="str">
        <f>IF(IF(OR(NOT(ISBLANK(고객법인일정파일!B61)),ISBLANK(고객법인일정파일!C61),고객법인일정파일!C61="Total"),"",IF(ISNUMBER(FIND("-",고객법인일정파일!C61)),LEFT(고객법인일정파일!C61,FIND("-",고객법인일정파일!C61)-1),IF(ISNUMBER(FIND(" ",고객법인일정파일!C61)),LEFT(고객법인일정파일!C61,FIND(" ",고객법인일정파일!C61)-1),고객법인일정파일!C61)))="한총","sec",IF(OR(NOT(ISBLANK(고객법인일정파일!B61)),ISBLANK(고객법인일정파일!C61),고객법인일정파일!C61="Total"),"",IF(ISNUMBER(FIND("-",고객법인일정파일!C61)),LEFT(고객법인일정파일!C61,FIND("-",고객법인일정파일!C61)-1),IF(ISNUMBER(FIND(" ",고객법인일정파일!C61)),LEFT(고객법인일정파일!C61,FIND(" ",고객법인일정파일!C61)-1),고객법인일정파일!C61))))</f>
        <v>XADADU</v>
      </c>
      <c r="P61" s="11" t="str">
        <f>IF(ISBLANK(태깅기획site_code!F61),"",IF(COUNTIF(고객법인일정파일!$C$4:$C$200,태깅기획site_code!D61&amp;"-"&amp;UPPER(IF(ISNUMBER(FIND("_",태깅기획site_code!F61)),LEFT(태깅기획site_code!F61,FIND("_",태깅기획site_code!F61)-1),태깅기획site_code!F61)))&gt;0,태깅기획site_code!D61&amp;"-"&amp;UPPER(IF(ISNUMBER(FIND("_",태깅기획site_code!F61)),LEFT(태깅기획site_code!F61,FIND("_",태깅기획site_code!F61)-1),태깅기획site_code!F61)),IF(COUNTIF(고객법인일정파일!$C$4:$C$200,태깅기획site_code!D61&amp;" ("&amp;PROPER(LEFT(태깅기획site_code!F61,FIND("_",태깅기획site_code!F61)-1))&amp;"_"&amp;UPPER(MID(태깅기획site_code!F61,FIND("_",태깅기획site_code!F61)+1,20))&amp;")")&gt;0,태깅기획site_code!D61&amp;" ("&amp;PROPER(LEFT(태깅기획site_code!F61,FIND("_",태깅기획site_code!F61)-1))&amp;"_"&amp;UPPER(MID(태깅기획site_code!F61,FIND("_",태깅기획site_code!F61)+1,20))&amp;")",IF(COUNTIF(고객법인일정파일!$C$4:$C$200,태깅기획site_code!D61)&gt;0,태깅기획site_code!D61,IF(ISNUMBER(FIND("_",태깅기획site_code!F61)),"",IFERROR(INDEX(고객법인일정파일!$C$4:$C$200,MATCH(태깅기획site_code!D61,$O$4:$O$200,0)),IF(ISNUMBER(FIND("-",태깅기획site_code!D61)),IFERROR(INDEX(고객법인일정파일!$C$4:$C$200,MATCH(LEFT(태깅기획site_code!D61,FIND("-",태깅기획site_code!D61)-1),고객법인일정파일!$C$4:$C$200,0)),""),IF(태깅기획site_code!D61="SCA",IF(RIGHT(태깅기획site_code!F61,3)="_fr",IFERROR(INDEX(고객법인일정파일!$C$4:$C$200,MATCH("SEWA (Africa_FR)",고객법인일정파일!$C$4:$C$200,0)),""),IF(RIGHT(태깅기획site_code!F61,3)="_en",IFERROR(INDEX(고객법인일정파일!$C$4:$C$200,MATCH("SEWA (Africa_EN)",고객법인일정파일!$C$4:$C$200,0)),""),"")),""))))))))</f>
        <v>XADCAD</v>
      </c>
      <c r="Q61" s="11" t="str">
        <f>IF(LEN(TRIM(P61))=0,"",IFERROR(INDEX(고객법인일정파일!$E$4:$E$192,MATCH(P61,고객법인일정파일!$C$4:$C$192,0)),""))</f>
        <v>O</v>
      </c>
      <c r="R61" s="12">
        <f>IF(OR(LEN(TRIM(P61))=0,Q61="X",Q61&lt;&gt;"O"),"",IFERROR(INDEX(고객법인일정파일!$F$4:$F$192,MATCH(P61,고객법인일정파일!$C$4:$C$192,0)),""))</f>
        <v>46054</v>
      </c>
      <c r="S61" s="12">
        <f>IF(OR(LEN(TRIM(P61))=0,Q61="X",Q61&lt;&gt;"O"),"",IFERROR(INDEX(고객법인일정파일!$H$4:$H$192,MATCH(P61,고객법인일정파일!$C$4:$C$192,0)),""))</f>
        <v>46064</v>
      </c>
      <c r="U61" s="11" t="str">
        <f>IF((고객법인일정파일!C61="Total"),"",IF(COUNTIF(MASTER!$D$5:$D$192,IF(고객법인일정파일!C61="한총","SEC",고객법인일정파일!C61))&gt;0,"","사용 안됨"))</f>
        <v>사용 안됨</v>
      </c>
    </row>
    <row r="62" spans="2:21">
      <c r="B62" s="144" t="s">
        <v>81</v>
      </c>
      <c r="C62" s="183" t="s">
        <v>312</v>
      </c>
      <c r="D62" s="183"/>
      <c r="E62" s="183"/>
      <c r="F62" s="142"/>
      <c r="G62" s="182" t="str">
        <f t="shared" si="3"/>
        <v>W0</v>
      </c>
      <c r="H62" s="142"/>
      <c r="I62" s="182" t="str">
        <f t="shared" si="3"/>
        <v>W0</v>
      </c>
      <c r="J62" s="150"/>
      <c r="O62" s="11" t="str">
        <f>IF(IF(OR(NOT(ISBLANK(고객법인일정파일!B62)),ISBLANK(고객법인일정파일!C62),고객법인일정파일!C62="Total"),"",IF(ISNUMBER(FIND("-",고객법인일정파일!C62)),LEFT(고객법인일정파일!C62,FIND("-",고객법인일정파일!C62)-1),IF(ISNUMBER(FIND(" ",고객법인일정파일!C62)),LEFT(고객법인일정파일!C62,FIND(" ",고객법인일정파일!C62)-1),고객법인일정파일!C62)))="한총","sec",IF(OR(NOT(ISBLANK(고객법인일정파일!B62)),ISBLANK(고객법인일정파일!C62),고객법인일정파일!C62="Total"),"",IF(ISNUMBER(FIND("-",고객법인일정파일!C62)),LEFT(고객법인일정파일!C62,FIND("-",고객법인일정파일!C62)-1),IF(ISNUMBER(FIND(" ",고객법인일정파일!C62)),LEFT(고객법인일정파일!C62,FIND(" ",고객법인일정파일!C62)-1),고객법인일정파일!C62))))</f>
        <v/>
      </c>
      <c r="P62" s="11" t="str">
        <f>IF(ISBLANK(태깅기획site_code!F62),"",IF(COUNTIF(고객법인일정파일!$C$4:$C$200,태깅기획site_code!D62&amp;"-"&amp;UPPER(IF(ISNUMBER(FIND("_",태깅기획site_code!F62)),LEFT(태깅기획site_code!F62,FIND("_",태깅기획site_code!F62)-1),태깅기획site_code!F62)))&gt;0,태깅기획site_code!D62&amp;"-"&amp;UPPER(IF(ISNUMBER(FIND("_",태깅기획site_code!F62)),LEFT(태깅기획site_code!F62,FIND("_",태깅기획site_code!F62)-1),태깅기획site_code!F62)),IF(COUNTIF(고객법인일정파일!$C$4:$C$200,태깅기획site_code!D62&amp;" ("&amp;PROPER(LEFT(태깅기획site_code!F62,FIND("_",태깅기획site_code!F62)-1))&amp;"_"&amp;UPPER(MID(태깅기획site_code!F62,FIND("_",태깅기획site_code!F62)+1,20))&amp;")")&gt;0,태깅기획site_code!D62&amp;" ("&amp;PROPER(LEFT(태깅기획site_code!F62,FIND("_",태깅기획site_code!F62)-1))&amp;"_"&amp;UPPER(MID(태깅기획site_code!F62,FIND("_",태깅기획site_code!F62)+1,20))&amp;")",IF(COUNTIF(고객법인일정파일!$C$4:$C$200,태깅기획site_code!D62)&gt;0,태깅기획site_code!D62,IF(ISNUMBER(FIND("_",태깅기획site_code!F62)),"",IFERROR(INDEX(고객법인일정파일!$C$4:$C$200,MATCH(태깅기획site_code!D62,$O$4:$O$200,0)),IF(ISNUMBER(FIND("-",태깅기획site_code!D62)),IFERROR(INDEX(고객법인일정파일!$C$4:$C$200,MATCH(LEFT(태깅기획site_code!D62,FIND("-",태깅기획site_code!D62)-1),고객법인일정파일!$C$4:$C$200,0)),""),IF(태깅기획site_code!D62="SCA",IF(RIGHT(태깅기획site_code!F62,3)="_fr",IFERROR(INDEX(고객법인일정파일!$C$4:$C$200,MATCH("SEWA (Africa_FR)",고객법인일정파일!$C$4:$C$200,0)),""),IF(RIGHT(태깅기획site_code!F62,3)="_en",IFERROR(INDEX(고객법인일정파일!$C$4:$C$200,MATCH("SEWA (Africa_EN)",고객법인일정파일!$C$4:$C$200,0)),""),"")),""))))))))</f>
        <v>XADM</v>
      </c>
      <c r="Q62" s="11" t="str">
        <f>IF(LEN(TRIM(P62))=0,"",IFERROR(INDEX(고객법인일정파일!$E$4:$E$192,MATCH(P62,고객법인일정파일!$C$4:$C$192,0)),""))</f>
        <v>O</v>
      </c>
      <c r="R62" s="12">
        <f>IF(OR(LEN(TRIM(P62))=0,Q62="X",Q62&lt;&gt;"O"),"",IFERROR(INDEX(고객법인일정파일!$F$4:$F$192,MATCH(P62,고객법인일정파일!$C$4:$C$192,0)),""))</f>
        <v>46042</v>
      </c>
      <c r="S62" s="12">
        <f>IF(OR(LEN(TRIM(P62))=0,Q62="X",Q62&lt;&gt;"O"),"",IFERROR(INDEX(고객법인일정파일!$H$4:$H$192,MATCH(P62,고객법인일정파일!$C$4:$C$192,0)),""))</f>
        <v>46063</v>
      </c>
      <c r="U62" s="11" t="str">
        <f>IF((고객법인일정파일!C62="Total"),"",IF(COUNTIF(MASTER!$D$5:$D$192,IF(고객법인일정파일!C62="한총","SEC",고객법인일정파일!C62))&gt;0,"","사용 안됨"))</f>
        <v>사용 안됨</v>
      </c>
    </row>
    <row r="63" spans="2:21">
      <c r="B63" s="145"/>
      <c r="C63" s="183" t="s">
        <v>364</v>
      </c>
      <c r="D63" s="182" t="s">
        <v>359</v>
      </c>
      <c r="E63" s="182" t="s">
        <v>20</v>
      </c>
      <c r="F63" s="142">
        <v>46054</v>
      </c>
      <c r="G63" s="182" t="str">
        <f>"W"&amp;WEEKNUM(F64)</f>
        <v>W6</v>
      </c>
      <c r="H63" s="143">
        <v>46063</v>
      </c>
      <c r="I63" s="182" t="str">
        <f>"W"&amp;WEEKNUM(H64)</f>
        <v>W7</v>
      </c>
      <c r="J63" s="151" t="str">
        <f>"Note1-test "&amp;C64</f>
        <v>Note1-test XADHK</v>
      </c>
      <c r="O63" s="11" t="str">
        <f>IF(IF(OR(NOT(ISBLANK(고객법인일정파일!B63)),ISBLANK(고객법인일정파일!C63),고객법인일정파일!C63="Total"),"",IF(ISNUMBER(FIND("-",고객법인일정파일!C63)),LEFT(고객법인일정파일!C63,FIND("-",고객법인일정파일!C63)-1),IF(ISNUMBER(FIND(" ",고객법인일정파일!C63)),LEFT(고객법인일정파일!C63,FIND(" ",고객법인일정파일!C63)-1),고객법인일정파일!C63)))="한총","sec",IF(OR(NOT(ISBLANK(고객법인일정파일!B63)),ISBLANK(고객법인일정파일!C63),고객법인일정파일!C63="Total"),"",IF(ISNUMBER(FIND("-",고객법인일정파일!C63)),LEFT(고객법인일정파일!C63,FIND("-",고객법인일정파일!C63)-1),IF(ISNUMBER(FIND(" ",고객법인일정파일!C63)),LEFT(고객법인일정파일!C63,FIND(" ",고객법인일정파일!C63)-1),고객법인일정파일!C63))))</f>
        <v>XCIC</v>
      </c>
      <c r="P63" s="11" t="str">
        <f>IF(ISBLANK(태깅기획site_code!F63),"",IF(COUNTIF(고객법인일정파일!$C$4:$C$200,태깅기획site_code!D63&amp;"-"&amp;UPPER(IF(ISNUMBER(FIND("_",태깅기획site_code!F63)),LEFT(태깅기획site_code!F63,FIND("_",태깅기획site_code!F63)-1),태깅기획site_code!F63)))&gt;0,태깅기획site_code!D63&amp;"-"&amp;UPPER(IF(ISNUMBER(FIND("_",태깅기획site_code!F63)),LEFT(태깅기획site_code!F63,FIND("_",태깅기획site_code!F63)-1),태깅기획site_code!F63)),IF(COUNTIF(고객법인일정파일!$C$4:$C$200,태깅기획site_code!D63&amp;" ("&amp;PROPER(LEFT(태깅기획site_code!F63,FIND("_",태깅기획site_code!F63)-1))&amp;"_"&amp;UPPER(MID(태깅기획site_code!F63,FIND("_",태깅기획site_code!F63)+1,20))&amp;")")&gt;0,태깅기획site_code!D63&amp;" ("&amp;PROPER(LEFT(태깅기획site_code!F63,FIND("_",태깅기획site_code!F63)-1))&amp;"_"&amp;UPPER(MID(태깅기획site_code!F63,FIND("_",태깅기획site_code!F63)+1,20))&amp;")",IF(COUNTIF(고객법인일정파일!$C$4:$C$200,태깅기획site_code!D63)&gt;0,태깅기획site_code!D63,IF(ISNUMBER(FIND("_",태깅기획site_code!F63)),"",IFERROR(INDEX(고객법인일정파일!$C$4:$C$200,MATCH(태깅기획site_code!D63,$O$4:$O$200,0)),IF(ISNUMBER(FIND("-",태깅기획site_code!D63)),IFERROR(INDEX(고객법인일정파일!$C$4:$C$200,MATCH(LEFT(태깅기획site_code!D63,FIND("-",태깅기획site_code!D63)-1),고객법인일정파일!$C$4:$C$200,0)),""),IF(태깅기획site_code!D63="SCA",IF(RIGHT(태깅기획site_code!F63,3)="_fr",IFERROR(INDEX(고객법인일정파일!$C$4:$C$200,MATCH("SEWA (Africa_FR)",고객법인일정파일!$C$4:$C$200,0)),""),IF(RIGHT(태깅기획site_code!F63,3)="_en",IFERROR(INDEX(고객법인일정파일!$C$4:$C$200,MATCH("SEWA (Africa_EN)",고객법인일정파일!$C$4:$C$200,0)),""),"")),""))))))))</f>
        <v>XMAD</v>
      </c>
      <c r="Q63" s="11" t="str">
        <f>IF(LEN(TRIM(P63))=0,"",IFERROR(INDEX(고객법인일정파일!$E$4:$E$192,MATCH(P63,고객법인일정파일!$C$4:$C$192,0)),""))</f>
        <v>X</v>
      </c>
      <c r="R63" s="12" t="str">
        <f>IF(OR(LEN(TRIM(P63))=0,Q63="X",Q63&lt;&gt;"O"),"",IFERROR(INDEX(고객법인일정파일!$F$4:$F$192,MATCH(P63,고객법인일정파일!$C$4:$C$192,0)),""))</f>
        <v/>
      </c>
      <c r="S63" s="12" t="str">
        <f>IF(OR(LEN(TRIM(P63))=0,Q63="X",Q63&lt;&gt;"O"),"",IFERROR(INDEX(고객법인일정파일!$H$4:$H$192,MATCH(P63,고객법인일정파일!$C$4:$C$192,0)),""))</f>
        <v/>
      </c>
      <c r="U63" s="11" t="str">
        <f>IF((고객법인일정파일!C63="Total"),"",IF(COUNTIF(MASTER!$D$5:$D$192,IF(고객법인일정파일!C63="한총","SEC",고객법인일정파일!C63))&gt;0,"","사용 안됨"))</f>
        <v/>
      </c>
    </row>
    <row r="64" spans="2:21">
      <c r="B64" s="145"/>
      <c r="C64" s="183" t="s">
        <v>365</v>
      </c>
      <c r="D64" s="182" t="s">
        <v>359</v>
      </c>
      <c r="E64" s="183" t="s">
        <v>20</v>
      </c>
      <c r="F64" s="142">
        <v>46054</v>
      </c>
      <c r="G64" s="182" t="str">
        <f t="shared" si="3"/>
        <v>W6</v>
      </c>
      <c r="H64" s="142">
        <v>46064</v>
      </c>
      <c r="I64" s="182" t="str">
        <f t="shared" si="3"/>
        <v>W7</v>
      </c>
      <c r="J64" s="150"/>
      <c r="O64" s="11" t="str">
        <f>IF(IF(OR(NOT(ISBLANK(고객법인일정파일!B64)),ISBLANK(고객법인일정파일!C64),고객법인일정파일!C64="Total"),"",IF(ISNUMBER(FIND("-",고객법인일정파일!C64)),LEFT(고객법인일정파일!C64,FIND("-",고객법인일정파일!C64)-1),IF(ISNUMBER(FIND(" ",고객법인일정파일!C64)),LEFT(고객법인일정파일!C64,FIND(" ",고객법인일정파일!C64)-1),고객법인일정파일!C64)))="한총","sec",IF(OR(NOT(ISBLANK(고객법인일정파일!B64)),ISBLANK(고객법인일정파일!C64),고객법인일정파일!C64="Total"),"",IF(ISNUMBER(FIND("-",고객법인일정파일!C64)),LEFT(고객법인일정파일!C64,FIND("-",고객법인일정파일!C64)-1),IF(ISNUMBER(FIND(" ",고객법인일정파일!C64)),LEFT(고객법인일정파일!C64,FIND(" ",고객법인일정파일!C64)-1),고객법인일정파일!C64))))</f>
        <v>XADHK</v>
      </c>
      <c r="P64" s="11" t="str">
        <f>IF(ISBLANK(태깅기획site_code!F64),"",IF(COUNTIF(고객법인일정파일!$C$4:$C$200,태깅기획site_code!D64&amp;"-"&amp;UPPER(IF(ISNUMBER(FIND("_",태깅기획site_code!F64)),LEFT(태깅기획site_code!F64,FIND("_",태깅기획site_code!F64)-1),태깅기획site_code!F64)))&gt;0,태깅기획site_code!D64&amp;"-"&amp;UPPER(IF(ISNUMBER(FIND("_",태깅기획site_code!F64)),LEFT(태깅기획site_code!F64,FIND("_",태깅기획site_code!F64)-1),태깅기획site_code!F64)),IF(COUNTIF(고객법인일정파일!$C$4:$C$200,태깅기획site_code!D64&amp;" ("&amp;PROPER(LEFT(태깅기획site_code!F64,FIND("_",태깅기획site_code!F64)-1))&amp;"_"&amp;UPPER(MID(태깅기획site_code!F64,FIND("_",태깅기획site_code!F64)+1,20))&amp;")")&gt;0,태깅기획site_code!D64&amp;" ("&amp;PROPER(LEFT(태깅기획site_code!F64,FIND("_",태깅기획site_code!F64)-1))&amp;"_"&amp;UPPER(MID(태깅기획site_code!F64,FIND("_",태깅기획site_code!F64)+1,20))&amp;")",IF(COUNTIF(고객법인일정파일!$C$4:$C$200,태깅기획site_code!D64)&gt;0,태깅기획site_code!D64,IF(ISNUMBER(FIND("_",태깅기획site_code!F64)),"",IFERROR(INDEX(고객법인일정파일!$C$4:$C$200,MATCH(태깅기획site_code!D64,$O$4:$O$200,0)),IF(ISNUMBER(FIND("-",태깅기획site_code!D64)),IFERROR(INDEX(고객법인일정파일!$C$4:$C$200,MATCH(LEFT(태깅기획site_code!D64,FIND("-",태깅기획site_code!D64)-1),고객법인일정파일!$C$4:$C$200,0)),""),IF(태깅기획site_code!D64="SCA",IF(RIGHT(태깅기획site_code!F64,3)="_fr",IFERROR(INDEX(고객법인일정파일!$C$4:$C$200,MATCH("SEWA (Africa_FR)",고객법인일정파일!$C$4:$C$200,0)),""),IF(RIGHT(태깅기획site_code!F64,3)="_en",IFERROR(INDEX(고객법인일정파일!$C$4:$C$200,MATCH("SEWA (Africa_EN)",고객법인일정파일!$C$4:$C$200,0)),""),"")),""))))))))</f>
        <v>XADMUG</v>
      </c>
      <c r="Q64" s="11" t="str">
        <f>IF(LEN(TRIM(P64))=0,"",IFERROR(INDEX(고객법인일정파일!$E$4:$E$192,MATCH(P64,고객법인일정파일!$C$4:$C$192,0)),""))</f>
        <v>O</v>
      </c>
      <c r="R64" s="12" t="str">
        <f>IF(OR(LEN(TRIM(P64))=0,Q64="X",Q64&lt;&gt;"O"),"",IFERROR(INDEX(고객법인일정파일!$F$4:$F$192,MATCH(P64,고객법인일정파일!$C$4:$C$192,0)),""))</f>
        <v>TBC</v>
      </c>
      <c r="S64" s="12" t="str">
        <f>IF(OR(LEN(TRIM(P64))=0,Q64="X",Q64&lt;&gt;"O"),"",IFERROR(INDEX(고객법인일정파일!$H$4:$H$192,MATCH(P64,고객법인일정파일!$C$4:$C$192,0)),""))</f>
        <v>TBC</v>
      </c>
      <c r="U64" s="11" t="str">
        <f>IF((고객법인일정파일!C64="Total"),"",IF(COUNTIF(MASTER!$D$5:$D$192,IF(고객법인일정파일!C64="한총","SEC",고객법인일정파일!C64))&gt;0,"","사용 안됨"))</f>
        <v/>
      </c>
    </row>
    <row r="65" spans="2:21">
      <c r="B65" s="145"/>
      <c r="C65" s="183" t="s">
        <v>366</v>
      </c>
      <c r="D65" s="182" t="s">
        <v>359</v>
      </c>
      <c r="E65" s="183" t="s">
        <v>20</v>
      </c>
      <c r="F65" s="142">
        <v>46054</v>
      </c>
      <c r="G65" s="182" t="str">
        <f t="shared" si="3"/>
        <v>W6</v>
      </c>
      <c r="H65" s="142">
        <v>46063</v>
      </c>
      <c r="I65" s="182" t="str">
        <f t="shared" si="3"/>
        <v>W7</v>
      </c>
      <c r="J65" s="150"/>
      <c r="O65" s="11" t="str">
        <f>IF(IF(OR(NOT(ISBLANK(고객법인일정파일!B65)),ISBLANK(고객법인일정파일!C65),고객법인일정파일!C65="Total"),"",IF(ISNUMBER(FIND("-",고객법인일정파일!C65)),LEFT(고객법인일정파일!C65,FIND("-",고객법인일정파일!C65)-1),IF(ISNUMBER(FIND(" ",고객법인일정파일!C65)),LEFT(고객법인일정파일!C65,FIND(" ",고객법인일정파일!C65)-1),고객법인일정파일!C65)))="한총","sec",IF(OR(NOT(ISBLANK(고객법인일정파일!B65)),ISBLANK(고객법인일정파일!C65),고객법인일정파일!C65="Total"),"",IF(ISNUMBER(FIND("-",고객법인일정파일!C65)),LEFT(고객법인일정파일!C65,FIND("-",고객법인일정파일!C65)-1),IF(ISNUMBER(FIND(" ",고객법인일정파일!C65)),LEFT(고객법인일정파일!C65,FIND(" ",고객법인일정파일!C65)-1),고객법인일정파일!C65))))</f>
        <v>XADT</v>
      </c>
      <c r="P65" s="11" t="str">
        <f>IF(ISBLANK(태깅기획site_code!F65),"",IF(COUNTIF(고객법인일정파일!$C$4:$C$200,태깅기획site_code!D65&amp;"-"&amp;UPPER(IF(ISNUMBER(FIND("_",태깅기획site_code!F65)),LEFT(태깅기획site_code!F65,FIND("_",태깅기획site_code!F65)-1),태깅기획site_code!F65)))&gt;0,태깅기획site_code!D65&amp;"-"&amp;UPPER(IF(ISNUMBER(FIND("_",태깅기획site_code!F65)),LEFT(태깅기획site_code!F65,FIND("_",태깅기획site_code!F65)-1),태깅기획site_code!F65)),IF(COUNTIF(고객법인일정파일!$C$4:$C$200,태깅기획site_code!D65&amp;" ("&amp;PROPER(LEFT(태깅기획site_code!F65,FIND("_",태깅기획site_code!F65)-1))&amp;"_"&amp;UPPER(MID(태깅기획site_code!F65,FIND("_",태깅기획site_code!F65)+1,20))&amp;")")&gt;0,태깅기획site_code!D65&amp;" ("&amp;PROPER(LEFT(태깅기획site_code!F65,FIND("_",태깅기획site_code!F65)-1))&amp;"_"&amp;UPPER(MID(태깅기획site_code!F65,FIND("_",태깅기획site_code!F65)+1,20))&amp;")",IF(COUNTIF(고객법인일정파일!$C$4:$C$200,태깅기획site_code!D65)&gt;0,태깅기획site_code!D65,IF(ISNUMBER(FIND("_",태깅기획site_code!F65)),"",IFERROR(INDEX(고객법인일정파일!$C$4:$C$200,MATCH(태깅기획site_code!D65,$O$4:$O$200,0)),IF(ISNUMBER(FIND("-",태깅기획site_code!D65)),IFERROR(INDEX(고객법인일정파일!$C$4:$C$200,MATCH(LEFT(태깅기획site_code!D65,FIND("-",태깅기획site_code!D65)-1),고객법인일정파일!$C$4:$C$200,0)),""),IF(태깅기획site_code!D65="SCA",IF(RIGHT(태깅기획site_code!F65,3)="_fr",IFERROR(INDEX(고객법인일정파일!$C$4:$C$200,MATCH("SEWA (Africa_FR)",고객법인일정파일!$C$4:$C$200,0)),""),IF(RIGHT(태깅기획site_code!F65,3)="_en",IFERROR(INDEX(고객법인일정파일!$C$4:$C$200,MATCH("SEWA (Africa_EN)",고객법인일정파일!$C$4:$C$200,0)),""),"")),""))))))))</f>
        <v>XADBN-NL</v>
      </c>
      <c r="Q65" s="11" t="str">
        <f>IF(LEN(TRIM(P65))=0,"",IFERROR(INDEX(고객법인일정파일!$E$4:$E$192,MATCH(P65,고객법인일정파일!$C$4:$C$192,0)),""))</f>
        <v>O</v>
      </c>
      <c r="R65" s="12">
        <f>IF(OR(LEN(TRIM(P65))=0,Q65="X",Q65&lt;&gt;"O"),"",IFERROR(INDEX(고객법인일정파일!$F$4:$F$192,MATCH(P65,고객법인일정파일!$C$4:$C$192,0)),""))</f>
        <v>46050</v>
      </c>
      <c r="S65" s="12">
        <f>IF(OR(LEN(TRIM(P65))=0,Q65="X",Q65&lt;&gt;"O"),"",IFERROR(INDEX(고객법인일정파일!$H$4:$H$192,MATCH(P65,고객법인일정파일!$C$4:$C$192,0)),""))</f>
        <v>46063</v>
      </c>
      <c r="U65" s="11" t="str">
        <f>IF((고객법인일정파일!C65="Total"),"",IF(COUNTIF(MASTER!$D$5:$D$192,IF(고객법인일정파일!C65="한총","SEC",고객법인일정파일!C65))&gt;0,"","사용 안됨"))</f>
        <v/>
      </c>
    </row>
    <row r="66" spans="2:21">
      <c r="B66" s="144" t="s">
        <v>82</v>
      </c>
      <c r="C66" s="183" t="s">
        <v>312</v>
      </c>
      <c r="D66" s="183"/>
      <c r="E66" s="183"/>
      <c r="F66" s="142"/>
      <c r="G66" s="182" t="str">
        <f t="shared" si="3"/>
        <v>W0</v>
      </c>
      <c r="H66" s="142"/>
      <c r="I66" s="182" t="str">
        <f t="shared" si="3"/>
        <v>W0</v>
      </c>
      <c r="J66" s="150"/>
      <c r="O66" s="11" t="str">
        <f>IF(IF(OR(NOT(ISBLANK(고객법인일정파일!B66)),ISBLANK(고객법인일정파일!C66),고객법인일정파일!C66="Total"),"",IF(ISNUMBER(FIND("-",고객법인일정파일!C66)),LEFT(고객법인일정파일!C66,FIND("-",고객법인일정파일!C66)-1),IF(ISNUMBER(FIND(" ",고객법인일정파일!C66)),LEFT(고객법인일정파일!C66,FIND(" ",고객법인일정파일!C66)-1),고객법인일정파일!C66)))="한총","sec",IF(OR(NOT(ISBLANK(고객법인일정파일!B66)),ISBLANK(고객법인일정파일!C66),고객법인일정파일!C66="Total"),"",IF(ISNUMBER(FIND("-",고객법인일정파일!C66)),LEFT(고객법인일정파일!C66,FIND("-",고객법인일정파일!C66)-1),IF(ISNUMBER(FIND(" ",고객법인일정파일!C66)),LEFT(고객법인일정파일!C66,FIND(" ",고객법인일정파일!C66)-1),고객법인일정파일!C66))))</f>
        <v/>
      </c>
      <c r="P66" s="11" t="str">
        <f>IF(ISBLANK(태깅기획site_code!F66),"",IF(COUNTIF(고객법인일정파일!$C$4:$C$200,태깅기획site_code!D66&amp;"-"&amp;UPPER(IF(ISNUMBER(FIND("_",태깅기획site_code!F66)),LEFT(태깅기획site_code!F66,FIND("_",태깅기획site_code!F66)-1),태깅기획site_code!F66)))&gt;0,태깅기획site_code!D66&amp;"-"&amp;UPPER(IF(ISNUMBER(FIND("_",태깅기획site_code!F66)),LEFT(태깅기획site_code!F66,FIND("_",태깅기획site_code!F66)-1),태깅기획site_code!F66)),IF(COUNTIF(고객법인일정파일!$C$4:$C$200,태깅기획site_code!D66&amp;" ("&amp;PROPER(LEFT(태깅기획site_code!F66,FIND("_",태깅기획site_code!F66)-1))&amp;"_"&amp;UPPER(MID(태깅기획site_code!F66,FIND("_",태깅기획site_code!F66)+1,20))&amp;")")&gt;0,태깅기획site_code!D66&amp;" ("&amp;PROPER(LEFT(태깅기획site_code!F66,FIND("_",태깅기획site_code!F66)-1))&amp;"_"&amp;UPPER(MID(태깅기획site_code!F66,FIND("_",태깅기획site_code!F66)+1,20))&amp;")",IF(COUNTIF(고객법인일정파일!$C$4:$C$200,태깅기획site_code!D66)&gt;0,태깅기획site_code!D66,IF(ISNUMBER(FIND("_",태깅기획site_code!F66)),"",IFERROR(INDEX(고객법인일정파일!$C$4:$C$200,MATCH(태깅기획site_code!D66,$O$4:$O$200,0)),IF(ISNUMBER(FIND("-",태깅기획site_code!D66)),IFERROR(INDEX(고객법인일정파일!$C$4:$C$200,MATCH(LEFT(태깅기획site_code!D66,FIND("-",태깅기획site_code!D66)-1),고객법인일정파일!$C$4:$C$200,0)),""),IF(태깅기획site_code!D66="SCA",IF(RIGHT(태깅기획site_code!F66,3)="_fr",IFERROR(INDEX(고객법인일정파일!$C$4:$C$200,MATCH("SEWA (Africa_FR)",고객법인일정파일!$C$4:$C$200,0)),""),IF(RIGHT(태깅기획site_code!F66,3)="_en",IFERROR(INDEX(고객법인일정파일!$C$4:$C$200,MATCH("SEWA (Africa_EN)",고객법인일정파일!$C$4:$C$200,0)),""),"")),""))))))))</f>
        <v>XADNU</v>
      </c>
      <c r="Q66" s="11" t="str">
        <f>IF(LEN(TRIM(P66))=0,"",IFERROR(INDEX(고객법인일정파일!$E$4:$E$192,MATCH(P66,고객법인일정파일!$C$4:$C$192,0)),""))</f>
        <v>X</v>
      </c>
      <c r="R66" s="12" t="str">
        <f>IF(OR(LEN(TRIM(P66))=0,Q66="X",Q66&lt;&gt;"O"),"",IFERROR(INDEX(고객법인일정파일!$F$4:$F$192,MATCH(P66,고객법인일정파일!$C$4:$C$192,0)),""))</f>
        <v/>
      </c>
      <c r="S66" s="12" t="str">
        <f>IF(OR(LEN(TRIM(P66))=0,Q66="X",Q66&lt;&gt;"O"),"",IFERROR(INDEX(고객법인일정파일!$H$4:$H$192,MATCH(P66,고객법인일정파일!$C$4:$C$192,0)),""))</f>
        <v/>
      </c>
      <c r="U66" s="11" t="str">
        <f>IF((고객법인일정파일!C66="Total"),"",IF(COUNTIF(MASTER!$D$5:$D$192,IF(고객법인일정파일!C66="한총","SEC",고객법인일정파일!C66))&gt;0,"","사용 안됨"))</f>
        <v>사용 안됨</v>
      </c>
    </row>
    <row r="67" spans="2:21">
      <c r="B67" s="145"/>
      <c r="C67" s="183" t="s">
        <v>367</v>
      </c>
      <c r="D67" s="182" t="s">
        <v>359</v>
      </c>
      <c r="E67" s="182" t="s">
        <v>73</v>
      </c>
      <c r="F67" s="142"/>
      <c r="G67" s="182" t="str">
        <f>"W"&amp;WEEKNUM(F66)</f>
        <v>W0</v>
      </c>
      <c r="H67" s="142"/>
      <c r="I67" s="182" t="str">
        <f>"W"&amp;WEEKNUM(H66)</f>
        <v>W0</v>
      </c>
      <c r="J67" s="151" t="str">
        <f>"Note1-test "&amp;C66</f>
        <v>Note1-test TotUl</v>
      </c>
      <c r="O67" s="11" t="str">
        <f>IF(IF(OR(NOT(ISBLANK(고객법인일정파일!B67)),ISBLANK(고객법인일정파일!C67),고객법인일정파일!C67="Total"),"",IF(ISNUMBER(FIND("-",고객법인일정파일!C67)),LEFT(고객법인일정파일!C67,FIND("-",고객법인일정파일!C67)-1),IF(ISNUMBER(FIND(" ",고객법인일정파일!C67)),LEFT(고객법인일정파일!C67,FIND(" ",고객법인일정파일!C67)-1),고객법인일정파일!C67)))="한총","sec",IF(OR(NOT(ISBLANK(고객법인일정파일!B67)),ISBLANK(고객법인일정파일!C67),고객법인일정파일!C67="Total"),"",IF(ISNUMBER(FIND("-",고객법인일정파일!C67)),LEFT(고객법인일정파일!C67,FIND("-",고객법인일정파일!C67)-1),IF(ISNUMBER(FIND(" ",고객법인일정파일!C67)),LEFT(고객법인일정파일!C67,FIND(" ",고객법인일정파일!C67)-1),고객법인일정파일!C67))))</f>
        <v>XADJ</v>
      </c>
      <c r="P67" s="11" t="str">
        <f>IF(ISBLANK(태깅기획site_code!F67),"",IF(COUNTIF(고객법인일정파일!$C$4:$C$200,태깅기획site_code!D67&amp;"-"&amp;UPPER(IF(ISNUMBER(FIND("_",태깅기획site_code!F67)),LEFT(태깅기획site_code!F67,FIND("_",태깅기획site_code!F67)-1),태깅기획site_code!F67)))&gt;0,태깅기획site_code!D67&amp;"-"&amp;UPPER(IF(ISNUMBER(FIND("_",태깅기획site_code!F67)),LEFT(태깅기획site_code!F67,FIND("_",태깅기획site_code!F67)-1),태깅기획site_code!F67)),IF(COUNTIF(고객법인일정파일!$C$4:$C$200,태깅기획site_code!D67&amp;" ("&amp;PROPER(LEFT(태깅기획site_code!F67,FIND("_",태깅기획site_code!F67)-1))&amp;"_"&amp;UPPER(MID(태깅기획site_code!F67,FIND("_",태깅기획site_code!F67)+1,20))&amp;")")&gt;0,태깅기획site_code!D67&amp;" ("&amp;PROPER(LEFT(태깅기획site_code!F67,FIND("_",태깅기획site_code!F67)-1))&amp;"_"&amp;UPPER(MID(태깅기획site_code!F67,FIND("_",태깅기획site_code!F67)+1,20))&amp;")",IF(COUNTIF(고객법인일정파일!$C$4:$C$200,태깅기획site_code!D67)&gt;0,태깅기획site_code!D67,IF(ISNUMBER(FIND("_",태깅기획site_code!F67)),"",IFERROR(INDEX(고객법인일정파일!$C$4:$C$200,MATCH(태깅기획site_code!D67,$O$4:$O$200,0)),IF(ISNUMBER(FIND("-",태깅기획site_code!D67)),IFERROR(INDEX(고객법인일정파일!$C$4:$C$200,MATCH(LEFT(태깅기획site_code!D67,FIND("-",태깅기획site_code!D67)-1),고객법인일정파일!$C$4:$C$200,0)),""),IF(태깅기획site_code!D67="SCA",IF(RIGHT(태깅기획site_code!F67,3)="_fr",IFERROR(INDEX(고객법인일정파일!$C$4:$C$200,MATCH("SEWA (Africa_FR)",고객법인일정파일!$C$4:$C$200,0)),""),IF(RIGHT(태깅기획site_code!F67,3)="_en",IFERROR(INDEX(고객법인일정파일!$C$4:$C$200,MATCH("SEWA (Africa_EN)",고객법인일정파일!$C$4:$C$200,0)),""),"")),""))))))))</f>
        <v>XADNZ</v>
      </c>
      <c r="Q67" s="11" t="str">
        <f>IF(LEN(TRIM(P67))=0,"",IFERROR(INDEX(고객법인일정파일!$E$4:$E$192,MATCH(P67,고객법인일정파일!$C$4:$C$192,0)),""))</f>
        <v>O</v>
      </c>
      <c r="R67" s="12">
        <f>IF(OR(LEN(TRIM(P67))=0,Q67="X",Q67&lt;&gt;"O"),"",IFERROR(INDEX(고객법인일정파일!$F$4:$F$192,MATCH(P67,고객법인일정파일!$C$4:$C$192,0)),""))</f>
        <v>46036</v>
      </c>
      <c r="S67" s="12">
        <f>IF(OR(LEN(TRIM(P67))=0,Q67="X",Q67&lt;&gt;"O"),"",IFERROR(INDEX(고객법인일정파일!$H$4:$H$192,MATCH(P67,고객법인일정파일!$C$4:$C$192,0)),""))</f>
        <v>46064</v>
      </c>
      <c r="U67" s="11" t="str">
        <f>IF((고객법인일정파일!C67="Total"),"",IF(COUNTIF(MASTER!$D$5:$D$192,IF(고객법인일정파일!C67="한총","SEC",고객법인일정파일!C67))&gt;0,"","사용 안됨"))</f>
        <v/>
      </c>
    </row>
    <row r="68" spans="2:21">
      <c r="B68" s="144" t="s">
        <v>83</v>
      </c>
      <c r="C68" s="183" t="s">
        <v>312</v>
      </c>
      <c r="D68" s="183"/>
      <c r="E68" s="183"/>
      <c r="F68" s="142"/>
      <c r="G68" s="182" t="str">
        <f t="shared" si="3"/>
        <v>W0</v>
      </c>
      <c r="H68" s="142"/>
      <c r="I68" s="182" t="str">
        <f t="shared" si="3"/>
        <v>W0</v>
      </c>
      <c r="J68" s="150"/>
      <c r="O68" s="11" t="str">
        <f>IF(IF(OR(NOT(ISBLANK(고객법인일정파일!B68)),ISBLANK(고객법인일정파일!C68),고객법인일정파일!C68="Total"),"",IF(ISNUMBER(FIND("-",고객법인일정파일!C68)),LEFT(고객법인일정파일!C68,FIND("-",고객법인일정파일!C68)-1),IF(ISNUMBER(FIND(" ",고객법인일정파일!C68)),LEFT(고객법인일정파일!C68,FIND(" ",고객법인일정파일!C68)-1),고객법인일정파일!C68)))="한총","sec",IF(OR(NOT(ISBLANK(고객법인일정파일!B68)),ISBLANK(고객법인일정파일!C68),고객법인일정파일!C68="Total"),"",IF(ISNUMBER(FIND("-",고객법인일정파일!C68)),LEFT(고객법인일정파일!C68,FIND("-",고객법인일정파일!C68)-1),IF(ISNUMBER(FIND(" ",고객법인일정파일!C68)),LEFT(고객법인일정파일!C68,FIND(" ",고객법인일정파일!C68)-1),고객법인일정파일!C68))))</f>
        <v/>
      </c>
      <c r="P68" s="11" t="str">
        <f>IF(ISBLANK(태깅기획site_code!F68),"",IF(COUNTIF(고객법인일정파일!$C$4:$C$200,태깅기획site_code!D68&amp;"-"&amp;UPPER(IF(ISNUMBER(FIND("_",태깅기획site_code!F68)),LEFT(태깅기획site_code!F68,FIND("_",태깅기획site_code!F68)-1),태깅기획site_code!F68)))&gt;0,태깅기획site_code!D68&amp;"-"&amp;UPPER(IF(ISNUMBER(FIND("_",태깅기획site_code!F68)),LEFT(태깅기획site_code!F68,FIND("_",태깅기획site_code!F68)-1),태깅기획site_code!F68)),IF(COUNTIF(고객법인일정파일!$C$4:$C$200,태깅기획site_code!D68&amp;" ("&amp;PROPER(LEFT(태깅기획site_code!F68,FIND("_",태깅기획site_code!F68)-1))&amp;"_"&amp;UPPER(MID(태깅기획site_code!F68,FIND("_",태깅기획site_code!F68)+1,20))&amp;")")&gt;0,태깅기획site_code!D68&amp;" ("&amp;PROPER(LEFT(태깅기획site_code!F68,FIND("_",태깅기획site_code!F68)-1))&amp;"_"&amp;UPPER(MID(태깅기획site_code!F68,FIND("_",태깅기획site_code!F68)+1,20))&amp;")",IF(COUNTIF(고객법인일정파일!$C$4:$C$200,태깅기획site_code!D68)&gt;0,태깅기획site_code!D68,IF(ISNUMBER(FIND("_",태깅기획site_code!F68)),"",IFERROR(INDEX(고객법인일정파일!$C$4:$C$200,MATCH(태깅기획site_code!D68,$O$4:$O$200,0)),IF(ISNUMBER(FIND("-",태깅기획site_code!D68)),IFERROR(INDEX(고객법인일정파일!$C$4:$C$200,MATCH(LEFT(태깅기획site_code!D68,FIND("-",태깅기획site_code!D68)-1),고객법인일정파일!$C$4:$C$200,0)),""),IF(태깅기획site_code!D68="SCA",IF(RIGHT(태깅기획site_code!F68,3)="_fr",IFERROR(INDEX(고객법인일정파일!$C$4:$C$200,MATCH("SEWA (Africa_FR)",고객법인일정파일!$C$4:$C$200,0)),""),IF(RIGHT(태깅기획site_code!F68,3)="_en",IFERROR(INDEX(고객법인일정파일!$C$4:$C$200,MATCH("SEWA (Africa_EN)",고객법인일정파일!$C$4:$C$200,0)),""),"")),""))))))))</f>
        <v>XADPR</v>
      </c>
      <c r="Q68" s="11" t="str">
        <f>IF(LEN(TRIM(P68))=0,"",IFERROR(INDEX(고객법인일정파일!$E$4:$E$192,MATCH(P68,고객법인일정파일!$C$4:$C$192,0)),""))</f>
        <v>O</v>
      </c>
      <c r="R68" s="12">
        <f>IF(OR(LEN(TRIM(P68))=0,Q68="X",Q68&lt;&gt;"O"),"",IFERROR(INDEX(고객법인일정파일!$F$4:$F$192,MATCH(P68,고객법인일정파일!$C$4:$C$192,0)),""))</f>
        <v>46048</v>
      </c>
      <c r="S68" s="12">
        <f>IF(OR(LEN(TRIM(P68))=0,Q68="X",Q68&lt;&gt;"O"),"",IFERROR(INDEX(고객법인일정파일!$H$4:$H$192,MATCH(P68,고객법인일정파일!$C$4:$C$192,0)),""))</f>
        <v>46063</v>
      </c>
      <c r="U68" s="11" t="str">
        <f>IF((고객법인일정파일!C68="Total"),"",IF(COUNTIF(MASTER!$D$5:$D$192,IF(고객법인일정파일!C68="한총","SEC",고객법인일정파일!C68))&gt;0,"","사용 안됨"))</f>
        <v>사용 안됨</v>
      </c>
    </row>
    <row r="69" spans="2:21">
      <c r="B69" s="145"/>
      <c r="C69" s="183" t="s">
        <v>84</v>
      </c>
      <c r="D69" s="182" t="s">
        <v>359</v>
      </c>
      <c r="E69" s="182" t="s">
        <v>73</v>
      </c>
      <c r="F69" s="142"/>
      <c r="G69" s="182" t="str">
        <f t="shared" si="3"/>
        <v>W0</v>
      </c>
      <c r="H69" s="142"/>
      <c r="I69" s="182" t="str">
        <f t="shared" si="3"/>
        <v>W0</v>
      </c>
      <c r="J69" s="150"/>
      <c r="O69" s="11" t="str">
        <f>IF(IF(OR(NOT(ISBLANK(고객법인일정파일!B69)),ISBLANK(고객법인일정파일!C69),고객법인일정파일!C69="Total"),"",IF(ISNUMBER(FIND("-",고객법인일정파일!C69)),LEFT(고객법인일정파일!C69,FIND("-",고객법인일정파일!C69)-1),IF(ISNUMBER(FIND(" ",고객법인일정파일!C69)),LEFT(고객법인일정파일!C69,FIND(" ",고객법인일정파일!C69)-1),고객법인일정파일!C69)))="한총","sec",IF(OR(NOT(ISBLANK(고객법인일정파일!B69)),ISBLANK(고객법인일정파일!C69),고객법인일정파일!C69="Total"),"",IF(ISNUMBER(FIND("-",고객법인일정파일!C69)),LEFT(고객법인일정파일!C69,FIND("-",고객법인일정파일!C69)-1),IF(ISNUMBER(FIND(" ",고객법인일정파일!C69)),LEFT(고객법인일정파일!C69,FIND(" ",고객법인일정파일!C69)-1),고객법인일정파일!C69))))</f>
        <v>sec</v>
      </c>
      <c r="P69" s="11" t="str">
        <f>IF(ISBLANK(태깅기획site_code!F69),"",IF(COUNTIF(고객법인일정파일!$C$4:$C$200,태깅기획site_code!D69&amp;"-"&amp;UPPER(IF(ISNUMBER(FIND("_",태깅기획site_code!F69)),LEFT(태깅기획site_code!F69,FIND("_",태깅기획site_code!F69)-1),태깅기획site_code!F69)))&gt;0,태깅기획site_code!D69&amp;"-"&amp;UPPER(IF(ISNUMBER(FIND("_",태깅기획site_code!F69)),LEFT(태깅기획site_code!F69,FIND("_",태깅기획site_code!F69)-1),태깅기획site_code!F69)),IF(COUNTIF(고객법인일정파일!$C$4:$C$200,태깅기획site_code!D69&amp;" ("&amp;PROPER(LEFT(태깅기획site_code!F69,FIND("_",태깅기획site_code!F69)-1))&amp;"_"&amp;UPPER(MID(태깅기획site_code!F69,FIND("_",태깅기획site_code!F69)+1,20))&amp;")")&gt;0,태깅기획site_code!D69&amp;" ("&amp;PROPER(LEFT(태깅기획site_code!F69,FIND("_",태깅기획site_code!F69)-1))&amp;"_"&amp;UPPER(MID(태깅기획site_code!F69,FIND("_",태깅기획site_code!F69)+1,20))&amp;")",IF(COUNTIF(고객법인일정파일!$C$4:$C$200,태깅기획site_code!D69)&gt;0,태깅기획site_code!D69,IF(ISNUMBER(FIND("_",태깅기획site_code!F69)),"",IFERROR(INDEX(고객법인일정파일!$C$4:$C$200,MATCH(태깅기획site_code!D69,$O$4:$O$200,0)),IF(ISNUMBER(FIND("-",태깅기획site_code!D69)),IFERROR(INDEX(고객법인일정파일!$C$4:$C$200,MATCH(LEFT(태깅기획site_code!D69,FIND("-",태깅기획site_code!D69)-1),고객법인일정파일!$C$4:$C$200,0)),""),IF(태깅기획site_code!D69="SCA",IF(RIGHT(태깅기획site_code!F69,3)="_fr",IFERROR(INDEX(고객법인일정파일!$C$4:$C$200,MATCH("SEWA (Africa_FR)",고객법인일정파일!$C$4:$C$200,0)),""),IF(RIGHT(태깅기획site_code!F69,3)="_en",IFERROR(INDEX(고객법인일정파일!$C$4:$C$200,MATCH("SEWA (Africa_EN)",고객법인일정파일!$C$4:$C$200,0)),""),"")),""))))))))</f>
        <v>XADPCO</v>
      </c>
      <c r="Q69" s="11" t="str">
        <f>IF(LEN(TRIM(P69))=0,"",IFERROR(INDEX(고객법인일정파일!$E$4:$E$192,MATCH(P69,고객법인일정파일!$C$4:$C$192,0)),""))</f>
        <v>O</v>
      </c>
      <c r="R69" s="12">
        <f>IF(OR(LEN(TRIM(P69))=0,Q69="X",Q69&lt;&gt;"O"),"",IFERROR(INDEX(고객법인일정파일!$F$4:$F$192,MATCH(P69,고객법인일정파일!$C$4:$C$192,0)),""))</f>
        <v>46038</v>
      </c>
      <c r="S69" s="12">
        <f>IF(OR(LEN(TRIM(P69))=0,Q69="X",Q69&lt;&gt;"O"),"",IFERROR(INDEX(고객법인일정파일!$H$4:$H$192,MATCH(P69,고객법인일정파일!$C$4:$C$192,0)),""))</f>
        <v>46064</v>
      </c>
      <c r="U69" s="11" t="str">
        <f>IF((고객법인일정파일!C69="Total"),"",IF(COUNTIF(MASTER!$D$5:$D$192,IF(고객법인일정파일!C69="한총","SEC",고객법인일정파일!C69))&gt;0,"","사용 안됨"))</f>
        <v>사용 안됨</v>
      </c>
    </row>
    <row r="70" spans="2:21">
      <c r="B70" s="146" t="s">
        <v>70</v>
      </c>
      <c r="C70" s="184"/>
      <c r="D70" s="184"/>
      <c r="E70" s="184"/>
      <c r="F70" s="147"/>
      <c r="G70" s="184"/>
      <c r="H70" s="147"/>
      <c r="I70" s="184"/>
      <c r="J70" s="152"/>
      <c r="O70" s="11" t="str">
        <f>IF(IF(OR(NOT(ISBLANK(고객법인일정파일!B70)),ISBLANK(고객법인일정파일!C70),고객법인일정파일!C70="Total"),"",IF(ISNUMBER(FIND("-",고객법인일정파일!C70)),LEFT(고객법인일정파일!C70,FIND("-",고객법인일정파일!C70)-1),IF(ISNUMBER(FIND(" ",고객법인일정파일!C70)),LEFT(고객법인일정파일!C70,FIND(" ",고객법인일정파일!C70)-1),고객법인일정파일!C70)))="한총","sec",IF(OR(NOT(ISBLANK(고객법인일정파일!B70)),ISBLANK(고객법인일정파일!C70),고객법인일정파일!C70="Total"),"",IF(ISNUMBER(FIND("-",고객법인일정파일!C70)),LEFT(고객법인일정파일!C70,FIND("-",고객법인일정파일!C70)-1),IF(ISNUMBER(FIND(" ",고객법인일정파일!C70)),LEFT(고객법인일정파일!C70,FIND(" ",고객법인일정파일!C70)-1),고객법인일정파일!C70))))</f>
        <v/>
      </c>
      <c r="P70" s="11" t="str">
        <f>IF(ISBLANK(태깅기획site_code!F70),"",IF(COUNTIF(고객법인일정파일!$C$4:$C$200,태깅기획site_code!D70&amp;"-"&amp;UPPER(IF(ISNUMBER(FIND("_",태깅기획site_code!F70)),LEFT(태깅기획site_code!F70,FIND("_",태깅기획site_code!F70)-1),태깅기획site_code!F70)))&gt;0,태깅기획site_code!D70&amp;"-"&amp;UPPER(IF(ISNUMBER(FIND("_",태깅기획site_code!F70)),LEFT(태깅기획site_code!F70,FIND("_",태깅기획site_code!F70)-1),태깅기획site_code!F70)),IF(COUNTIF(고객법인일정파일!$C$4:$C$200,태깅기획site_code!D70&amp;" ("&amp;PROPER(LEFT(태깅기획site_code!F70,FIND("_",태깅기획site_code!F70)-1))&amp;"_"&amp;UPPER(MID(태깅기획site_code!F70,FIND("_",태깅기획site_code!F70)+1,20))&amp;")")&gt;0,태깅기획site_code!D70&amp;" ("&amp;PROPER(LEFT(태깅기획site_code!F70,FIND("_",태깅기획site_code!F70)-1))&amp;"_"&amp;UPPER(MID(태깅기획site_code!F70,FIND("_",태깅기획site_code!F70)+1,20))&amp;")",IF(COUNTIF(고객법인일정파일!$C$4:$C$200,태깅기획site_code!D70)&gt;0,태깅기획site_code!D70,IF(ISNUMBER(FIND("_",태깅기획site_code!F70)),"",IFERROR(INDEX(고객법인일정파일!$C$4:$C$200,MATCH(태깅기획site_code!D70,$O$4:$O$200,0)),IF(ISNUMBER(FIND("-",태깅기획site_code!D70)),IFERROR(INDEX(고객법인일정파일!$C$4:$C$200,MATCH(LEFT(태깅기획site_code!D70,FIND("-",태깅기획site_code!D70)-1),고객법인일정파일!$C$4:$C$200,0)),""),IF(태깅기획site_code!D70="SCA",IF(RIGHT(태깅기획site_code!F70,3)="_fr",IFERROR(INDEX(고객법인일정파일!$C$4:$C$200,MATCH("SEWA (Africa_FR)",고객법인일정파일!$C$4:$C$200,0)),""),IF(RIGHT(태깅기획site_code!F70,3)="_en",IFERROR(INDEX(고객법인일정파일!$C$4:$C$200,MATCH("SEWA (Africa_EN)",고객법인일정파일!$C$4:$C$200,0)),""),"")),""))))))))</f>
        <v>XADPUK</v>
      </c>
      <c r="Q70" s="11" t="str">
        <f>IF(LEN(TRIM(P70))=0,"",IFERROR(INDEX(고객법인일정파일!$E$4:$E$192,MATCH(P70,고객법인일정파일!$C$4:$C$192,0)),""))</f>
        <v>O</v>
      </c>
      <c r="R70" s="12">
        <f>IF(OR(LEN(TRIM(P70))=0,Q70="X",Q70&lt;&gt;"O"),"",IFERROR(INDEX(고객법인일정파일!$F$4:$F$192,MATCH(P70,고객법인일정파일!$C$4:$C$192,0)),""))</f>
        <v>46064</v>
      </c>
      <c r="S70" s="12" t="str">
        <f>IF(OR(LEN(TRIM(P70))=0,Q70="X",Q70&lt;&gt;"O"),"",IFERROR(INDEX(고객법인일정파일!$H$4:$H$192,MATCH(P70,고객법인일정파일!$C$4:$C$192,0)),""))</f>
        <v>TBC</v>
      </c>
      <c r="U70" s="11" t="str">
        <f>IF((고객법인일정파일!C70="Total"),"",IF(COUNTIF(MASTER!$D$5:$D$192,IF(고객법인일정파일!C70="한총","SEC",고객법인일정파일!C70))&gt;0,"","사용 안됨"))</f>
        <v>사용 안됨</v>
      </c>
    </row>
    <row r="71" spans="2:21">
      <c r="B71" s="29"/>
      <c r="C71" s="185"/>
      <c r="D71" s="185"/>
      <c r="E71" s="185"/>
      <c r="F71" s="30"/>
      <c r="G71" s="185"/>
      <c r="H71" s="30"/>
      <c r="I71" s="185"/>
      <c r="J71" s="153"/>
      <c r="O71" s="11" t="str">
        <f>IF(IF(OR(NOT(ISBLANK(고객법인일정파일!B71)),ISBLANK(고객법인일정파일!C71),고객법인일정파일!C71="Total"),"",IF(ISNUMBER(FIND("-",고객법인일정파일!C71)),LEFT(고객법인일정파일!C71,FIND("-",고객법인일정파일!C71)-1),IF(ISNUMBER(FIND(" ",고객법인일정파일!C71)),LEFT(고객법인일정파일!C71,FIND(" ",고객법인일정파일!C71)-1),고객법인일정파일!C71)))="한총","sec",IF(OR(NOT(ISBLANK(고객법인일정파일!B71)),ISBLANK(고객법인일정파일!C71),고객법인일정파일!C71="Total"),"",IF(ISNUMBER(FIND("-",고객법인일정파일!C71)),LEFT(고객법인일정파일!C71,FIND("-",고객법인일정파일!C71)-1),IF(ISNUMBER(FIND(" ",고객법인일정파일!C71)),LEFT(고객법인일정파일!C71,FIND(" ",고객법인일정파일!C71)-1),고객법인일정파일!C71))))</f>
        <v/>
      </c>
      <c r="P71" s="11" t="str">
        <f>IF(ISBLANK(태깅기획site_code!F71),"",IF(COUNTIF(고객법인일정파일!$C$4:$C$200,태깅기획site_code!D71&amp;"-"&amp;UPPER(IF(ISNUMBER(FIND("_",태깅기획site_code!F71)),LEFT(태깅기획site_code!F71,FIND("_",태깅기획site_code!F71)-1),태깅기획site_code!F71)))&gt;0,태깅기획site_code!D71&amp;"-"&amp;UPPER(IF(ISNUMBER(FIND("_",태깅기획site_code!F71)),LEFT(태깅기획site_code!F71,FIND("_",태깅기획site_code!F71)-1),태깅기획site_code!F71)),IF(COUNTIF(고객법인일정파일!$C$4:$C$200,태깅기획site_code!D71&amp;" ("&amp;PROPER(LEFT(태깅기획site_code!F71,FIND("_",태깅기획site_code!F71)-1))&amp;"_"&amp;UPPER(MID(태깅기획site_code!F71,FIND("_",태깅기획site_code!F71)+1,20))&amp;")")&gt;0,태깅기획site_code!D71&amp;" ("&amp;PROPER(LEFT(태깅기획site_code!F71,FIND("_",태깅기획site_code!F71)-1))&amp;"_"&amp;UPPER(MID(태깅기획site_code!F71,FIND("_",태깅기획site_code!F71)+1,20))&amp;")",IF(COUNTIF(고객법인일정파일!$C$4:$C$200,태깅기획site_code!D71)&gt;0,태깅기획site_code!D71,IF(ISNUMBER(FIND("_",태깅기획site_code!F71)),"",IFERROR(INDEX(고객법인일정파일!$C$4:$C$200,MATCH(태깅기획site_code!D71,$O$4:$O$200,0)),IF(ISNUMBER(FIND("-",태깅기획site_code!D71)),IFERROR(INDEX(고객법인일정파일!$C$4:$C$200,MATCH(LEFT(태깅기획site_code!D71,FIND("-",태깅기획site_code!D71)-1),고객법인일정파일!$C$4:$C$200,0)),""),IF(태깅기획site_code!D71="SCA",IF(RIGHT(태깅기획site_code!F71,3)="_fr",IFERROR(INDEX(고객법인일정파일!$C$4:$C$200,MATCH("SEWA (Africa_FR)",고객법인일정파일!$C$4:$C$200,0)),""),IF(RIGHT(태깅기획site_code!F71,3)="_en",IFERROR(INDEX(고객법인일정파일!$C$4:$C$200,MATCH("SEWA (Africa_EN)",고객법인일정파일!$C$4:$C$200,0)),""),"")),""))))))))</f>
        <v>XADPOL</v>
      </c>
      <c r="Q71" s="11">
        <f>IF(LEN(TRIM(P71))=0,"",IFERROR(INDEX(고객법인일정파일!$E$4:$E$192,MATCH(P71,고객법인일정파일!$C$4:$C$192,0)),""))</f>
        <v>0</v>
      </c>
      <c r="R71" s="12" t="str">
        <f>IF(OR(LEN(TRIM(P71))=0,Q71="X",Q71&lt;&gt;"O"),"",IFERROR(INDEX(고객법인일정파일!$F$4:$F$192,MATCH(P71,고객법인일정파일!$C$4:$C$192,0)),""))</f>
        <v/>
      </c>
      <c r="S71" s="12" t="str">
        <f>IF(OR(LEN(TRIM(P71))=0,Q71="X",Q71&lt;&gt;"O"),"",IFERROR(INDEX(고객법인일정파일!$H$4:$H$192,MATCH(P71,고객법인일정파일!$C$4:$C$192,0)),""))</f>
        <v/>
      </c>
    </row>
    <row r="72" spans="2:21">
      <c r="B72" s="29"/>
      <c r="C72" s="185"/>
      <c r="D72" s="185"/>
      <c r="E72" s="185"/>
      <c r="F72" s="30"/>
      <c r="G72" s="185"/>
      <c r="H72" s="30"/>
      <c r="I72" s="185"/>
      <c r="J72" s="153"/>
      <c r="O72" s="11" t="str">
        <f>IF(IF(OR(NOT(ISBLANK(고객법인일정파일!B72)),ISBLANK(고객법인일정파일!C72),고객법인일정파일!C72="Total"),"",IF(ISNUMBER(FIND("-",고객법인일정파일!C72)),LEFT(고객법인일정파일!C72,FIND("-",고객법인일정파일!C72)-1),IF(ISNUMBER(FIND(" ",고객법인일정파일!C72)),LEFT(고객법인일정파일!C72,FIND(" ",고객법인일정파일!C72)-1),고객법인일정파일!C72)))="한총","sec",IF(OR(NOT(ISBLANK(고객법인일정파일!B72)),ISBLANK(고객법인일정파일!C72),고객법인일정파일!C72="Total"),"",IF(ISNUMBER(FIND("-",고객법인일정파일!C72)),LEFT(고객법인일정파일!C72,FIND("-",고객법인일정파일!C72)-1),IF(ISNUMBER(FIND(" ",고객법인일정파일!C72)),LEFT(고객법인일정파일!C72,FIND(" ",고객법인일정파일!C72)-1),고객법인일정파일!C72))))</f>
        <v/>
      </c>
      <c r="P72" s="11" t="str">
        <f>IF(ISBLANK(태깅기획site_code!F72),"",IF(COUNTIF(고객법인일정파일!$C$4:$C$200,태깅기획site_code!D72&amp;"-"&amp;UPPER(IF(ISNUMBER(FIND("_",태깅기획site_code!F72)),LEFT(태깅기획site_code!F72,FIND("_",태깅기획site_code!F72)-1),태깅기획site_code!F72)))&gt;0,태깅기획site_code!D72&amp;"-"&amp;UPPER(IF(ISNUMBER(FIND("_",태깅기획site_code!F72)),LEFT(태깅기획site_code!F72,FIND("_",태깅기획site_code!F72)-1),태깅기획site_code!F72)),IF(COUNTIF(고객법인일정파일!$C$4:$C$200,태깅기획site_code!D72&amp;" ("&amp;PROPER(LEFT(태깅기획site_code!F72,FIND("_",태깅기획site_code!F72)-1))&amp;"_"&amp;UPPER(MID(태깅기획site_code!F72,FIND("_",태깅기획site_code!F72)+1,20))&amp;")")&gt;0,태깅기획site_code!D72&amp;" ("&amp;PROPER(LEFT(태깅기획site_code!F72,FIND("_",태깅기획site_code!F72)-1))&amp;"_"&amp;UPPER(MID(태깅기획site_code!F72,FIND("_",태깅기획site_code!F72)+1,20))&amp;")",IF(COUNTIF(고객법인일정파일!$C$4:$C$200,태깅기획site_code!D72)&gt;0,태깅기획site_code!D72,IF(ISNUMBER(FIND("_",태깅기획site_code!F72)),"",IFERROR(INDEX(고객법인일정파일!$C$4:$C$200,MATCH(태깅기획site_code!D72,$O$4:$O$200,0)),IF(ISNUMBER(FIND("-",태깅기획site_code!D72)),IFERROR(INDEX(고객법인일정파일!$C$4:$C$200,MATCH(LEFT(태깅기획site_code!D72,FIND("-",태깅기획site_code!D72)-1),고객법인일정파일!$C$4:$C$200,0)),""),IF(태깅기획site_code!D72="SCA",IF(RIGHT(태깅기획site_code!F72,3)="_fr",IFERROR(INDEX(고객법인일정파일!$C$4:$C$200,MATCH("SEWA (Africa_FR)",고객법인일정파일!$C$4:$C$200,0)),""),IF(RIGHT(태깅기획site_code!F72,3)="_en",IFERROR(INDEX(고객법인일정파일!$C$4:$C$200,MATCH("SEWA (Africa_EN)",고객법인일정파일!$C$4:$C$200,0)),""),"")),""))))))))</f>
        <v>XADIL</v>
      </c>
      <c r="Q72" s="11" t="str">
        <f>IF(LEN(TRIM(P72))=0,"",IFERROR(INDEX(고객법인일정파일!$E$4:$E$192,MATCH(P72,고객법인일정파일!$C$4:$C$192,0)),""))</f>
        <v>X</v>
      </c>
      <c r="R72" s="12" t="str">
        <f>IF(OR(LEN(TRIM(P72))=0,Q72="X",Q72&lt;&gt;"O"),"",IFERROR(INDEX(고객법인일정파일!$F$4:$F$192,MATCH(P72,고객법인일정파일!$C$4:$C$192,0)),""))</f>
        <v/>
      </c>
      <c r="S72" s="12" t="str">
        <f>IF(OR(LEN(TRIM(P72))=0,Q72="X",Q72&lt;&gt;"O"),"",IFERROR(INDEX(고객법인일정파일!$H$4:$H$192,MATCH(P72,고객법인일정파일!$C$4:$C$192,0)),""))</f>
        <v/>
      </c>
    </row>
    <row r="73" spans="2:21">
      <c r="B73" s="29"/>
      <c r="C73" s="185"/>
      <c r="D73" s="185"/>
      <c r="E73" s="185"/>
      <c r="F73" s="30"/>
      <c r="G73" s="185"/>
      <c r="H73" s="30"/>
      <c r="I73" s="185"/>
      <c r="J73" s="153"/>
      <c r="O73" s="11" t="str">
        <f>IF(IF(OR(NOT(ISBLANK(고객법인일정파일!B73)),ISBLANK(고객법인일정파일!C73),고객법인일정파일!C73="Total"),"",IF(ISNUMBER(FIND("-",고객법인일정파일!C73)),LEFT(고객법인일정파일!C73,FIND("-",고객법인일정파일!C73)-1),IF(ISNUMBER(FIND(" ",고객법인일정파일!C73)),LEFT(고객법인일정파일!C73,FIND(" ",고객법인일정파일!C73)-1),고객법인일정파일!C73)))="한총","sec",IF(OR(NOT(ISBLANK(고객법인일정파일!B73)),ISBLANK(고객법인일정파일!C73),고객법인일정파일!C73="Total"),"",IF(ISNUMBER(FIND("-",고객법인일정파일!C73)),LEFT(고객법인일정파일!C73,FIND("-",고객법인일정파일!C73)-1),IF(ISNUMBER(FIND(" ",고객법인일정파일!C73)),LEFT(고객법인일정파일!C73,FIND(" ",고객법인일정파일!C73)-1),고객법인일정파일!C73))))</f>
        <v/>
      </c>
      <c r="P73" s="11" t="str">
        <f>IF(ISBLANK(태깅기획site_code!F73),"",IF(COUNTIF(고객법인일정파일!$C$4:$C$200,태깅기획site_code!D73&amp;"-"&amp;UPPER(IF(ISNUMBER(FIND("_",태깅기획site_code!F73)),LEFT(태깅기획site_code!F73,FIND("_",태깅기획site_code!F73)-1),태깅기획site_code!F73)))&gt;0,태깅기획site_code!D73&amp;"-"&amp;UPPER(IF(ISNUMBER(FIND("_",태깅기획site_code!F73)),LEFT(태깅기획site_code!F73,FIND("_",태깅기획site_code!F73)-1),태깅기획site_code!F73)),IF(COUNTIF(고객법인일정파일!$C$4:$C$200,태깅기획site_code!D73&amp;" ("&amp;PROPER(LEFT(태깅기획site_code!F73,FIND("_",태깅기획site_code!F73)-1))&amp;"_"&amp;UPPER(MID(태깅기획site_code!F73,FIND("_",태깅기획site_code!F73)+1,20))&amp;")")&gt;0,태깅기획site_code!D73&amp;" ("&amp;PROPER(LEFT(태깅기획site_code!F73,FIND("_",태깅기획site_code!F73)-1))&amp;"_"&amp;UPPER(MID(태깅기획site_code!F73,FIND("_",태깅기획site_code!F73)+1,20))&amp;")",IF(COUNTIF(고객법인일정파일!$C$4:$C$200,태깅기획site_code!D73)&gt;0,태깅기획site_code!D73,IF(ISNUMBER(FIND("_",태깅기획site_code!F73)),"",IFERROR(INDEX(고객법인일정파일!$C$4:$C$200,MATCH(태깅기획site_code!D73,$O$4:$O$200,0)),IF(ISNUMBER(FIND("-",태깅기획site_code!D73)),IFERROR(INDEX(고객법인일정파일!$C$4:$C$200,MATCH(LEFT(태깅기획site_code!D73,FIND("-",태깅기획site_code!D73)-1),고객법인일정파일!$C$4:$C$200,0)),""),IF(태깅기획site_code!D73="SCA",IF(RIGHT(태깅기획site_code!F73,3)="_fr",IFERROR(INDEX(고객법인일정파일!$C$4:$C$200,MATCH("SEWA (Africa_FR)",고객법인일정파일!$C$4:$C$200,0)),""),IF(RIGHT(태깅기획site_code!F73,3)="_en",IFERROR(INDEX(고객법인일정파일!$C$4:$C$200,MATCH("SEWA (Africa_EN)",고객법인일정파일!$C$4:$C$200,0)),""),"")),""))))))))</f>
        <v>XADIB-PT</v>
      </c>
      <c r="Q73" s="11" t="str">
        <f>IF(LEN(TRIM(P73))=0,"",IFERROR(INDEX(고객법인일정파일!$E$4:$E$192,MATCH(P73,고객법인일정파일!$C$4:$C$192,0)),""))</f>
        <v>O</v>
      </c>
      <c r="R73" s="12">
        <f>IF(OR(LEN(TRIM(P73))=0,Q73="X",Q73&lt;&gt;"O"),"",IFERROR(INDEX(고객법인일정파일!$F$4:$F$192,MATCH(P73,고객법인일정파일!$C$4:$C$192,0)),""))</f>
        <v>46042</v>
      </c>
      <c r="S73" s="12">
        <f>IF(OR(LEN(TRIM(P73))=0,Q73="X",Q73&lt;&gt;"O"),"",IFERROR(INDEX(고객법인일정파일!$H$4:$H$192,MATCH(P73,고객법인일정파일!$C$4:$C$192,0)),""))</f>
        <v>46063</v>
      </c>
    </row>
    <row r="74" spans="2:21">
      <c r="B74" s="29"/>
      <c r="C74" s="185"/>
      <c r="D74" s="185"/>
      <c r="E74" s="185"/>
      <c r="F74" s="30"/>
      <c r="G74" s="185"/>
      <c r="H74" s="30"/>
      <c r="I74" s="185"/>
      <c r="J74" s="153"/>
      <c r="O74" s="11" t="str">
        <f>IF(IF(OR(NOT(ISBLANK(고객법인일정파일!B74)),ISBLANK(고객법인일정파일!C74),고객법인일정파일!C74="Total"),"",IF(ISNUMBER(FIND("-",고객법인일정파일!C74)),LEFT(고객법인일정파일!C74,FIND("-",고객법인일정파일!C74)-1),IF(ISNUMBER(FIND(" ",고객법인일정파일!C74)),LEFT(고객법인일정파일!C74,FIND(" ",고객법인일정파일!C74)-1),고객법인일정파일!C74)))="한총","sec",IF(OR(NOT(ISBLANK(고객법인일정파일!B74)),ISBLANK(고객법인일정파일!C74),고객법인일정파일!C74="Total"),"",IF(ISNUMBER(FIND("-",고객법인일정파일!C74)),LEFT(고객법인일정파일!C74,FIND("-",고객법인일정파일!C74)-1),IF(ISNUMBER(FIND(" ",고객법인일정파일!C74)),LEFT(고객법인일정파일!C74,FIND(" ",고객법인일정파일!C74)-1),고객법인일정파일!C74))))</f>
        <v/>
      </c>
      <c r="P74" s="11" t="str">
        <f>IF(ISBLANK(태깅기획site_code!F74),"",IF(COUNTIF(고객법인일정파일!$C$4:$C$200,태깅기획site_code!D74&amp;"-"&amp;UPPER(IF(ISNUMBER(FIND("_",태깅기획site_code!F74)),LEFT(태깅기획site_code!F74,FIND("_",태깅기획site_code!F74)-1),태깅기획site_code!F74)))&gt;0,태깅기획site_code!D74&amp;"-"&amp;UPPER(IF(ISNUMBER(FIND("_",태깅기획site_code!F74)),LEFT(태깅기획site_code!F74,FIND("_",태깅기획site_code!F74)-1),태깅기획site_code!F74)),IF(COUNTIF(고객법인일정파일!$C$4:$C$200,태깅기획site_code!D74&amp;" ("&amp;PROPER(LEFT(태깅기획site_code!F74,FIND("_",태깅기획site_code!F74)-1))&amp;"_"&amp;UPPER(MID(태깅기획site_code!F74,FIND("_",태깅기획site_code!F74)+1,20))&amp;")")&gt;0,태깅기획site_code!D74&amp;" ("&amp;PROPER(LEFT(태깅기획site_code!F74,FIND("_",태깅기획site_code!F74)-1))&amp;"_"&amp;UPPER(MID(태깅기획site_code!F74,FIND("_",태깅기획site_code!F74)+1,20))&amp;")",IF(COUNTIF(고객법인일정파일!$C$4:$C$200,태깅기획site_code!D74)&gt;0,태깅기획site_code!D74,IF(ISNUMBER(FIND("_",태깅기획site_code!F74)),"",IFERROR(INDEX(고객법인일정파일!$C$4:$C$200,MATCH(태깅기획site_code!D74,$O$4:$O$200,0)),IF(ISNUMBER(FIND("-",태깅기획site_code!D74)),IFERROR(INDEX(고객법인일정파일!$C$4:$C$200,MATCH(LEFT(태깅기획site_code!D74,FIND("-",태깅기획site_code!D74)-1),고객법인일정파일!$C$4:$C$200,0)),""),IF(태깅기획site_code!D74="SCA",IF(RIGHT(태깅기획site_code!F74,3)="_fr",IFERROR(INDEX(고객법인일정파일!$C$4:$C$200,MATCH("SEWA (Africa_FR)",고객법인일정파일!$C$4:$C$200,0)),""),IF(RIGHT(태깅기획site_code!F74,3)="_en",IFERROR(INDEX(고객법인일정파일!$C$4:$C$200,MATCH("SEWA (Africa_EN)",고객법인일정파일!$C$4:$C$200,0)),""),"")),""))))))))</f>
        <v>XADLU</v>
      </c>
      <c r="Q74" s="11" t="str">
        <f>IF(LEN(TRIM(P74))=0,"",IFERROR(INDEX(고객법인일정파일!$E$4:$E$192,MATCH(P74,고객법인일정파일!$C$4:$C$192,0)),""))</f>
        <v>O</v>
      </c>
      <c r="R74" s="12">
        <f>IF(OR(LEN(TRIM(P74))=0,Q74="X",Q74&lt;&gt;"O"),"",IFERROR(INDEX(고객법인일정파일!$F$4:$F$192,MATCH(P74,고객법인일정파일!$C$4:$C$192,0)),""))</f>
        <v>46042</v>
      </c>
      <c r="S74" s="12">
        <f>IF(OR(LEN(TRIM(P74))=0,Q74="X",Q74&lt;&gt;"O"),"",IFERROR(INDEX(고객법인일정파일!$H$4:$H$192,MATCH(P74,고객법인일정파일!$C$4:$C$192,0)),""))</f>
        <v>46063</v>
      </c>
    </row>
    <row r="75" spans="2:21">
      <c r="B75" s="29"/>
      <c r="C75" s="185"/>
      <c r="D75" s="185"/>
      <c r="E75" s="185"/>
      <c r="F75" s="30"/>
      <c r="G75" s="185"/>
      <c r="H75" s="30"/>
      <c r="I75" s="185"/>
      <c r="J75" s="153"/>
      <c r="O75" s="11" t="str">
        <f>IF(IF(OR(NOT(ISBLANK(고객법인일정파일!B75)),ISBLANK(고객법인일정파일!C75),고객법인일정파일!C75="Total"),"",IF(ISNUMBER(FIND("-",고객법인일정파일!C75)),LEFT(고객법인일정파일!C75,FIND("-",고객법인일정파일!C75)-1),IF(ISNUMBER(FIND(" ",고객법인일정파일!C75)),LEFT(고객법인일정파일!C75,FIND(" ",고객법인일정파일!C75)-1),고객법인일정파일!C75)))="한총","sec",IF(OR(NOT(ISBLANK(고객법인일정파일!B75)),ISBLANK(고객법인일정파일!C75),고객법인일정파일!C75="Total"),"",IF(ISNUMBER(FIND("-",고객법인일정파일!C75)),LEFT(고객법인일정파일!C75,FIND("-",고객법인일정파일!C75)-1),IF(ISNUMBER(FIND(" ",고객법인일정파일!C75)),LEFT(고객법인일정파일!C75,FIND(" ",고객법인일정파일!C75)-1),고객법인일정파일!C75))))</f>
        <v/>
      </c>
      <c r="P75" s="11" t="str">
        <f>IF(ISBLANK(태깅기획site_code!F75),"",IF(COUNTIF(고객법인일정파일!$C$4:$C$200,태깅기획site_code!D75&amp;"-"&amp;UPPER(IF(ISNUMBER(FIND("_",태깅기획site_code!F75)),LEFT(태깅기획site_code!F75,FIND("_",태깅기획site_code!F75)-1),태깅기획site_code!F75)))&gt;0,태깅기획site_code!D75&amp;"-"&amp;UPPER(IF(ISNUMBER(FIND("_",태깅기획site_code!F75)),LEFT(태깅기획site_code!F75,FIND("_",태깅기획site_code!F75)-1),태깅기획site_code!F75)),IF(COUNTIF(고객법인일정파일!$C$4:$C$200,태깅기획site_code!D75&amp;" ("&amp;PROPER(LEFT(태깅기획site_code!F75,FIND("_",태깅기획site_code!F75)-1))&amp;"_"&amp;UPPER(MID(태깅기획site_code!F75,FIND("_",태깅기획site_code!F75)+1,20))&amp;")")&gt;0,태깅기획site_code!D75&amp;" ("&amp;PROPER(LEFT(태깅기획site_code!F75,FIND("_",태깅기획site_code!F75)-1))&amp;"_"&amp;UPPER(MID(태깅기획site_code!F75,FIND("_",태깅기획site_code!F75)+1,20))&amp;")",IF(COUNTIF(고객법인일정파일!$C$4:$C$200,태깅기획site_code!D75)&gt;0,태깅기획site_code!D75,IF(ISNUMBER(FIND("_",태깅기획site_code!F75)),"",IFERROR(INDEX(고객법인일정파일!$C$4:$C$200,MATCH(태깅기획site_code!D75,$O$4:$O$200,0)),IF(ISNUMBER(FIND("-",태깅기획site_code!D75)),IFERROR(INDEX(고객법인일정파일!$C$4:$C$200,MATCH(LEFT(태깅기획site_code!D75,FIND("-",태깅기획site_code!D75)-1),고객법인일정파일!$C$4:$C$200,0)),""),IF(태깅기획site_code!D75="SCA",IF(RIGHT(태깅기획site_code!F75,3)="_fr",IFERROR(INDEX(고객법인일정파일!$C$4:$C$200,MATCH("SEWA (Africa_FR)",고객법인일정파일!$C$4:$C$200,0)),""),IF(RIGHT(태깅기획site_code!F75,3)="_en",IFERROR(INDEX(고객법인일정파일!$C$4:$C$200,MATCH("SEWA (Africa_EN)",고객법인일정파일!$C$4:$C$200,0)),""),"")),""))))))))</f>
        <v>XADROM</v>
      </c>
      <c r="Q75" s="11" t="str">
        <f>IF(LEN(TRIM(P75))=0,"",IFERROR(INDEX(고객법인일정파일!$E$4:$E$192,MATCH(P75,고객법인일정파일!$C$4:$C$192,0)),""))</f>
        <v>O</v>
      </c>
      <c r="R75" s="12">
        <f>IF(OR(LEN(TRIM(P75))=0,Q75="X",Q75&lt;&gt;"O"),"",IFERROR(INDEX(고객법인일정파일!$F$4:$F$192,MATCH(P75,고객법인일정파일!$C$4:$C$192,0)),""))</f>
        <v>46113</v>
      </c>
      <c r="S75" s="12">
        <f>IF(OR(LEN(TRIM(P75))=0,Q75="X",Q75&lt;&gt;"O"),"",IFERROR(INDEX(고객법인일정파일!$H$4:$H$192,MATCH(P75,고객법인일정파일!$C$4:$C$192,0)),""))</f>
        <v>46122</v>
      </c>
    </row>
    <row r="76" spans="2:21">
      <c r="B76" s="29"/>
      <c r="C76" s="185"/>
      <c r="D76" s="185"/>
      <c r="E76" s="185"/>
      <c r="F76" s="30"/>
      <c r="G76" s="185"/>
      <c r="H76" s="30"/>
      <c r="I76" s="185"/>
      <c r="J76" s="153"/>
      <c r="O76" s="11" t="str">
        <f>IF(IF(OR(NOT(ISBLANK(고객법인일정파일!B76)),ISBLANK(고객법인일정파일!C76),고객법인일정파일!C76="Total"),"",IF(ISNUMBER(FIND("-",고객법인일정파일!C76)),LEFT(고객법인일정파일!C76,FIND("-",고객법인일정파일!C76)-1),IF(ISNUMBER(FIND(" ",고객법인일정파일!C76)),LEFT(고객법인일정파일!C76,FIND(" ",고객법인일정파일!C76)-1),고객법인일정파일!C76)))="한총","sec",IF(OR(NOT(ISBLANK(고객법인일정파일!B76)),ISBLANK(고객법인일정파일!C76),고객법인일정파일!C76="Total"),"",IF(ISNUMBER(FIND("-",고객법인일정파일!C76)),LEFT(고객법인일정파일!C76,FIND("-",고객법인일정파일!C76)-1),IF(ISNUMBER(FIND(" ",고객법인일정파일!C76)),LEFT(고객법인일정파일!C76,FIND(" ",고객법인일정파일!C76)-1),고객법인일정파일!C76))))</f>
        <v/>
      </c>
      <c r="P76" s="11" t="str">
        <f>IF(ISBLANK(태깅기획site_code!F76),"",IF(COUNTIF(고객법인일정파일!$C$4:$C$200,태깅기획site_code!D76&amp;"-"&amp;UPPER(IF(ISNUMBER(FIND("_",태깅기획site_code!F76)),LEFT(태깅기획site_code!F76,FIND("_",태깅기획site_code!F76)-1),태깅기획site_code!F76)))&gt;0,태깅기획site_code!D76&amp;"-"&amp;UPPER(IF(ISNUMBER(FIND("_",태깅기획site_code!F76)),LEFT(태깅기획site_code!F76,FIND("_",태깅기획site_code!F76)-1),태깅기획site_code!F76)),IF(COUNTIF(고객법인일정파일!$C$4:$C$200,태깅기획site_code!D76&amp;" ("&amp;PROPER(LEFT(태깅기획site_code!F76,FIND("_",태깅기획site_code!F76)-1))&amp;"_"&amp;UPPER(MID(태깅기획site_code!F76,FIND("_",태깅기획site_code!F76)+1,20))&amp;")")&gt;0,태깅기획site_code!D76&amp;" ("&amp;PROPER(LEFT(태깅기획site_code!F76,FIND("_",태깅기획site_code!F76)-1))&amp;"_"&amp;UPPER(MID(태깅기획site_code!F76,FIND("_",태깅기획site_code!F76)+1,20))&amp;")",IF(COUNTIF(고객법인일정파일!$C$4:$C$200,태깅기획site_code!D76)&gt;0,태깅기획site_code!D76,IF(ISNUMBER(FIND("_",태깅기획site_code!F76)),"",IFERROR(INDEX(고객법인일정파일!$C$4:$C$200,MATCH(태깅기획site_code!D76,$O$4:$O$200,0)),IF(ISNUMBER(FIND("-",태깅기획site_code!D76)),IFERROR(INDEX(고객법인일정파일!$C$4:$C$200,MATCH(LEFT(태깅기획site_code!D76,FIND("-",태깅기획site_code!D76)-1),고객법인일정파일!$C$4:$C$200,0)),""),IF(태깅기획site_code!D76="SCA",IF(RIGHT(태깅기획site_code!F76,3)="_fr",IFERROR(INDEX(고객법인일정파일!$C$4:$C$200,MATCH("SEWA (Africa_FR)",고객법인일정파일!$C$4:$C$200,0)),""),IF(RIGHT(태깅기획site_code!F76,3)="_en",IFERROR(INDEX(고객법인일정파일!$C$4:$C$200,MATCH("SEWA (Africa_EN)",고객법인일정파일!$C$4:$C$200,0)),""),"")),""))))))))</f>
        <v>XADUD</v>
      </c>
      <c r="Q76" s="11" t="str">
        <f>IF(LEN(TRIM(P76))=0,"",IFERROR(INDEX(고객법인일정파일!$E$4:$E$192,MATCH(P76,고객법인일정파일!$C$4:$C$192,0)),""))</f>
        <v>X</v>
      </c>
      <c r="R76" s="12" t="str">
        <f>IF(OR(LEN(TRIM(P76))=0,Q76="X",Q76&lt;&gt;"O"),"",IFERROR(INDEX(고객법인일정파일!$F$4:$F$192,MATCH(P76,고객법인일정파일!$C$4:$C$192,0)),""))</f>
        <v/>
      </c>
      <c r="S76" s="12" t="str">
        <f>IF(OR(LEN(TRIM(P76))=0,Q76="X",Q76&lt;&gt;"O"),"",IFERROR(INDEX(고객법인일정파일!$H$4:$H$192,MATCH(P76,고객법인일정파일!$C$4:$C$192,0)),""))</f>
        <v/>
      </c>
    </row>
    <row r="77" spans="2:21">
      <c r="B77" s="29"/>
      <c r="C77" s="185"/>
      <c r="D77" s="185"/>
      <c r="E77" s="185"/>
      <c r="F77" s="30"/>
      <c r="G77" s="185"/>
      <c r="H77" s="30"/>
      <c r="I77" s="185"/>
      <c r="J77" s="153"/>
      <c r="O77" s="11" t="str">
        <f>IF(IF(OR(NOT(ISBLANK(고객법인일정파일!B77)),ISBLANK(고객법인일정파일!C77),고객법인일정파일!C77="Total"),"",IF(ISNUMBER(FIND("-",고객법인일정파일!C77)),LEFT(고객법인일정파일!C77,FIND("-",고객법인일정파일!C77)-1),IF(ISNUMBER(FIND(" ",고객법인일정파일!C77)),LEFT(고객법인일정파일!C77,FIND(" ",고객법인일정파일!C77)-1),고객법인일정파일!C77)))="한총","sec",IF(OR(NOT(ISBLANK(고객법인일정파일!B77)),ISBLANK(고객법인일정파일!C77),고객법인일정파일!C77="Total"),"",IF(ISNUMBER(FIND("-",고객법인일정파일!C77)),LEFT(고객법인일정파일!C77,FIND("-",고객법인일정파일!C77)-1),IF(ISNUMBER(FIND(" ",고객법인일정파일!C77)),LEFT(고객법인일정파일!C77,FIND(" ",고객법인일정파일!C77)-1),고객법인일정파일!C77))))</f>
        <v/>
      </c>
      <c r="P77" s="11" t="str">
        <f>IF(ISBLANK(태깅기획site_code!F77),"",IF(COUNTIF(고객법인일정파일!$C$4:$C$200,태깅기획site_code!D77&amp;"-"&amp;UPPER(IF(ISNUMBER(FIND("_",태깅기획site_code!F77)),LEFT(태깅기획site_code!F77,FIND("_",태깅기획site_code!F77)-1),태깅기획site_code!F77)))&gt;0,태깅기획site_code!D77&amp;"-"&amp;UPPER(IF(ISNUMBER(FIND("_",태깅기획site_code!F77)),LEFT(태깅기획site_code!F77,FIND("_",태깅기획site_code!F77)-1),태깅기획site_code!F77)),IF(COUNTIF(고객법인일정파일!$C$4:$C$200,태깅기획site_code!D77&amp;" ("&amp;PROPER(LEFT(태깅기획site_code!F77,FIND("_",태깅기획site_code!F77)-1))&amp;"_"&amp;UPPER(MID(태깅기획site_code!F77,FIND("_",태깅기획site_code!F77)+1,20))&amp;")")&gt;0,태깅기획site_code!D77&amp;" ("&amp;PROPER(LEFT(태깅기획site_code!F77,FIND("_",태깅기획site_code!F77)-1))&amp;"_"&amp;UPPER(MID(태깅기획site_code!F77,FIND("_",태깅기획site_code!F77)+1,20))&amp;")",IF(COUNTIF(고객법인일정파일!$C$4:$C$200,태깅기획site_code!D77)&gt;0,태깅기획site_code!D77,IF(ISNUMBER(FIND("_",태깅기획site_code!F77)),"",IFERROR(INDEX(고객법인일정파일!$C$4:$C$200,MATCH(태깅기획site_code!D77,$O$4:$O$200,0)),IF(ISNUMBER(FIND("-",태깅기획site_code!D77)),IFERROR(INDEX(고객법인일정파일!$C$4:$C$200,MATCH(LEFT(태깅기획site_code!D77,FIND("-",태깅기획site_code!D77)-1),고객법인일정파일!$C$4:$C$200,0)),""),IF(태깅기획site_code!D77="SCA",IF(RIGHT(태깅기획site_code!F77,3)="_fr",IFERROR(INDEX(고객법인일정파일!$C$4:$C$200,MATCH("SEWA (Africa_FR)",고객법인일정파일!$C$4:$C$200,0)),""),IF(RIGHT(태깅기획site_code!F77,3)="_en",IFERROR(INDEX(고객법인일정파일!$C$4:$C$200,MATCH("SEWA (Africa_EN)",고객법인일정파일!$C$4:$C$200,0)),""),"")),""))))))))</f>
        <v/>
      </c>
      <c r="Q77" s="11" t="str">
        <f>IF(LEN(TRIM(P77))=0,"",IFERROR(INDEX(고객법인일정파일!$E$4:$E$192,MATCH(P77,고객법인일정파일!$C$4:$C$192,0)),""))</f>
        <v/>
      </c>
      <c r="R77" s="12" t="str">
        <f>IF(OR(LEN(TRIM(P77))=0,Q77="X",Q77&lt;&gt;"O"),"",IFERROR(INDEX(고객법인일정파일!$F$4:$F$192,MATCH(P77,고객법인일정파일!$C$4:$C$192,0)),""))</f>
        <v/>
      </c>
      <c r="S77" s="12" t="str">
        <f>IF(OR(LEN(TRIM(P77))=0,Q77="X",Q77&lt;&gt;"O"),"",IFERROR(INDEX(고객법인일정파일!$H$4:$H$192,MATCH(P77,고객법인일정파일!$C$4:$C$192,0)),""))</f>
        <v/>
      </c>
    </row>
    <row r="78" spans="2:21">
      <c r="F78" s="30"/>
      <c r="O78" s="11" t="str">
        <f>IF(IF(OR(NOT(ISBLANK(고객법인일정파일!B78)),ISBLANK(고객법인일정파일!C78),고객법인일정파일!C78="Total"),"",IF(ISNUMBER(FIND("-",고객법인일정파일!C78)),LEFT(고객법인일정파일!C78,FIND("-",고객법인일정파일!C78)-1),IF(ISNUMBER(FIND(" ",고객법인일정파일!C78)),LEFT(고객법인일정파일!C78,FIND(" ",고객법인일정파일!C78)-1),고객법인일정파일!C78)))="한총","sec",IF(OR(NOT(ISBLANK(고객법인일정파일!B78)),ISBLANK(고객법인일정파일!C78),고객법인일정파일!C78="Total"),"",IF(ISNUMBER(FIND("-",고객법인일정파일!C78)),LEFT(고객법인일정파일!C78,FIND("-",고객법인일정파일!C78)-1),IF(ISNUMBER(FIND(" ",고객법인일정파일!C78)),LEFT(고객법인일정파일!C78,FIND(" ",고객법인일정파일!C78)-1),고객법인일정파일!C78))))</f>
        <v/>
      </c>
      <c r="P78" s="11" t="str">
        <f>IF(ISBLANK(태깅기획site_code!F78),"",IF(COUNTIF(고객법인일정파일!$C$4:$C$200,태깅기획site_code!D78&amp;"-"&amp;UPPER(IF(ISNUMBER(FIND("_",태깅기획site_code!F78)),LEFT(태깅기획site_code!F78,FIND("_",태깅기획site_code!F78)-1),태깅기획site_code!F78)))&gt;0,태깅기획site_code!D78&amp;"-"&amp;UPPER(IF(ISNUMBER(FIND("_",태깅기획site_code!F78)),LEFT(태깅기획site_code!F78,FIND("_",태깅기획site_code!F78)-1),태깅기획site_code!F78)),IF(COUNTIF(고객법인일정파일!$C$4:$C$200,태깅기획site_code!D78&amp;" ("&amp;PROPER(LEFT(태깅기획site_code!F78,FIND("_",태깅기획site_code!F78)-1))&amp;"_"&amp;UPPER(MID(태깅기획site_code!F78,FIND("_",태깅기획site_code!F78)+1,20))&amp;")")&gt;0,태깅기획site_code!D78&amp;" ("&amp;PROPER(LEFT(태깅기획site_code!F78,FIND("_",태깅기획site_code!F78)-1))&amp;"_"&amp;UPPER(MID(태깅기획site_code!F78,FIND("_",태깅기획site_code!F78)+1,20))&amp;")",IF(COUNTIF(고객법인일정파일!$C$4:$C$200,태깅기획site_code!D78)&gt;0,태깅기획site_code!D78,IF(ISNUMBER(FIND("_",태깅기획site_code!F78)),"",IFERROR(INDEX(고객법인일정파일!$C$4:$C$200,MATCH(태깅기획site_code!D78,$O$4:$O$200,0)),IF(ISNUMBER(FIND("-",태깅기획site_code!D78)),IFERROR(INDEX(고객법인일정파일!$C$4:$C$200,MATCH(LEFT(태깅기획site_code!D78,FIND("-",태깅기획site_code!D78)-1),고객법인일정파일!$C$4:$C$200,0)),""),IF(태깅기획site_code!D78="SCA",IF(RIGHT(태깅기획site_code!F78,3)="_fr",IFERROR(INDEX(고객법인일정파일!$C$4:$C$200,MATCH("SEWA (Africa_FR)",고객법인일정파일!$C$4:$C$200,0)),""),IF(RIGHT(태깅기획site_code!F78,3)="_en",IFERROR(INDEX(고객법인일정파일!$C$4:$C$200,MATCH("SEWA (Africa_EN)",고객법인일정파일!$C$4:$C$200,0)),""),"")),""))))))))</f>
        <v>XADXUR</v>
      </c>
      <c r="Q78" s="11" t="str">
        <f>IF(LEN(TRIM(P78))=0,"",IFERROR(INDEX(고객법인일정파일!$E$4:$E$192,MATCH(P78,고객법인일정파일!$C$4:$C$192,0)),""))</f>
        <v>X</v>
      </c>
      <c r="R78" s="12" t="str">
        <f>IF(OR(LEN(TRIM(P78))=0,Q78="X",Q78&lt;&gt;"O"),"",IFERROR(INDEX(고객법인일정파일!$F$4:$F$192,MATCH(P78,고객법인일정파일!$C$4:$C$192,0)),""))</f>
        <v/>
      </c>
      <c r="S78" s="12" t="str">
        <f>IF(OR(LEN(TRIM(P78))=0,Q78="X",Q78&lt;&gt;"O"),"",IFERROR(INDEX(고객법인일정파일!$H$4:$H$192,MATCH(P78,고객법인일정파일!$C$4:$C$192,0)),""))</f>
        <v/>
      </c>
    </row>
    <row r="79" spans="2:21">
      <c r="F79" s="30"/>
      <c r="O79" s="11" t="str">
        <f>IF(IF(OR(NOT(ISBLANK(고객법인일정파일!B79)),ISBLANK(고객법인일정파일!C79),고객법인일정파일!C79="Total"),"",IF(ISNUMBER(FIND("-",고객법인일정파일!C79)),LEFT(고객법인일정파일!C79,FIND("-",고객법인일정파일!C79)-1),IF(ISNUMBER(FIND(" ",고객법인일정파일!C79)),LEFT(고객법인일정파일!C79,FIND(" ",고객법인일정파일!C79)-1),고객법인일정파일!C79)))="한총","sec",IF(OR(NOT(ISBLANK(고객법인일정파일!B79)),ISBLANK(고객법인일정파일!C79),고객법인일정파일!C79="Total"),"",IF(ISNUMBER(FIND("-",고객법인일정파일!C79)),LEFT(고객법인일정파일!C79,FIND("-",고객법인일정파일!C79)-1),IF(ISNUMBER(FIND(" ",고객법인일정파일!C79)),LEFT(고객법인일정파일!C79,FIND(" ",고객법인일정파일!C79)-1),고객법인일정파일!C79))))</f>
        <v/>
      </c>
      <c r="P79" s="11" t="str">
        <f>IF(ISBLANK(태깅기획site_code!F79),"",IF(COUNTIF(고객법인일정파일!$C$4:$C$200,태깅기획site_code!D79&amp;"-"&amp;UPPER(IF(ISNUMBER(FIND("_",태깅기획site_code!F79)),LEFT(태깅기획site_code!F79,FIND("_",태깅기획site_code!F79)-1),태깅기획site_code!F79)))&gt;0,태깅기획site_code!D79&amp;"-"&amp;UPPER(IF(ISNUMBER(FIND("_",태깅기획site_code!F79)),LEFT(태깅기획site_code!F79,FIND("_",태깅기획site_code!F79)-1),태깅기획site_code!F79)),IF(COUNTIF(고객법인일정파일!$C$4:$C$200,태깅기획site_code!D79&amp;" ("&amp;PROPER(LEFT(태깅기획site_code!F79,FIND("_",태깅기획site_code!F79)-1))&amp;"_"&amp;UPPER(MID(태깅기획site_code!F79,FIND("_",태깅기획site_code!F79)+1,20))&amp;")")&gt;0,태깅기획site_code!D79&amp;" ("&amp;PROPER(LEFT(태깅기획site_code!F79,FIND("_",태깅기획site_code!F79)-1))&amp;"_"&amp;UPPER(MID(태깅기획site_code!F79,FIND("_",태깅기획site_code!F79)+1,20))&amp;")",IF(COUNTIF(고객법인일정파일!$C$4:$C$200,태깅기획site_code!D79)&gt;0,태깅기획site_code!D79,IF(ISNUMBER(FIND("_",태깅기획site_code!F79)),"",IFERROR(INDEX(고객법인일정파일!$C$4:$C$200,MATCH(태깅기획site_code!D79,$O$4:$O$200,0)),IF(ISNUMBER(FIND("-",태깅기획site_code!D79)),IFERROR(INDEX(고객법인일정파일!$C$4:$C$200,MATCH(LEFT(태깅기획site_code!D79,FIND("-",태깅기획site_code!D79)-1),고객법인일정파일!$C$4:$C$200,0)),""),IF(태깅기획site_code!D79="SCA",IF(RIGHT(태깅기획site_code!F79,3)="_fr",IFERROR(INDEX(고객법인일정파일!$C$4:$C$200,MATCH("SEWA (Africa_FR)",고객법인일정파일!$C$4:$C$200,0)),""),IF(RIGHT(태깅기획site_code!F79,3)="_en",IFERROR(INDEX(고객법인일정파일!$C$4:$C$200,MATCH("SEWA (Africa_EN)",고객법인일정파일!$C$4:$C$200,0)),""),"")),""))))))))</f>
        <v>XADXUR</v>
      </c>
      <c r="Q79" s="11" t="str">
        <f>IF(LEN(TRIM(P79))=0,"",IFERROR(INDEX(고객법인일정파일!$E$4:$E$192,MATCH(P79,고객법인일정파일!$C$4:$C$192,0)),""))</f>
        <v>X</v>
      </c>
      <c r="R79" s="12" t="str">
        <f>IF(OR(LEN(TRIM(P79))=0,Q79="X",Q79&lt;&gt;"O"),"",IFERROR(INDEX(고객법인일정파일!$F$4:$F$192,MATCH(P79,고객법인일정파일!$C$4:$C$192,0)),""))</f>
        <v/>
      </c>
      <c r="S79" s="12" t="str">
        <f>IF(OR(LEN(TRIM(P79))=0,Q79="X",Q79&lt;&gt;"O"),"",IFERROR(INDEX(고객법인일정파일!$H$4:$H$192,MATCH(P79,고객법인일정파일!$C$4:$C$192,0)),""))</f>
        <v/>
      </c>
    </row>
    <row r="80" spans="2:21">
      <c r="F80" s="30"/>
      <c r="O80" s="11" t="str">
        <f>IF(IF(OR(NOT(ISBLANK(고객법인일정파일!B80)),ISBLANK(고객법인일정파일!C80),고객법인일정파일!C80="Total"),"",IF(ISNUMBER(FIND("-",고객법인일정파일!C80)),LEFT(고객법인일정파일!C80,FIND("-",고객법인일정파일!C80)-1),IF(ISNUMBER(FIND(" ",고객법인일정파일!C80)),LEFT(고객법인일정파일!C80,FIND(" ",고객법인일정파일!C80)-1),고객법인일정파일!C80)))="한총","sec",IF(OR(NOT(ISBLANK(고객법인일정파일!B80)),ISBLANK(고객법인일정파일!C80),고객법인일정파일!C80="Total"),"",IF(ISNUMBER(FIND("-",고객법인일정파일!C80)),LEFT(고객법인일정파일!C80,FIND("-",고객법인일정파일!C80)-1),IF(ISNUMBER(FIND(" ",고객법인일정파일!C80)),LEFT(고객법인일정파일!C80,FIND(" ",고객법인일정파일!C80)-1),고객법인일정파일!C80))))</f>
        <v/>
      </c>
      <c r="P80" s="11" t="str">
        <f>IF(ISBLANK(태깅기획site_code!F80),"",IF(COUNTIF(고객법인일정파일!$C$4:$C$200,태깅기획site_code!D80&amp;"-"&amp;UPPER(IF(ISNUMBER(FIND("_",태깅기획site_code!F80)),LEFT(태깅기획site_code!F80,FIND("_",태깅기획site_code!F80)-1),태깅기획site_code!F80)))&gt;0,태깅기획site_code!D80&amp;"-"&amp;UPPER(IF(ISNUMBER(FIND("_",태깅기획site_code!F80)),LEFT(태깅기획site_code!F80,FIND("_",태깅기획site_code!F80)-1),태깅기획site_code!F80)),IF(COUNTIF(고객법인일정파일!$C$4:$C$200,태깅기획site_code!D80&amp;" ("&amp;PROPER(LEFT(태깅기획site_code!F80,FIND("_",태깅기획site_code!F80)-1))&amp;"_"&amp;UPPER(MID(태깅기획site_code!F80,FIND("_",태깅기획site_code!F80)+1,20))&amp;")")&gt;0,태깅기획site_code!D80&amp;" ("&amp;PROPER(LEFT(태깅기획site_code!F80,FIND("_",태깅기획site_code!F80)-1))&amp;"_"&amp;UPPER(MID(태깅기획site_code!F80,FIND("_",태깅기획site_code!F80)+1,20))&amp;")",IF(COUNTIF(고객법인일정파일!$C$4:$C$200,태깅기획site_code!D80)&gt;0,태깅기획site_code!D80,IF(ISNUMBER(FIND("_",태깅기획site_code!F80)),"",IFERROR(INDEX(고객법인일정파일!$C$4:$C$200,MATCH(태깅기획site_code!D80,$O$4:$O$200,0)),IF(ISNUMBER(FIND("-",태깅기획site_code!D80)),IFERROR(INDEX(고객법인일정파일!$C$4:$C$200,MATCH(LEFT(태깅기획site_code!D80,FIND("-",태깅기획site_code!D80)-1),고객법인일정파일!$C$4:$C$200,0)),""),IF(태깅기획site_code!D80="SCA",IF(RIGHT(태깅기획site_code!F80,3)="_fr",IFERROR(INDEX(고객법인일정파일!$C$4:$C$200,MATCH("SEWA (Africa_FR)",고객법인일정파일!$C$4:$C$200,0)),""),IF(RIGHT(태깅기획site_code!F80,3)="_en",IFERROR(INDEX(고객법인일정파일!$C$4:$C$200,MATCH("SEWA (Africa_EN)",고객법인일정파일!$C$4:$C$200,0)),""),"")),""))))))))</f>
        <v>XADNU</v>
      </c>
      <c r="Q80" s="11" t="str">
        <f>IF(LEN(TRIM(P80))=0,"",IFERROR(INDEX(고객법인일정파일!$E$4:$E$192,MATCH(P80,고객법인일정파일!$C$4:$C$192,0)),""))</f>
        <v>X</v>
      </c>
      <c r="R80" s="12" t="str">
        <f>IF(OR(LEN(TRIM(P80))=0,Q80="X",Q80&lt;&gt;"O"),"",IFERROR(INDEX(고객법인일정파일!$F$4:$F$192,MATCH(P80,고객법인일정파일!$C$4:$C$192,0)),""))</f>
        <v/>
      </c>
      <c r="S80" s="12" t="str">
        <f>IF(OR(LEN(TRIM(P80))=0,Q80="X",Q80&lt;&gt;"O"),"",IFERROR(INDEX(고객법인일정파일!$H$4:$H$192,MATCH(P80,고객법인일정파일!$C$4:$C$192,0)),""))</f>
        <v/>
      </c>
    </row>
    <row r="81" spans="6:19">
      <c r="F81" s="30"/>
      <c r="O81" s="11" t="str">
        <f>IF(IF(OR(NOT(ISBLANK(고객법인일정파일!B81)),ISBLANK(고객법인일정파일!C81),고객법인일정파일!C81="Total"),"",IF(ISNUMBER(FIND("-",고객법인일정파일!C81)),LEFT(고객법인일정파일!C81,FIND("-",고객법인일정파일!C81)-1),IF(ISNUMBER(FIND(" ",고객법인일정파일!C81)),LEFT(고객법인일정파일!C81,FIND(" ",고객법인일정파일!C81)-1),고객법인일정파일!C81)))="한총","sec",IF(OR(NOT(ISBLANK(고객법인일정파일!B81)),ISBLANK(고객법인일정파일!C81),고객법인일정파일!C81="Total"),"",IF(ISNUMBER(FIND("-",고객법인일정파일!C81)),LEFT(고객법인일정파일!C81,FIND("-",고객법인일정파일!C81)-1),IF(ISNUMBER(FIND(" ",고객법인일정파일!C81)),LEFT(고객법인일정파일!C81,FIND(" ",고객법인일정파일!C81)-1),고객법인일정파일!C81))))</f>
        <v/>
      </c>
      <c r="P81" s="11" t="str">
        <f>IF(ISBLANK(태깅기획site_code!F81),"",IF(COUNTIF(고객법인일정파일!$C$4:$C$200,태깅기획site_code!D81&amp;"-"&amp;UPPER(IF(ISNUMBER(FIND("_",태깅기획site_code!F81)),LEFT(태깅기획site_code!F81,FIND("_",태깅기획site_code!F81)-1),태깅기획site_code!F81)))&gt;0,태깅기획site_code!D81&amp;"-"&amp;UPPER(IF(ISNUMBER(FIND("_",태깅기획site_code!F81)),LEFT(태깅기획site_code!F81,FIND("_",태깅기획site_code!F81)-1),태깅기획site_code!F81)),IF(COUNTIF(고객법인일정파일!$C$4:$C$200,태깅기획site_code!D81&amp;" ("&amp;PROPER(LEFT(태깅기획site_code!F81,FIND("_",태깅기획site_code!F81)-1))&amp;"_"&amp;UPPER(MID(태깅기획site_code!F81,FIND("_",태깅기획site_code!F81)+1,20))&amp;")")&gt;0,태깅기획site_code!D81&amp;" ("&amp;PROPER(LEFT(태깅기획site_code!F81,FIND("_",태깅기획site_code!F81)-1))&amp;"_"&amp;UPPER(MID(태깅기획site_code!F81,FIND("_",태깅기획site_code!F81)+1,20))&amp;")",IF(COUNTIF(고객법인일정파일!$C$4:$C$200,태깅기획site_code!D81)&gt;0,태깅기획site_code!D81,IF(ISNUMBER(FIND("_",태깅기획site_code!F81)),"",IFERROR(INDEX(고객법인일정파일!$C$4:$C$200,MATCH(태깅기획site_code!D81,$O$4:$O$200,0)),IF(ISNUMBER(FIND("-",태깅기획site_code!D81)),IFERROR(INDEX(고객법인일정파일!$C$4:$C$200,MATCH(LEFT(태깅기획site_code!D81,FIND("-",태깅기획site_code!D81)-1),고객법인일정파일!$C$4:$C$200,0)),""),IF(태깅기획site_code!D81="SCA",IF(RIGHT(태깅기획site_code!F81,3)="_fr",IFERROR(INDEX(고객법인일정파일!$C$4:$C$200,MATCH("SEWA (Africa_FR)",고객법인일정파일!$C$4:$C$200,0)),""),IF(RIGHT(태깅기획site_code!F81,3)="_en",IFERROR(INDEX(고객법인일정파일!$C$4:$C$200,MATCH("SEWA (Africa_EN)",고객법인일정파일!$C$4:$C$200,0)),""),"")),""))))))))</f>
        <v/>
      </c>
      <c r="Q81" s="11" t="str">
        <f>IF(LEN(TRIM(P81))=0,"",IFERROR(INDEX(고객법인일정파일!$E$4:$E$192,MATCH(P81,고객법인일정파일!$C$4:$C$192,0)),""))</f>
        <v/>
      </c>
      <c r="R81" s="12" t="str">
        <f>IF(OR(LEN(TRIM(P81))=0,Q81="X",Q81&lt;&gt;"O"),"",IFERROR(INDEX(고객법인일정파일!$F$4:$F$192,MATCH(P81,고객법인일정파일!$C$4:$C$192,0)),""))</f>
        <v/>
      </c>
      <c r="S81" s="12" t="str">
        <f>IF(OR(LEN(TRIM(P81))=0,Q81="X",Q81&lt;&gt;"O"),"",IFERROR(INDEX(고객법인일정파일!$H$4:$H$192,MATCH(P81,고객법인일정파일!$C$4:$C$192,0)),""))</f>
        <v/>
      </c>
    </row>
    <row r="82" spans="6:19">
      <c r="F82" s="30"/>
      <c r="O82" s="11" t="str">
        <f>IF(IF(OR(NOT(ISBLANK(고객법인일정파일!B82)),ISBLANK(고객법인일정파일!C82),고객법인일정파일!C82="Total"),"",IF(ISNUMBER(FIND("-",고객법인일정파일!C82)),LEFT(고객법인일정파일!C82,FIND("-",고객법인일정파일!C82)-1),IF(ISNUMBER(FIND(" ",고객법인일정파일!C82)),LEFT(고객법인일정파일!C82,FIND(" ",고객법인일정파일!C82)-1),고객법인일정파일!C82)))="한총","sec",IF(OR(NOT(ISBLANK(고객법인일정파일!B82)),ISBLANK(고객법인일정파일!C82),고객법인일정파일!C82="Total"),"",IF(ISNUMBER(FIND("-",고객법인일정파일!C82)),LEFT(고객법인일정파일!C82,FIND("-",고객법인일정파일!C82)-1),IF(ISNUMBER(FIND(" ",고객법인일정파일!C82)),LEFT(고객법인일정파일!C82,FIND(" ",고객법인일정파일!C82)-1),고객법인일정파일!C82))))</f>
        <v/>
      </c>
      <c r="P82" s="11" t="str">
        <f>IF(ISBLANK(태깅기획site_code!F82),"",IF(COUNTIF(고객법인일정파일!$C$4:$C$200,태깅기획site_code!D82&amp;"-"&amp;UPPER(IF(ISNUMBER(FIND("_",태깅기획site_code!F82)),LEFT(태깅기획site_code!F82,FIND("_",태깅기획site_code!F82)-1),태깅기획site_code!F82)))&gt;0,태깅기획site_code!D82&amp;"-"&amp;UPPER(IF(ISNUMBER(FIND("_",태깅기획site_code!F82)),LEFT(태깅기획site_code!F82,FIND("_",태깅기획site_code!F82)-1),태깅기획site_code!F82)),IF(COUNTIF(고객법인일정파일!$C$4:$C$200,태깅기획site_code!D82&amp;" ("&amp;PROPER(LEFT(태깅기획site_code!F82,FIND("_",태깅기획site_code!F82)-1))&amp;"_"&amp;UPPER(MID(태깅기획site_code!F82,FIND("_",태깅기획site_code!F82)+1,20))&amp;")")&gt;0,태깅기획site_code!D82&amp;" ("&amp;PROPER(LEFT(태깅기획site_code!F82,FIND("_",태깅기획site_code!F82)-1))&amp;"_"&amp;UPPER(MID(태깅기획site_code!F82,FIND("_",태깅기획site_code!F82)+1,20))&amp;")",IF(COUNTIF(고객법인일정파일!$C$4:$C$200,태깅기획site_code!D82)&gt;0,태깅기획site_code!D82,IF(ISNUMBER(FIND("_",태깅기획site_code!F82)),"",IFERROR(INDEX(고객법인일정파일!$C$4:$C$200,MATCH(태깅기획site_code!D82,$O$4:$O$200,0)),IF(ISNUMBER(FIND("-",태깅기획site_code!D82)),IFERROR(INDEX(고객법인일정파일!$C$4:$C$200,MATCH(LEFT(태깅기획site_code!D82,FIND("-",태깅기획site_code!D82)-1),고객법인일정파일!$C$4:$C$200,0)),""),IF(태깅기획site_code!D82="SCA",IF(RIGHT(태깅기획site_code!F82,3)="_fr",IFERROR(INDEX(고객법인일정파일!$C$4:$C$200,MATCH("SEWA (Africa_FR)",고객법인일정파일!$C$4:$C$200,0)),""),IF(RIGHT(태깅기획site_code!F82,3)="_en",IFERROR(INDEX(고객법인일정파일!$C$4:$C$200,MATCH("SEWA (Africa_EN)",고객법인일정파일!$C$4:$C$200,0)),""),"")),""))))))))</f>
        <v>XADXP</v>
      </c>
      <c r="Q82" s="11" t="str">
        <f>IF(LEN(TRIM(P82))=0,"",IFERROR(INDEX(고객법인일정파일!$E$4:$E$192,MATCH(P82,고객법인일정파일!$C$4:$C$192,0)),""))</f>
        <v>X</v>
      </c>
      <c r="R82" s="12" t="str">
        <f>IF(OR(LEN(TRIM(P82))=0,Q82="X",Q82&lt;&gt;"O"),"",IFERROR(INDEX(고객법인일정파일!$F$4:$F$192,MATCH(P82,고객법인일정파일!$C$4:$C$192,0)),""))</f>
        <v/>
      </c>
      <c r="S82" s="12" t="str">
        <f>IF(OR(LEN(TRIM(P82))=0,Q82="X",Q82&lt;&gt;"O"),"",IFERROR(INDEX(고객법인일정파일!$H$4:$H$192,MATCH(P82,고객법인일정파일!$C$4:$C$192,0)),""))</f>
        <v/>
      </c>
    </row>
    <row r="83" spans="6:19">
      <c r="F83" s="30"/>
      <c r="O83" s="11" t="str">
        <f>IF(IF(OR(NOT(ISBLANK(고객법인일정파일!B83)),ISBLANK(고객법인일정파일!C83),고객법인일정파일!C83="Total"),"",IF(ISNUMBER(FIND("-",고객법인일정파일!C83)),LEFT(고객법인일정파일!C83,FIND("-",고객법인일정파일!C83)-1),IF(ISNUMBER(FIND(" ",고객법인일정파일!C83)),LEFT(고객법인일정파일!C83,FIND(" ",고객법인일정파일!C83)-1),고객법인일정파일!C83)))="한총","sec",IF(OR(NOT(ISBLANK(고객법인일정파일!B83)),ISBLANK(고객법인일정파일!C83),고객법인일정파일!C83="Total"),"",IF(ISNUMBER(FIND("-",고객법인일정파일!C83)),LEFT(고객법인일정파일!C83,FIND("-",고객법인일정파일!C83)-1),IF(ISNUMBER(FIND(" ",고객법인일정파일!C83)),LEFT(고객법인일정파일!C83,FIND(" ",고객법인일정파일!C83)-1),고객법인일정파일!C83))))</f>
        <v/>
      </c>
      <c r="P83" s="11" t="str">
        <f>IF(ISBLANK(태깅기획site_code!F83),"",IF(COUNTIF(고객법인일정파일!$C$4:$C$200,태깅기획site_code!D83&amp;"-"&amp;UPPER(IF(ISNUMBER(FIND("_",태깅기획site_code!F83)),LEFT(태깅기획site_code!F83,FIND("_",태깅기획site_code!F83)-1),태깅기획site_code!F83)))&gt;0,태깅기획site_code!D83&amp;"-"&amp;UPPER(IF(ISNUMBER(FIND("_",태깅기획site_code!F83)),LEFT(태깅기획site_code!F83,FIND("_",태깅기획site_code!F83)-1),태깅기획site_code!F83)),IF(COUNTIF(고객법인일정파일!$C$4:$C$200,태깅기획site_code!D83&amp;" ("&amp;PROPER(LEFT(태깅기획site_code!F83,FIND("_",태깅기획site_code!F83)-1))&amp;"_"&amp;UPPER(MID(태깅기획site_code!F83,FIND("_",태깅기획site_code!F83)+1,20))&amp;")")&gt;0,태깅기획site_code!D83&amp;" ("&amp;PROPER(LEFT(태깅기획site_code!F83,FIND("_",태깅기획site_code!F83)-1))&amp;"_"&amp;UPPER(MID(태깅기획site_code!F83,FIND("_",태깅기획site_code!F83)+1,20))&amp;")",IF(COUNTIF(고객법인일정파일!$C$4:$C$200,태깅기획site_code!D83)&gt;0,태깅기획site_code!D83,IF(ISNUMBER(FIND("_",태깅기획site_code!F83)),"",IFERROR(INDEX(고객법인일정파일!$C$4:$C$200,MATCH(태깅기획site_code!D83,$O$4:$O$200,0)),IF(ISNUMBER(FIND("-",태깅기획site_code!D83)),IFERROR(INDEX(고객법인일정파일!$C$4:$C$200,MATCH(LEFT(태깅기획site_code!D83,FIND("-",태깅기획site_code!D83)-1),고객법인일정파일!$C$4:$C$200,0)),""),IF(태깅기획site_code!D83="SCA",IF(RIGHT(태깅기획site_code!F83,3)="_fr",IFERROR(INDEX(고객법인일정파일!$C$4:$C$200,MATCH("SEWA (Africa_FR)",고객법인일정파일!$C$4:$C$200,0)),""),IF(RIGHT(태깅기획site_code!F83,3)="_en",IFERROR(INDEX(고객법인일정파일!$C$4:$C$200,MATCH("SEWA (Africa_EN)",고객법인일정파일!$C$4:$C$200,0)),""),"")),""))))))))</f>
        <v>XADUD</v>
      </c>
      <c r="Q83" s="11" t="str">
        <f>IF(LEN(TRIM(P83))=0,"",IFERROR(INDEX(고객법인일정파일!$E$4:$E$192,MATCH(P83,고객법인일정파일!$C$4:$C$192,0)),""))</f>
        <v>X</v>
      </c>
      <c r="R83" s="12" t="str">
        <f>IF(OR(LEN(TRIM(P83))=0,Q83="X",Q83&lt;&gt;"O"),"",IFERROR(INDEX(고객법인일정파일!$F$4:$F$192,MATCH(P83,고객법인일정파일!$C$4:$C$192,0)),""))</f>
        <v/>
      </c>
      <c r="S83" s="12" t="str">
        <f>IF(OR(LEN(TRIM(P83))=0,Q83="X",Q83&lt;&gt;"O"),"",IFERROR(INDEX(고객법인일정파일!$H$4:$H$192,MATCH(P83,고객법인일정파일!$C$4:$C$192,0)),""))</f>
        <v/>
      </c>
    </row>
    <row r="84" spans="6:19">
      <c r="F84" s="30"/>
      <c r="O84" s="11" t="str">
        <f>IF(IF(OR(NOT(ISBLANK(고객법인일정파일!B84)),ISBLANK(고객법인일정파일!C84),고객법인일정파일!C84="Total"),"",IF(ISNUMBER(FIND("-",고객법인일정파일!C84)),LEFT(고객법인일정파일!C84,FIND("-",고객법인일정파일!C84)-1),IF(ISNUMBER(FIND(" ",고객법인일정파일!C84)),LEFT(고객법인일정파일!C84,FIND(" ",고객법인일정파일!C84)-1),고객법인일정파일!C84)))="한총","sec",IF(OR(NOT(ISBLANK(고객법인일정파일!B84)),ISBLANK(고객법인일정파일!C84),고객법인일정파일!C84="Total"),"",IF(ISNUMBER(FIND("-",고객법인일정파일!C84)),LEFT(고객법인일정파일!C84,FIND("-",고객법인일정파일!C84)-1),IF(ISNUMBER(FIND(" ",고객법인일정파일!C84)),LEFT(고객법인일정파일!C84,FIND(" ",고객법인일정파일!C84)-1),고객법인일정파일!C84))))</f>
        <v/>
      </c>
      <c r="P84" s="11" t="str">
        <f>IF(ISBLANK(태깅기획site_code!F84),"",IF(COUNTIF(고객법인일정파일!$C$4:$C$200,태깅기획site_code!D84&amp;"-"&amp;UPPER(IF(ISNUMBER(FIND("_",태깅기획site_code!F84)),LEFT(태깅기획site_code!F84,FIND("_",태깅기획site_code!F84)-1),태깅기획site_code!F84)))&gt;0,태깅기획site_code!D84&amp;"-"&amp;UPPER(IF(ISNUMBER(FIND("_",태깅기획site_code!F84)),LEFT(태깅기획site_code!F84,FIND("_",태깅기획site_code!F84)-1),태깅기획site_code!F84)),IF(COUNTIF(고객법인일정파일!$C$4:$C$200,태깅기획site_code!D84&amp;" ("&amp;PROPER(LEFT(태깅기획site_code!F84,FIND("_",태깅기획site_code!F84)-1))&amp;"_"&amp;UPPER(MID(태깅기획site_code!F84,FIND("_",태깅기획site_code!F84)+1,20))&amp;")")&gt;0,태깅기획site_code!D84&amp;" ("&amp;PROPER(LEFT(태깅기획site_code!F84,FIND("_",태깅기획site_code!F84)-1))&amp;"_"&amp;UPPER(MID(태깅기획site_code!F84,FIND("_",태깅기획site_code!F84)+1,20))&amp;")",IF(COUNTIF(고객법인일정파일!$C$4:$C$200,태깅기획site_code!D84)&gt;0,태깅기획site_code!D84,IF(ISNUMBER(FIND("_",태깅기획site_code!F84)),"",IFERROR(INDEX(고객법인일정파일!$C$4:$C$200,MATCH(태깅기획site_code!D84,$O$4:$O$200,0)),IF(ISNUMBER(FIND("-",태깅기획site_code!D84)),IFERROR(INDEX(고객법인일정파일!$C$4:$C$200,MATCH(LEFT(태깅기획site_code!D84,FIND("-",태깅기획site_code!D84)-1),고객법인일정파일!$C$4:$C$200,0)),""),IF(태깅기획site_code!D84="SCA",IF(RIGHT(태깅기획site_code!F84,3)="_fr",IFERROR(INDEX(고객법인일정파일!$C$4:$C$200,MATCH("SEWA (Africa_FR)",고객법인일정파일!$C$4:$C$200,0)),""),IF(RIGHT(태깅기획site_code!F84,3)="_en",IFERROR(INDEX(고객법인일정파일!$C$4:$C$200,MATCH("SEWA (Africa_EN)",고객법인일정파일!$C$4:$C$200,0)),""),"")),""))))))))</f>
        <v>XADCZ</v>
      </c>
      <c r="Q84" s="11" t="str">
        <f>IF(LEN(TRIM(P84))=0,"",IFERROR(INDEX(고객법인일정파일!$E$4:$E$192,MATCH(P84,고객법인일정파일!$C$4:$C$192,0)),""))</f>
        <v>O</v>
      </c>
      <c r="R84" s="12">
        <f>IF(OR(LEN(TRIM(P84))=0,Q84="X",Q84&lt;&gt;"O"),"",IFERROR(INDEX(고객법인일정파일!$F$4:$F$192,MATCH(P84,고객법인일정파일!$C$4:$C$192,0)),""))</f>
        <v>46054</v>
      </c>
      <c r="S84" s="12">
        <f>IF(OR(LEN(TRIM(P84))=0,Q84="X",Q84&lt;&gt;"O"),"",IFERROR(INDEX(고객법인일정파일!$H$4:$H$192,MATCH(P84,고객법인일정파일!$C$4:$C$192,0)),""))</f>
        <v>46063</v>
      </c>
    </row>
    <row r="85" spans="6:19">
      <c r="F85" s="30"/>
      <c r="O85" s="11" t="str">
        <f>IF(IF(OR(NOT(ISBLANK(고객법인일정파일!B85)),ISBLANK(고객법인일정파일!C85),고객법인일정파일!C85="Total"),"",IF(ISNUMBER(FIND("-",고객법인일정파일!C85)),LEFT(고객법인일정파일!C85,FIND("-",고객법인일정파일!C85)-1),IF(ISNUMBER(FIND(" ",고객법인일정파일!C85)),LEFT(고객법인일정파일!C85,FIND(" ",고객법인일정파일!C85)-1),고객법인일정파일!C85)))="한총","sec",IF(OR(NOT(ISBLANK(고객법인일정파일!B85)),ISBLANK(고객법인일정파일!C85),고객법인일정파일!C85="Total"),"",IF(ISNUMBER(FIND("-",고객법인일정파일!C85)),LEFT(고객법인일정파일!C85,FIND("-",고객법인일정파일!C85)-1),IF(ISNUMBER(FIND(" ",고객법인일정파일!C85)),LEFT(고객법인일정파일!C85,FIND(" ",고객법인일정파일!C85)-1),고객법인일정파일!C85))))</f>
        <v/>
      </c>
      <c r="P85" s="11" t="str">
        <f>IF(ISBLANK(태깅기획site_code!F85),"",IF(COUNTIF(고객법인일정파일!$C$4:$C$200,태깅기획site_code!D85&amp;"-"&amp;UPPER(IF(ISNUMBER(FIND("_",태깅기획site_code!F85)),LEFT(태깅기획site_code!F85,FIND("_",태깅기획site_code!F85)-1),태깅기획site_code!F85)))&gt;0,태깅기획site_code!D85&amp;"-"&amp;UPPER(IF(ISNUMBER(FIND("_",태깅기획site_code!F85)),LEFT(태깅기획site_code!F85,FIND("_",태깅기획site_code!F85)-1),태깅기획site_code!F85)),IF(COUNTIF(고객법인일정파일!$C$4:$C$200,태깅기획site_code!D85&amp;" ("&amp;PROPER(LEFT(태깅기획site_code!F85,FIND("_",태깅기획site_code!F85)-1))&amp;"_"&amp;UPPER(MID(태깅기획site_code!F85,FIND("_",태깅기획site_code!F85)+1,20))&amp;")")&gt;0,태깅기획site_code!D85&amp;" ("&amp;PROPER(LEFT(태깅기획site_code!F85,FIND("_",태깅기획site_code!F85)-1))&amp;"_"&amp;UPPER(MID(태깅기획site_code!F85,FIND("_",태깅기획site_code!F85)+1,20))&amp;")",IF(COUNTIF(고객법인일정파일!$C$4:$C$200,태깅기획site_code!D85)&gt;0,태깅기획site_code!D85,IF(ISNUMBER(FIND("_",태깅기획site_code!F85)),"",IFERROR(INDEX(고객법인일정파일!$C$4:$C$200,MATCH(태깅기획site_code!D85,$O$4:$O$200,0)),IF(ISNUMBER(FIND("-",태깅기획site_code!D85)),IFERROR(INDEX(고객법인일정파일!$C$4:$C$200,MATCH(LEFT(태깅기획site_code!D85,FIND("-",태깅기획site_code!D85)-1),고객법인일정파일!$C$4:$C$200,0)),""),IF(태깅기획site_code!D85="SCA",IF(RIGHT(태깅기획site_code!F85,3)="_fr",IFERROR(INDEX(고객법인일정파일!$C$4:$C$200,MATCH("SEWA (Africa_FR)",고객법인일정파일!$C$4:$C$200,0)),""),IF(RIGHT(태깅기획site_code!F85,3)="_en",IFERROR(INDEX(고객법인일정파일!$C$4:$C$200,MATCH("SEWA (Africa_EN)",고객법인일정파일!$C$4:$C$200,0)),""),"")),""))))))))</f>
        <v>TXAD-TH</v>
      </c>
      <c r="Q85" s="11" t="str">
        <f>IF(LEN(TRIM(P85))=0,"",IFERROR(INDEX(고객법인일정파일!$E$4:$E$192,MATCH(P85,고객법인일정파일!$C$4:$C$192,0)),""))</f>
        <v>O</v>
      </c>
      <c r="R85" s="12">
        <f>IF(OR(LEN(TRIM(P85))=0,Q85="X",Q85&lt;&gt;"O"),"",IFERROR(INDEX(고객법인일정파일!$F$4:$F$192,MATCH(P85,고객법인일정파일!$C$4:$C$192,0)),""))</f>
        <v>46243</v>
      </c>
      <c r="S85" s="12">
        <f>IF(OR(LEN(TRIM(P85))=0,Q85="X",Q85&lt;&gt;"O"),"",IFERROR(INDEX(고객법인일정파일!$H$4:$H$192,MATCH(P85,고객법인일정파일!$C$4:$C$192,0)),""))</f>
        <v>46246</v>
      </c>
    </row>
    <row r="86" spans="6:19">
      <c r="F86" s="30"/>
      <c r="O86" s="11" t="str">
        <f>IF(IF(OR(NOT(ISBLANK(고객법인일정파일!B86)),ISBLANK(고객법인일정파일!C86),고객법인일정파일!C86="Total"),"",IF(ISNUMBER(FIND("-",고객법인일정파일!C86)),LEFT(고객법인일정파일!C86,FIND("-",고객법인일정파일!C86)-1),IF(ISNUMBER(FIND(" ",고객법인일정파일!C86)),LEFT(고객법인일정파일!C86,FIND(" ",고객법인일정파일!C86)-1),고객법인일정파일!C86)))="한총","sec",IF(OR(NOT(ISBLANK(고객법인일정파일!B86)),ISBLANK(고객법인일정파일!C86),고객법인일정파일!C86="Total"),"",IF(ISNUMBER(FIND("-",고객법인일정파일!C86)),LEFT(고객법인일정파일!C86,FIND("-",고객법인일정파일!C86)-1),IF(ISNUMBER(FIND(" ",고객법인일정파일!C86)),LEFT(고객법인일정파일!C86,FIND(" ",고객법인일정파일!C86)-1),고객법인일정파일!C86))))</f>
        <v/>
      </c>
      <c r="P86" s="11" t="str">
        <f>IF(ISBLANK(태깅기획site_code!F86),"",IF(COUNTIF(고객법인일정파일!$C$4:$C$200,태깅기획site_code!D86&amp;"-"&amp;UPPER(IF(ISNUMBER(FIND("_",태깅기획site_code!F86)),LEFT(태깅기획site_code!F86,FIND("_",태깅기획site_code!F86)-1),태깅기획site_code!F86)))&gt;0,태깅기획site_code!D86&amp;"-"&amp;UPPER(IF(ISNUMBER(FIND("_",태깅기획site_code!F86)),LEFT(태깅기획site_code!F86,FIND("_",태깅기획site_code!F86)-1),태깅기획site_code!F86)),IF(COUNTIF(고객법인일정파일!$C$4:$C$200,태깅기획site_code!D86&amp;" ("&amp;PROPER(LEFT(태깅기획site_code!F86,FIND("_",태깅기획site_code!F86)-1))&amp;"_"&amp;UPPER(MID(태깅기획site_code!F86,FIND("_",태깅기획site_code!F86)+1,20))&amp;")")&gt;0,태깅기획site_code!D86&amp;" ("&amp;PROPER(LEFT(태깅기획site_code!F86,FIND("_",태깅기획site_code!F86)-1))&amp;"_"&amp;UPPER(MID(태깅기획site_code!F86,FIND("_",태깅기획site_code!F86)+1,20))&amp;")",IF(COUNTIF(고객법인일정파일!$C$4:$C$200,태깅기획site_code!D86)&gt;0,태깅기획site_code!D86,IF(ISNUMBER(FIND("_",태깅기획site_code!F86)),"",IFERROR(INDEX(고객법인일정파일!$C$4:$C$200,MATCH(태깅기획site_code!D86,$O$4:$O$200,0)),IF(ISNUMBER(FIND("-",태깅기획site_code!D86)),IFERROR(INDEX(고객법인일정파일!$C$4:$C$200,MATCH(LEFT(태깅기획site_code!D86,FIND("-",태깅기획site_code!D86)-1),고객법인일정파일!$C$4:$C$200,0)),""),IF(태깅기획site_code!D86="SCA",IF(RIGHT(태깅기획site_code!F86,3)="_fr",IFERROR(INDEX(고객법인일정파일!$C$4:$C$200,MATCH("SEWA (Africa_FR)",고객법인일정파일!$C$4:$C$200,0)),""),IF(RIGHT(태깅기획site_code!F86,3)="_en",IFERROR(INDEX(고객법인일정파일!$C$4:$C$200,MATCH("SEWA (Africa_EN)",고객법인일정파일!$C$4:$C$200,0)),""),"")),""))))))))</f>
        <v>XADTK</v>
      </c>
      <c r="Q86" s="11" t="str">
        <f>IF(LEN(TRIM(P86))=0,"",IFERROR(INDEX(고객법인일정파일!$E$4:$E$192,MATCH(P86,고객법인일정파일!$C$4:$C$192,0)),""))</f>
        <v>O</v>
      </c>
      <c r="R86" s="12">
        <f>IF(OR(LEN(TRIM(P86))=0,Q86="X",Q86&lt;&gt;"O"),"",IFERROR(INDEX(고객법인일정파일!$F$4:$F$192,MATCH(P86,고객법인일정파일!$C$4:$C$192,0)),""))</f>
        <v>46054</v>
      </c>
      <c r="S86" s="12">
        <f>IF(OR(LEN(TRIM(P86))=0,Q86="X",Q86&lt;&gt;"O"),"",IFERROR(INDEX(고객법인일정파일!$H$4:$H$192,MATCH(P86,고객법인일정파일!$C$4:$C$192,0)),""))</f>
        <v>46063</v>
      </c>
    </row>
    <row r="87" spans="6:19">
      <c r="F87" s="30"/>
      <c r="O87" s="11" t="str">
        <f>IF(IF(OR(NOT(ISBLANK(고객법인일정파일!B87)),ISBLANK(고객법인일정파일!C87),고객법인일정파일!C87="Total"),"",IF(ISNUMBER(FIND("-",고객법인일정파일!C87)),LEFT(고객법인일정파일!C87,FIND("-",고객법인일정파일!C87)-1),IF(ISNUMBER(FIND(" ",고객법인일정파일!C87)),LEFT(고객법인일정파일!C87,FIND(" ",고객법인일정파일!C87)-1),고객법인일정파일!C87)))="한총","sec",IF(OR(NOT(ISBLANK(고객법인일정파일!B87)),ISBLANK(고객법인일정파일!C87),고객법인일정파일!C87="Total"),"",IF(ISNUMBER(FIND("-",고객법인일정파일!C87)),LEFT(고객법인일정파일!C87,FIND("-",고객법인일정파일!C87)-1),IF(ISNUMBER(FIND(" ",고객법인일정파일!C87)),LEFT(고객법인일정파일!C87,FIND(" ",고객법인일정파일!C87)-1),고객법인일정파일!C87))))</f>
        <v/>
      </c>
      <c r="P87" s="11" t="str">
        <f>IF(ISBLANK(태깅기획site_code!F87),"",IF(COUNTIF(고객법인일정파일!$C$4:$C$200,태깅기획site_code!D87&amp;"-"&amp;UPPER(IF(ISNUMBER(FIND("_",태깅기획site_code!F87)),LEFT(태깅기획site_code!F87,FIND("_",태깅기획site_code!F87)-1),태깅기획site_code!F87)))&gt;0,태깅기획site_code!D87&amp;"-"&amp;UPPER(IF(ISNUMBER(FIND("_",태깅기획site_code!F87)),LEFT(태깅기획site_code!F87,FIND("_",태깅기획site_code!F87)-1),태깅기획site_code!F87)),IF(COUNTIF(고객법인일정파일!$C$4:$C$200,태깅기획site_code!D87&amp;" ("&amp;PROPER(LEFT(태깅기획site_code!F87,FIND("_",태깅기획site_code!F87)-1))&amp;"_"&amp;UPPER(MID(태깅기획site_code!F87,FIND("_",태깅기획site_code!F87)+1,20))&amp;")")&gt;0,태깅기획site_code!D87&amp;" ("&amp;PROPER(LEFT(태깅기획site_code!F87,FIND("_",태깅기획site_code!F87)-1))&amp;"_"&amp;UPPER(MID(태깅기획site_code!F87,FIND("_",태깅기획site_code!F87)+1,20))&amp;")",IF(COUNTIF(고객법인일정파일!$C$4:$C$200,태깅기획site_code!D87)&gt;0,태깅기획site_code!D87,IF(ISNUMBER(FIND("_",태깅기획site_code!F87)),"",IFERROR(INDEX(고객법인일정파일!$C$4:$C$200,MATCH(태깅기획site_code!D87,$O$4:$O$200,0)),IF(ISNUMBER(FIND("-",태깅기획site_code!D87)),IFERROR(INDEX(고객법인일정파일!$C$4:$C$200,MATCH(LEFT(태깅기획site_code!D87,FIND("-",태깅기획site_code!D87)-1),고객법인일정파일!$C$4:$C$200,0)),""),IF(태깅기획site_code!D87="SCA",IF(RIGHT(태깅기획site_code!F87,3)="_fr",IFERROR(INDEX(고객법인일정파일!$C$4:$C$200,MATCH("SEWA (Africa_FR)",고객법인일정파일!$C$4:$C$200,0)),""),IF(RIGHT(태깅기획site_code!F87,3)="_en",IFERROR(INDEX(고객법인일정파일!$C$4:$C$200,MATCH("SEWA (Africa_EN)",고객법인일정파일!$C$4:$C$200,0)),""),"")),""))))))))</f>
        <v>XADT</v>
      </c>
      <c r="Q87" s="11" t="str">
        <f>IF(LEN(TRIM(P87))=0,"",IFERROR(INDEX(고객법인일정파일!$E$4:$E$192,MATCH(P87,고객법인일정파일!$C$4:$C$192,0)),""))</f>
        <v>O</v>
      </c>
      <c r="R87" s="12">
        <f>IF(OR(LEN(TRIM(P87))=0,Q87="X",Q87&lt;&gt;"O"),"",IFERROR(INDEX(고객법인일정파일!$F$4:$F$192,MATCH(P87,고객법인일정파일!$C$4:$C$192,0)),""))</f>
        <v>46054</v>
      </c>
      <c r="S87" s="12">
        <f>IF(OR(LEN(TRIM(P87))=0,Q87="X",Q87&lt;&gt;"O"),"",IFERROR(INDEX(고객법인일정파일!$H$4:$H$192,MATCH(P87,고객법인일정파일!$C$4:$C$192,0)),""))</f>
        <v>46063</v>
      </c>
    </row>
    <row r="88" spans="6:19">
      <c r="F88" s="30"/>
      <c r="O88" s="11" t="str">
        <f>IF(IF(OR(NOT(ISBLANK(고객법인일정파일!B88)),ISBLANK(고객법인일정파일!C88),고객법인일정파일!C88="Total"),"",IF(ISNUMBER(FIND("-",고객법인일정파일!C88)),LEFT(고객법인일정파일!C88,FIND("-",고객법인일정파일!C88)-1),IF(ISNUMBER(FIND(" ",고객법인일정파일!C88)),LEFT(고객법인일정파일!C88,FIND(" ",고객법인일정파일!C88)-1),고객법인일정파일!C88)))="한총","sec",IF(OR(NOT(ISBLANK(고객법인일정파일!B88)),ISBLANK(고객법인일정파일!C88),고객법인일정파일!C88="Total"),"",IF(ISNUMBER(FIND("-",고객법인일정파일!C88)),LEFT(고객법인일정파일!C88,FIND("-",고객법인일정파일!C88)-1),IF(ISNUMBER(FIND(" ",고객법인일정파일!C88)),LEFT(고객법인일정파일!C88,FIND(" ",고객법인일정파일!C88)-1),고객법인일정파일!C88))))</f>
        <v/>
      </c>
      <c r="P88" s="11" t="str">
        <f>IF(ISBLANK(태깅기획site_code!F88),"",IF(COUNTIF(고객법인일정파일!$C$4:$C$200,태깅기획site_code!D88&amp;"-"&amp;UPPER(IF(ISNUMBER(FIND("_",태깅기획site_code!F88)),LEFT(태깅기획site_code!F88,FIND("_",태깅기획site_code!F88)-1),태깅기획site_code!F88)))&gt;0,태깅기획site_code!D88&amp;"-"&amp;UPPER(IF(ISNUMBER(FIND("_",태깅기획site_code!F88)),LEFT(태깅기획site_code!F88,FIND("_",태깅기획site_code!F88)-1),태깅기획site_code!F88)),IF(COUNTIF(고객법인일정파일!$C$4:$C$200,태깅기획site_code!D88&amp;" ("&amp;PROPER(LEFT(태깅기획site_code!F88,FIND("_",태깅기획site_code!F88)-1))&amp;"_"&amp;UPPER(MID(태깅기획site_code!F88,FIND("_",태깅기획site_code!F88)+1,20))&amp;")")&gt;0,태깅기획site_code!D88&amp;" ("&amp;PROPER(LEFT(태깅기획site_code!F88,FIND("_",태깅기획site_code!F88)-1))&amp;"_"&amp;UPPER(MID(태깅기획site_code!F88,FIND("_",태깅기획site_code!F88)+1,20))&amp;")",IF(COUNTIF(고객법인일정파일!$C$4:$C$200,태깅기획site_code!D88)&gt;0,태깅기획site_code!D88,IF(ISNUMBER(FIND("_",태깅기획site_code!F88)),"",IFERROR(INDEX(고객법인일정파일!$C$4:$C$200,MATCH(태깅기획site_code!D88,$O$4:$O$200,0)),IF(ISNUMBER(FIND("-",태깅기획site_code!D88)),IFERROR(INDEX(고객법인일정파일!$C$4:$C$200,MATCH(LEFT(태깅기획site_code!D88,FIND("-",태깅기획site_code!D88)-1),고객법인일정파일!$C$4:$C$200,0)),""),IF(태깅기획site_code!D88="SCA",IF(RIGHT(태깅기획site_code!F88,3)="_fr",IFERROR(INDEX(고객법인일정파일!$C$4:$C$200,MATCH("SEWA (Africa_FR)",고객법인일정파일!$C$4:$C$200,0)),""),IF(RIGHT(태깅기획site_code!F88,3)="_en",IFERROR(INDEX(고객법인일정파일!$C$4:$C$200,MATCH("SEWA (Africa_EN)",고객법인일정파일!$C$4:$C$200,0)),""),"")),""))))))))</f>
        <v>XADUC</v>
      </c>
      <c r="Q88" s="11">
        <f>IF(LEN(TRIM(P88))=0,"",IFERROR(INDEX(고객법인일정파일!$E$4:$E$192,MATCH(P88,고객법인일정파일!$C$4:$C$192,0)),""))</f>
        <v>0</v>
      </c>
      <c r="R88" s="12" t="str">
        <f>IF(OR(LEN(TRIM(P88))=0,Q88="X",Q88&lt;&gt;"O"),"",IFERROR(INDEX(고객법인일정파일!$F$4:$F$192,MATCH(P88,고객법인일정파일!$C$4:$C$192,0)),""))</f>
        <v/>
      </c>
      <c r="S88" s="12" t="str">
        <f>IF(OR(LEN(TRIM(P88))=0,Q88="X",Q88&lt;&gt;"O"),"",IFERROR(INDEX(고객법인일정파일!$H$4:$H$192,MATCH(P88,고객법인일정파일!$C$4:$C$192,0)),""))</f>
        <v/>
      </c>
    </row>
    <row r="89" spans="6:19">
      <c r="F89" s="30"/>
      <c r="O89" s="11" t="str">
        <f>IF(IF(OR(NOT(ISBLANK(고객법인일정파일!B89)),ISBLANK(고객법인일정파일!C89),고객법인일정파일!C89="Total"),"",IF(ISNUMBER(FIND("-",고객법인일정파일!C89)),LEFT(고객법인일정파일!C89,FIND("-",고객법인일정파일!C89)-1),IF(ISNUMBER(FIND(" ",고객법인일정파일!C89)),LEFT(고객법인일정파일!C89,FIND(" ",고객법인일정파일!C89)-1),고객법인일정파일!C89)))="한총","sec",IF(OR(NOT(ISBLANK(고객법인일정파일!B89)),ISBLANK(고객법인일정파일!C89),고객법인일정파일!C89="Total"),"",IF(ISNUMBER(FIND("-",고객법인일정파일!C89)),LEFT(고객법인일정파일!C89,FIND("-",고객법인일정파일!C89)-1),IF(ISNUMBER(FIND(" ",고객법인일정파일!C89)),LEFT(고객법인일정파일!C89,FIND(" ",고객법인일정파일!C89)-1),고객법인일정파일!C89))))</f>
        <v/>
      </c>
      <c r="P89" s="11" t="str">
        <f>IF(ISBLANK(태깅기획site_code!F89),"",IF(COUNTIF(고객법인일정파일!$C$4:$C$200,태깅기획site_code!D89&amp;"-"&amp;UPPER(IF(ISNUMBER(FIND("_",태깅기획site_code!F89)),LEFT(태깅기획site_code!F89,FIND("_",태깅기획site_code!F89)-1),태깅기획site_code!F89)))&gt;0,태깅기획site_code!D89&amp;"-"&amp;UPPER(IF(ISNUMBER(FIND("_",태깅기획site_code!F89)),LEFT(태깅기획site_code!F89,FIND("_",태깅기획site_code!F89)-1),태깅기획site_code!F89)),IF(COUNTIF(고객법인일정파일!$C$4:$C$200,태깅기획site_code!D89&amp;" ("&amp;PROPER(LEFT(태깅기획site_code!F89,FIND("_",태깅기획site_code!F89)-1))&amp;"_"&amp;UPPER(MID(태깅기획site_code!F89,FIND("_",태깅기획site_code!F89)+1,20))&amp;")")&gt;0,태깅기획site_code!D89&amp;" ("&amp;PROPER(LEFT(태깅기획site_code!F89,FIND("_",태깅기획site_code!F89)-1))&amp;"_"&amp;UPPER(MID(태깅기획site_code!F89,FIND("_",태깅기획site_code!F89)+1,20))&amp;")",IF(COUNTIF(고객법인일정파일!$C$4:$C$200,태깅기획site_code!D89)&gt;0,태깅기획site_code!D89,IF(ISNUMBER(FIND("_",태깅기획site_code!F89)),"",IFERROR(INDEX(고객법인일정파일!$C$4:$C$200,MATCH(태깅기획site_code!D89,$O$4:$O$200,0)),IF(ISNUMBER(FIND("-",태깅기획site_code!D89)),IFERROR(INDEX(고객법인일정파일!$C$4:$C$200,MATCH(LEFT(태깅기획site_code!D89,FIND("-",태깅기획site_code!D89)-1),고객법인일정파일!$C$4:$C$200,0)),""),IF(태깅기획site_code!D89="SCA",IF(RIGHT(태깅기획site_code!F89,3)="_fr",IFERROR(INDEX(고객법인일정파일!$C$4:$C$200,MATCH("SEWA (Africa_FR)",고객법인일정파일!$C$4:$C$200,0)),""),IF(RIGHT(태깅기획site_code!F89,3)="_en",IFERROR(INDEX(고객법인일정파일!$C$4:$C$200,MATCH("SEWA (Africa_EN)",고객법인일정파일!$C$4:$C$200,0)),""),"")),""))))))))</f>
        <v>XADUK</v>
      </c>
      <c r="Q89" s="11" t="str">
        <f>IF(LEN(TRIM(P89))=0,"",IFERROR(INDEX(고객법인일정파일!$E$4:$E$192,MATCH(P89,고객법인일정파일!$C$4:$C$192,0)),""))</f>
        <v>X</v>
      </c>
      <c r="R89" s="12" t="str">
        <f>IF(OR(LEN(TRIM(P89))=0,Q89="X",Q89&lt;&gt;"O"),"",IFERROR(INDEX(고객법인일정파일!$F$4:$F$192,MATCH(P89,고객법인일정파일!$C$4:$C$192,0)),""))</f>
        <v/>
      </c>
      <c r="S89" s="12" t="str">
        <f>IF(OR(LEN(TRIM(P89))=0,Q89="X",Q89&lt;&gt;"O"),"",IFERROR(INDEX(고객법인일정파일!$H$4:$H$192,MATCH(P89,고객법인일정파일!$C$4:$C$192,0)),""))</f>
        <v/>
      </c>
    </row>
    <row r="90" spans="6:19">
      <c r="O90" s="11" t="str">
        <f>IF(IF(OR(NOT(ISBLANK(고객법인일정파일!B90)),ISBLANK(고객법인일정파일!C90),고객법인일정파일!C90="Total"),"",IF(ISNUMBER(FIND("-",고객법인일정파일!C90)),LEFT(고객법인일정파일!C90,FIND("-",고객법인일정파일!C90)-1),IF(ISNUMBER(FIND(" ",고객법인일정파일!C90)),LEFT(고객법인일정파일!C90,FIND(" ",고객법인일정파일!C90)-1),고객법인일정파일!C90)))="한총","sec",IF(OR(NOT(ISBLANK(고객법인일정파일!B90)),ISBLANK(고객법인일정파일!C90),고객법인일정파일!C90="Total"),"",IF(ISNUMBER(FIND("-",고객법인일정파일!C90)),LEFT(고객법인일정파일!C90,FIND("-",고객법인일정파일!C90)-1),IF(ISNUMBER(FIND(" ",고객법인일정파일!C90)),LEFT(고객법인일정파일!C90,FIND(" ",고객법인일정파일!C90)-1),고객법인일정파일!C90))))</f>
        <v/>
      </c>
      <c r="P90" s="11" t="str">
        <f>IF(ISBLANK(태깅기획site_code!F90),"",IF(COUNTIF(고객법인일정파일!$C$4:$C$200,태깅기획site_code!D90&amp;"-"&amp;UPPER(IF(ISNUMBER(FIND("_",태깅기획site_code!F90)),LEFT(태깅기획site_code!F90,FIND("_",태깅기획site_code!F90)-1),태깅기획site_code!F90)))&gt;0,태깅기획site_code!D90&amp;"-"&amp;UPPER(IF(ISNUMBER(FIND("_",태깅기획site_code!F90)),LEFT(태깅기획site_code!F90,FIND("_",태깅기획site_code!F90)-1),태깅기획site_code!F90)),IF(COUNTIF(고객법인일정파일!$C$4:$C$200,태깅기획site_code!D90&amp;" ("&amp;PROPER(LEFT(태깅기획site_code!F90,FIND("_",태깅기획site_code!F90)-1))&amp;"_"&amp;UPPER(MID(태깅기획site_code!F90,FIND("_",태깅기획site_code!F90)+1,20))&amp;")")&gt;0,태깅기획site_code!D90&amp;" ("&amp;PROPER(LEFT(태깅기획site_code!F90,FIND("_",태깅기획site_code!F90)-1))&amp;"_"&amp;UPPER(MID(태깅기획site_code!F90,FIND("_",태깅기획site_code!F90)+1,20))&amp;")",IF(COUNTIF(고객법인일정파일!$C$4:$C$200,태깅기획site_code!D90)&gt;0,태깅기획site_code!D90,IF(ISNUMBER(FIND("_",태깅기획site_code!F90)),"",IFERROR(INDEX(고객법인일정파일!$C$4:$C$200,MATCH(태깅기획site_code!D90,$O$4:$O$200,0)),IF(ISNUMBER(FIND("-",태깅기획site_code!D90)),IFERROR(INDEX(고객법인일정파일!$C$4:$C$200,MATCH(LEFT(태깅기획site_code!D90,FIND("-",태깅기획site_code!D90)-1),고객법인일정파일!$C$4:$C$200,0)),""),IF(태깅기획site_code!D90="SCA",IF(RIGHT(태깅기획site_code!F90,3)="_fr",IFERROR(INDEX(고객법인일정파일!$C$4:$C$200,MATCH("SEWA (Africa_FR)",고객법인일정파일!$C$4:$C$200,0)),""),IF(RIGHT(태깅기획site_code!F90,3)="_en",IFERROR(INDEX(고객법인일정파일!$C$4:$C$200,MATCH("SEWA (Africa_EN)",고객법인일정파일!$C$4:$C$200,0)),""),"")),""))))))))</f>
        <v>XADU</v>
      </c>
      <c r="Q90" s="11" t="str">
        <f>IF(LEN(TRIM(P90))=0,"",IFERROR(INDEX(고객법인일정파일!$E$4:$E$192,MATCH(P90,고객법인일정파일!$C$4:$C$192,0)),""))</f>
        <v>O</v>
      </c>
      <c r="R90" s="12">
        <f>IF(OR(LEN(TRIM(P90))=0,Q90="X",Q90&lt;&gt;"O"),"",IFERROR(INDEX(고객법인일정파일!$F$4:$F$192,MATCH(P90,고객법인일정파일!$C$4:$C$192,0)),""))</f>
        <v>46042</v>
      </c>
      <c r="S90" s="12">
        <f>IF(OR(LEN(TRIM(P90))=0,Q90="X",Q90&lt;&gt;"O"),"",IFERROR(INDEX(고객법인일정파일!$H$4:$H$192,MATCH(P90,고객법인일정파일!$C$4:$C$192,0)),""))</f>
        <v>46063</v>
      </c>
    </row>
    <row r="91" spans="6:19">
      <c r="O91" s="11" t="str">
        <f>IF(IF(OR(NOT(ISBLANK(고객법인일정파일!B91)),ISBLANK(고객법인일정파일!C91),고객법인일정파일!C91="Total"),"",IF(ISNUMBER(FIND("-",고객법인일정파일!C91)),LEFT(고객법인일정파일!C91,FIND("-",고객법인일정파일!C91)-1),IF(ISNUMBER(FIND(" ",고객법인일정파일!C91)),LEFT(고객법인일정파일!C91,FIND(" ",고객법인일정파일!C91)-1),고객법인일정파일!C91)))="한총","sec",IF(OR(NOT(ISBLANK(고객법인일정파일!B91)),ISBLANK(고객법인일정파일!C91),고객법인일정파일!C91="Total"),"",IF(ISNUMBER(FIND("-",고객법인일정파일!C91)),LEFT(고객법인일정파일!C91,FIND("-",고객법인일정파일!C91)-1),IF(ISNUMBER(FIND(" ",고객법인일정파일!C91)),LEFT(고객법인일정파일!C91,FIND(" ",고객법인일정파일!C91)-1),고객법인일정파일!C91))))</f>
        <v/>
      </c>
      <c r="P91" s="11" t="str">
        <f>IF(ISBLANK(태깅기획site_code!F91),"",IF(COUNTIF(고객법인일정파일!$C$4:$C$200,태깅기획site_code!D91&amp;"-"&amp;UPPER(IF(ISNUMBER(FIND("_",태깅기획site_code!F91)),LEFT(태깅기획site_code!F91,FIND("_",태깅기획site_code!F91)-1),태깅기획site_code!F91)))&gt;0,태깅기획site_code!D91&amp;"-"&amp;UPPER(IF(ISNUMBER(FIND("_",태깅기획site_code!F91)),LEFT(태깅기획site_code!F91,FIND("_",태깅기획site_code!F91)-1),태깅기획site_code!F91)),IF(COUNTIF(고객법인일정파일!$C$4:$C$200,태깅기획site_code!D91&amp;" ("&amp;PROPER(LEFT(태깅기획site_code!F91,FIND("_",태깅기획site_code!F91)-1))&amp;"_"&amp;UPPER(MID(태깅기획site_code!F91,FIND("_",태깅기획site_code!F91)+1,20))&amp;")")&gt;0,태깅기획site_code!D91&amp;" ("&amp;PROPER(LEFT(태깅기획site_code!F91,FIND("_",태깅기획site_code!F91)-1))&amp;"_"&amp;UPPER(MID(태깅기획site_code!F91,FIND("_",태깅기획site_code!F91)+1,20))&amp;")",IF(COUNTIF(고객법인일정파일!$C$4:$C$200,태깅기획site_code!D91)&gt;0,태깅기획site_code!D91,IF(ISNUMBER(FIND("_",태깅기획site_code!F91)),"",IFERROR(INDEX(고객법인일정파일!$C$4:$C$200,MATCH(태깅기획site_code!D91,$O$4:$O$200,0)),IF(ISNUMBER(FIND("-",태깅기획site_code!D91)),IFERROR(INDEX(고객법인일정파일!$C$4:$C$200,MATCH(LEFT(태깅기획site_code!D91,FIND("-",태깅기획site_code!D91)-1),고객법인일정파일!$C$4:$C$200,0)),""),IF(태깅기획site_code!D91="SCA",IF(RIGHT(태깅기획site_code!F91,3)="_fr",IFERROR(INDEX(고객법인일정파일!$C$4:$C$200,MATCH("SEWA (Africa_FR)",고객법인일정파일!$C$4:$C$200,0)),""),IF(RIGHT(태깅기획site_code!F91,3)="_en",IFERROR(INDEX(고객법인일정파일!$C$4:$C$200,MATCH("SEWA (Africa_EN)",고객법인일정파일!$C$4:$C$200,0)),""),"")),""))))))))</f>
        <v>XADLU</v>
      </c>
      <c r="Q91" s="11" t="str">
        <f>IF(LEN(TRIM(P91))=0,"",IFERROR(INDEX(고객법인일정파일!$E$4:$E$192,MATCH(P91,고객법인일정파일!$C$4:$C$192,0)),""))</f>
        <v>O</v>
      </c>
      <c r="R91" s="12">
        <f>IF(OR(LEN(TRIM(P91))=0,Q91="X",Q91&lt;&gt;"O"),"",IFERROR(INDEX(고객법인일정파일!$F$4:$F$192,MATCH(P91,고객법인일정파일!$C$4:$C$192,0)),""))</f>
        <v>46042</v>
      </c>
      <c r="S91" s="12">
        <f>IF(OR(LEN(TRIM(P91))=0,Q91="X",Q91&lt;&gt;"O"),"",IFERROR(INDEX(고객법인일정파일!$H$4:$H$192,MATCH(P91,고객법인일정파일!$C$4:$C$192,0)),""))</f>
        <v>46063</v>
      </c>
    </row>
    <row r="92" spans="6:19">
      <c r="O92" s="11" t="str">
        <f>IF(IF(OR(NOT(ISBLANK(고객법인일정파일!B92)),ISBLANK(고객법인일정파일!C92),고객법인일정파일!C92="Total"),"",IF(ISNUMBER(FIND("-",고객법인일정파일!C92)),LEFT(고객법인일정파일!C92,FIND("-",고객법인일정파일!C92)-1),IF(ISNUMBER(FIND(" ",고객법인일정파일!C92)),LEFT(고객법인일정파일!C92,FIND(" ",고객법인일정파일!C92)-1),고객법인일정파일!C92)))="한총","sec",IF(OR(NOT(ISBLANK(고객법인일정파일!B92)),ISBLANK(고객법인일정파일!C92),고객법인일정파일!C92="Total"),"",IF(ISNUMBER(FIND("-",고객법인일정파일!C92)),LEFT(고객법인일정파일!C92,FIND("-",고객법인일정파일!C92)-1),IF(ISNUMBER(FIND(" ",고객법인일정파일!C92)),LEFT(고객법인일정파일!C92,FIND(" ",고객법인일정파일!C92)-1),고객법인일정파일!C92))))</f>
        <v/>
      </c>
      <c r="P92" s="11" t="str">
        <f>IF(ISBLANK(태깅기획site_code!F92),"",IF(COUNTIF(고객법인일정파일!$C$4:$C$200,태깅기획site_code!D92&amp;"-"&amp;UPPER(IF(ISNUMBER(FIND("_",태깅기획site_code!F92)),LEFT(태깅기획site_code!F92,FIND("_",태깅기획site_code!F92)-1),태깅기획site_code!F92)))&gt;0,태깅기획site_code!D92&amp;"-"&amp;UPPER(IF(ISNUMBER(FIND("_",태깅기획site_code!F92)),LEFT(태깅기획site_code!F92,FIND("_",태깅기획site_code!F92)-1),태깅기획site_code!F92)),IF(COUNTIF(고객법인일정파일!$C$4:$C$200,태깅기획site_code!D92&amp;" ("&amp;PROPER(LEFT(태깅기획site_code!F92,FIND("_",태깅기획site_code!F92)-1))&amp;"_"&amp;UPPER(MID(태깅기획site_code!F92,FIND("_",태깅기획site_code!F92)+1,20))&amp;")")&gt;0,태깅기획site_code!D92&amp;" ("&amp;PROPER(LEFT(태깅기획site_code!F92,FIND("_",태깅기획site_code!F92)-1))&amp;"_"&amp;UPPER(MID(태깅기획site_code!F92,FIND("_",태깅기획site_code!F92)+1,20))&amp;")",IF(COUNTIF(고객법인일정파일!$C$4:$C$200,태깅기획site_code!D92)&gt;0,태깅기획site_code!D92,IF(ISNUMBER(FIND("_",태깅기획site_code!F92)),"",IFERROR(INDEX(고객법인일정파일!$C$4:$C$200,MATCH(태깅기획site_code!D92,$O$4:$O$200,0)),IF(ISNUMBER(FIND("-",태깅기획site_code!D92)),IFERROR(INDEX(고객법인일정파일!$C$4:$C$200,MATCH(LEFT(태깅기획site_code!D92,FIND("-",태깅기획site_code!D92)-1),고객법인일정파일!$C$4:$C$200,0)),""),IF(태깅기획site_code!D92="SCA",IF(RIGHT(태깅기획site_code!F92,3)="_fr",IFERROR(INDEX(고객법인일정파일!$C$4:$C$200,MATCH("SEWA (Africa_FR)",고객법인일정파일!$C$4:$C$200,0)),""),IF(RIGHT(태깅기획site_code!F92,3)="_en",IFERROR(INDEX(고객법인일정파일!$C$4:$C$200,MATCH("SEWA (Africa_EN)",고객법인일정파일!$C$4:$C$200,0)),""),"")),""))))))))</f>
        <v/>
      </c>
      <c r="Q92" s="11" t="str">
        <f>IF(LEN(TRIM(P92))=0,"",IFERROR(INDEX(고객법인일정파일!$E$4:$E$192,MATCH(P92,고객법인일정파일!$C$4:$C$192,0)),""))</f>
        <v/>
      </c>
      <c r="R92" s="12" t="str">
        <f>IF(OR(LEN(TRIM(P92))=0,Q92="X",Q92&lt;&gt;"O"),"",IFERROR(INDEX(고객법인일정파일!$F$4:$F$192,MATCH(P92,고객법인일정파일!$C$4:$C$192,0)),""))</f>
        <v/>
      </c>
      <c r="S92" s="12" t="str">
        <f>IF(OR(LEN(TRIM(P92))=0,Q92="X",Q92&lt;&gt;"O"),"",IFERROR(INDEX(고객법인일정파일!$H$4:$H$192,MATCH(P92,고객법인일정파일!$C$4:$C$192,0)),""))</f>
        <v/>
      </c>
    </row>
    <row r="93" spans="6:19">
      <c r="O93" s="11" t="str">
        <f>IF(IF(OR(NOT(ISBLANK(고객법인일정파일!B93)),ISBLANK(고객법인일정파일!C93),고객법인일정파일!C93="Total"),"",IF(ISNUMBER(FIND("-",고객법인일정파일!C93)),LEFT(고객법인일정파일!C93,FIND("-",고객법인일정파일!C93)-1),IF(ISNUMBER(FIND(" ",고객법인일정파일!C93)),LEFT(고객법인일정파일!C93,FIND(" ",고객법인일정파일!C93)-1),고객법인일정파일!C93)))="한총","sec",IF(OR(NOT(ISBLANK(고객법인일정파일!B93)),ISBLANK(고객법인일정파일!C93),고객법인일정파일!C93="Total"),"",IF(ISNUMBER(FIND("-",고객법인일정파일!C93)),LEFT(고객법인일정파일!C93,FIND("-",고객법인일정파일!C93)-1),IF(ISNUMBER(FIND(" ",고객법인일정파일!C93)),LEFT(고객법인일정파일!C93,FIND(" ",고객법인일정파일!C93)-1),고객법인일정파일!C93))))</f>
        <v/>
      </c>
      <c r="P93" s="11" t="str">
        <f>IF(ISBLANK(태깅기획site_code!F93),"",IF(COUNTIF(고객법인일정파일!$C$4:$C$200,태깅기획site_code!D93&amp;"-"&amp;UPPER(IF(ISNUMBER(FIND("_",태깅기획site_code!F93)),LEFT(태깅기획site_code!F93,FIND("_",태깅기획site_code!F93)-1),태깅기획site_code!F93)))&gt;0,태깅기획site_code!D93&amp;"-"&amp;UPPER(IF(ISNUMBER(FIND("_",태깅기획site_code!F93)),LEFT(태깅기획site_code!F93,FIND("_",태깅기획site_code!F93)-1),태깅기획site_code!F93)),IF(COUNTIF(고객법인일정파일!$C$4:$C$200,태깅기획site_code!D93&amp;" ("&amp;PROPER(LEFT(태깅기획site_code!F93,FIND("_",태깅기획site_code!F93)-1))&amp;"_"&amp;UPPER(MID(태깅기획site_code!F93,FIND("_",태깅기획site_code!F93)+1,20))&amp;")")&gt;0,태깅기획site_code!D93&amp;" ("&amp;PROPER(LEFT(태깅기획site_code!F93,FIND("_",태깅기획site_code!F93)-1))&amp;"_"&amp;UPPER(MID(태깅기획site_code!F93,FIND("_",태깅기획site_code!F93)+1,20))&amp;")",IF(COUNTIF(고객법인일정파일!$C$4:$C$200,태깅기획site_code!D93)&gt;0,태깅기획site_code!D93,IF(ISNUMBER(FIND("_",태깅기획site_code!F93)),"",IFERROR(INDEX(고객법인일정파일!$C$4:$C$200,MATCH(태깅기획site_code!D93,$O$4:$O$200,0)),IF(ISNUMBER(FIND("-",태깅기획site_code!D93)),IFERROR(INDEX(고객법인일정파일!$C$4:$C$200,MATCH(LEFT(태깅기획site_code!D93,FIND("-",태깅기획site_code!D93)-1),고객법인일정파일!$C$4:$C$200,0)),""),IF(태깅기획site_code!D93="SCA",IF(RIGHT(태깅기획site_code!F93,3)="_fr",IFERROR(INDEX(고객법인일정파일!$C$4:$C$200,MATCH("SEWA (Africa_FR)",고객법인일정파일!$C$4:$C$200,0)),""),IF(RIGHT(태깅기획site_code!F93,3)="_en",IFERROR(INDEX(고객법인일정파일!$C$4:$C$200,MATCH("SEWA (Africa_EN)",고객법인일정파일!$C$4:$C$200,0)),""),"")),""))))))))</f>
        <v/>
      </c>
      <c r="Q93" s="11" t="str">
        <f>IF(LEN(TRIM(P93))=0,"",IFERROR(INDEX(고객법인일정파일!$E$4:$E$192,MATCH(P93,고객법인일정파일!$C$4:$C$192,0)),""))</f>
        <v/>
      </c>
      <c r="R93" s="12" t="str">
        <f>IF(OR(LEN(TRIM(P93))=0,Q93="X",Q93&lt;&gt;"O"),"",IFERROR(INDEX(고객법인일정파일!$F$4:$F$192,MATCH(P93,고객법인일정파일!$C$4:$C$192,0)),""))</f>
        <v/>
      </c>
      <c r="S93" s="12" t="str">
        <f>IF(OR(LEN(TRIM(P93))=0,Q93="X",Q93&lt;&gt;"O"),"",IFERROR(INDEX(고객법인일정파일!$H$4:$H$192,MATCH(P93,고객법인일정파일!$C$4:$C$192,0)),""))</f>
        <v/>
      </c>
    </row>
    <row r="94" spans="6:19">
      <c r="O94" s="11" t="str">
        <f>IF(IF(OR(NOT(ISBLANK(고객법인일정파일!B94)),ISBLANK(고객법인일정파일!C94),고객법인일정파일!C94="Total"),"",IF(ISNUMBER(FIND("-",고객법인일정파일!C94)),LEFT(고객법인일정파일!C94,FIND("-",고객법인일정파일!C94)-1),IF(ISNUMBER(FIND(" ",고객법인일정파일!C94)),LEFT(고객법인일정파일!C94,FIND(" ",고객법인일정파일!C94)-1),고객법인일정파일!C94)))="한총","sec",IF(OR(NOT(ISBLANK(고객법인일정파일!B94)),ISBLANK(고객법인일정파일!C94),고객법인일정파일!C94="Total"),"",IF(ISNUMBER(FIND("-",고객법인일정파일!C94)),LEFT(고객법인일정파일!C94,FIND("-",고객법인일정파일!C94)-1),IF(ISNUMBER(FIND(" ",고객법인일정파일!C94)),LEFT(고객법인일정파일!C94,FIND(" ",고객법인일정파일!C94)-1),고객법인일정파일!C94))))</f>
        <v/>
      </c>
      <c r="P94" s="11" t="str">
        <f>IF(ISBLANK(태깅기획site_code!F94),"",IF(COUNTIF(고객법인일정파일!$C$4:$C$200,태깅기획site_code!D94&amp;"-"&amp;UPPER(IF(ISNUMBER(FIND("_",태깅기획site_code!F94)),LEFT(태깅기획site_code!F94,FIND("_",태깅기획site_code!F94)-1),태깅기획site_code!F94)))&gt;0,태깅기획site_code!D94&amp;"-"&amp;UPPER(IF(ISNUMBER(FIND("_",태깅기획site_code!F94)),LEFT(태깅기획site_code!F94,FIND("_",태깅기획site_code!F94)-1),태깅기획site_code!F94)),IF(COUNTIF(고객법인일정파일!$C$4:$C$200,태깅기획site_code!D94&amp;" ("&amp;PROPER(LEFT(태깅기획site_code!F94,FIND("_",태깅기획site_code!F94)-1))&amp;"_"&amp;UPPER(MID(태깅기획site_code!F94,FIND("_",태깅기획site_code!F94)+1,20))&amp;")")&gt;0,태깅기획site_code!D94&amp;" ("&amp;PROPER(LEFT(태깅기획site_code!F94,FIND("_",태깅기획site_code!F94)-1))&amp;"_"&amp;UPPER(MID(태깅기획site_code!F94,FIND("_",태깅기획site_code!F94)+1,20))&amp;")",IF(COUNTIF(고객법인일정파일!$C$4:$C$200,태깅기획site_code!D94)&gt;0,태깅기획site_code!D94,IF(ISNUMBER(FIND("_",태깅기획site_code!F94)),"",IFERROR(INDEX(고객법인일정파일!$C$4:$C$200,MATCH(태깅기획site_code!D94,$O$4:$O$200,0)),IF(ISNUMBER(FIND("-",태깅기획site_code!D94)),IFERROR(INDEX(고객법인일정파일!$C$4:$C$200,MATCH(LEFT(태깅기획site_code!D94,FIND("-",태깅기획site_code!D94)-1),고객법인일정파일!$C$4:$C$200,0)),""),IF(태깅기획site_code!D94="SCA",IF(RIGHT(태깅기획site_code!F94,3)="_fr",IFERROR(INDEX(고객법인일정파일!$C$4:$C$200,MATCH("SEWA (Africa_FR)",고객법인일정파일!$C$4:$C$200,0)),""),IF(RIGHT(태깅기획site_code!F94,3)="_en",IFERROR(INDEX(고객법인일정파일!$C$4:$C$200,MATCH("SEWA (Africa_EN)",고객법인일정파일!$C$4:$C$200,0)),""),"")),""))))))))</f>
        <v>XUVINU</v>
      </c>
      <c r="Q94" s="11" t="str">
        <f>IF(LEN(TRIM(P94))=0,"",IFERROR(INDEX(고객법인일정파일!$E$4:$E$192,MATCH(P94,고객법인일정파일!$C$4:$C$192,0)),""))</f>
        <v>O</v>
      </c>
      <c r="R94" s="12">
        <f>IF(OR(LEN(TRIM(P94))=0,Q94="X",Q94&lt;&gt;"O"),"",IFERROR(INDEX(고객법인일정파일!$F$4:$F$192,MATCH(P94,고객법인일정파일!$C$4:$C$192,0)),""))</f>
        <v>46054</v>
      </c>
      <c r="S94" s="12">
        <f>IF(OR(LEN(TRIM(P94))=0,Q94="X",Q94&lt;&gt;"O"),"",IFERROR(INDEX(고객법인일정파일!$H$4:$H$192,MATCH(P94,고객법인일정파일!$C$4:$C$192,0)),""))</f>
        <v>46067</v>
      </c>
    </row>
    <row r="95" spans="6:19">
      <c r="O95" s="11" t="str">
        <f>IF(IF(OR(NOT(ISBLANK(고객법인일정파일!B95)),ISBLANK(고객법인일정파일!C95),고객법인일정파일!C95="Total"),"",IF(ISNUMBER(FIND("-",고객법인일정파일!C95)),LEFT(고객법인일정파일!C95,FIND("-",고객법인일정파일!C95)-1),IF(ISNUMBER(FIND(" ",고객법인일정파일!C95)),LEFT(고객법인일정파일!C95,FIND(" ",고객법인일정파일!C95)-1),고객법인일정파일!C95)))="한총","sec",IF(OR(NOT(ISBLANK(고객법인일정파일!B95)),ISBLANK(고객법인일정파일!C95),고객법인일정파일!C95="Total"),"",IF(ISNUMBER(FIND("-",고객법인일정파일!C95)),LEFT(고객법인일정파일!C95,FIND("-",고객법인일정파일!C95)-1),IF(ISNUMBER(FIND(" ",고객법인일정파일!C95)),LEFT(고객법인일정파일!C95,FIND(" ",고객법인일정파일!C95)-1),고객법인일정파일!C95))))</f>
        <v/>
      </c>
      <c r="P95" s="11" t="str">
        <f>IF(ISBLANK(태깅기획site_code!F95),"",IF(COUNTIF(고객법인일정파일!$C$4:$C$200,태깅기획site_code!D95&amp;"-"&amp;UPPER(IF(ISNUMBER(FIND("_",태깅기획site_code!F95)),LEFT(태깅기획site_code!F95,FIND("_",태깅기획site_code!F95)-1),태깅기획site_code!F95)))&gt;0,태깅기획site_code!D95&amp;"-"&amp;UPPER(IF(ISNUMBER(FIND("_",태깅기획site_code!F95)),LEFT(태깅기획site_code!F95,FIND("_",태깅기획site_code!F95)-1),태깅기획site_code!F95)),IF(COUNTIF(고객법인일정파일!$C$4:$C$200,태깅기획site_code!D95&amp;" ("&amp;PROPER(LEFT(태깅기획site_code!F95,FIND("_",태깅기획site_code!F95)-1))&amp;"_"&amp;UPPER(MID(태깅기획site_code!F95,FIND("_",태깅기획site_code!F95)+1,20))&amp;")")&gt;0,태깅기획site_code!D95&amp;" ("&amp;PROPER(LEFT(태깅기획site_code!F95,FIND("_",태깅기획site_code!F95)-1))&amp;"_"&amp;UPPER(MID(태깅기획site_code!F95,FIND("_",태깅기획site_code!F95)+1,20))&amp;")",IF(COUNTIF(고객법인일정파일!$C$4:$C$200,태깅기획site_code!D95)&gt;0,태깅기획site_code!D95,IF(ISNUMBER(FIND("_",태깅기획site_code!F95)),"",IFERROR(INDEX(고객법인일정파일!$C$4:$C$200,MATCH(태깅기획site_code!D95,$O$4:$O$200,0)),IF(ISNUMBER(FIND("-",태깅기획site_code!D95)),IFERROR(INDEX(고객법인일정파일!$C$4:$C$200,MATCH(LEFT(태깅기획site_code!D95,FIND("-",태깅기획site_code!D95)-1),고객법인일정파일!$C$4:$C$200,0)),""),IF(태깅기획site_code!D95="SCA",IF(RIGHT(태깅기획site_code!F95,3)="_fr",IFERROR(INDEX(고객법인일정파일!$C$4:$C$200,MATCH("SEWA (Africa_FR)",고객법인일정파일!$C$4:$C$200,0)),""),IF(RIGHT(태깅기획site_code!F95,3)="_en",IFERROR(INDEX(고객법인일정파일!$C$4:$C$200,MATCH("SEWA (Africa_EN)",고객법인일정파일!$C$4:$C$200,0)),""),"")),""))))))))</f>
        <v>XXU (ZU)</v>
      </c>
      <c r="Q95" s="11" t="str">
        <f>IF(LEN(TRIM(P95))=0,"",IFERROR(INDEX(고객법인일정파일!$E$4:$E$192,MATCH(P95,고객법인일정파일!$C$4:$C$192,0)),""))</f>
        <v>O</v>
      </c>
      <c r="R95" s="12">
        <f>IF(OR(LEN(TRIM(P95))=0,Q95="X",Q95&lt;&gt;"O"),"",IFERROR(INDEX(고객법인일정파일!$F$4:$F$192,MATCH(P95,고객법인일정파일!$C$4:$C$192,0)),""))</f>
        <v>46042</v>
      </c>
      <c r="S95" s="12">
        <f>IF(OR(LEN(TRIM(P95))=0,Q95="X",Q95&lt;&gt;"O"),"",IFERROR(INDEX(고객법인일정파일!$H$4:$H$192,MATCH(P95,고객법인일정파일!$C$4:$C$192,0)),""))</f>
        <v>46063</v>
      </c>
    </row>
    <row r="96" spans="6:19">
      <c r="O96" s="11" t="str">
        <f>IF(IF(OR(NOT(ISBLANK(고객법인일정파일!B96)),ISBLANK(고객법인일정파일!C96),고객법인일정파일!C96="Total"),"",IF(ISNUMBER(FIND("-",고객법인일정파일!C96)),LEFT(고객법인일정파일!C96,FIND("-",고객법인일정파일!C96)-1),IF(ISNUMBER(FIND(" ",고객법인일정파일!C96)),LEFT(고객법인일정파일!C96,FIND(" ",고객법인일정파일!C96)-1),고객법인일정파일!C96)))="한총","sec",IF(OR(NOT(ISBLANK(고객법인일정파일!B96)),ISBLANK(고객법인일정파일!C96),고객법인일정파일!C96="Total"),"",IF(ISNUMBER(FIND("-",고객법인일정파일!C96)),LEFT(고객법인일정파일!C96,FIND("-",고객법인일정파일!C96)-1),IF(ISNUMBER(FIND(" ",고객법인일정파일!C96)),LEFT(고객법인일정파일!C96,FIND(" ",고객법인일정파일!C96)-1),고객법인일정파일!C96))))</f>
        <v/>
      </c>
      <c r="P96" s="11" t="str">
        <f>IF(ISBLANK(태깅기획site_code!F96),"",IF(COUNTIF(고객법인일정파일!$C$4:$C$200,태깅기획site_code!D96&amp;"-"&amp;UPPER(IF(ISNUMBER(FIND("_",태깅기획site_code!F96)),LEFT(태깅기획site_code!F96,FIND("_",태깅기획site_code!F96)-1),태깅기획site_code!F96)))&gt;0,태깅기획site_code!D96&amp;"-"&amp;UPPER(IF(ISNUMBER(FIND("_",태깅기획site_code!F96)),LEFT(태깅기획site_code!F96,FIND("_",태깅기획site_code!F96)-1),태깅기획site_code!F96)),IF(COUNTIF(고객법인일정파일!$C$4:$C$200,태깅기획site_code!D96&amp;" ("&amp;PROPER(LEFT(태깅기획site_code!F96,FIND("_",태깅기획site_code!F96)-1))&amp;"_"&amp;UPPER(MID(태깅기획site_code!F96,FIND("_",태깅기획site_code!F96)+1,20))&amp;")")&gt;0,태깅기획site_code!D96&amp;" ("&amp;PROPER(LEFT(태깅기획site_code!F96,FIND("_",태깅기획site_code!F96)-1))&amp;"_"&amp;UPPER(MID(태깅기획site_code!F96,FIND("_",태깅기획site_code!F96)+1,20))&amp;")",IF(COUNTIF(고객법인일정파일!$C$4:$C$200,태깅기획site_code!D96)&gt;0,태깅기획site_code!D96,IF(ISNUMBER(FIND("_",태깅기획site_code!F96)),"",IFERROR(INDEX(고객법인일정파일!$C$4:$C$200,MATCH(태깅기획site_code!D96,$O$4:$O$200,0)),IF(ISNUMBER(FIND("-",태깅기획site_code!D96)),IFERROR(INDEX(고객법인일정파일!$C$4:$C$200,MATCH(LEFT(태깅기획site_code!D96,FIND("-",태깅기획site_code!D96)-1),고객법인일정파일!$C$4:$C$200,0)),""),IF(태깅기획site_code!D96="SCA",IF(RIGHT(태깅기획site_code!F96,3)="_fr",IFERROR(INDEX(고객법인일정파일!$C$4:$C$200,MATCH("SEWA (Africa_FR)",고객법인일정파일!$C$4:$C$200,0)),""),IF(RIGHT(태깅기획site_code!F96,3)="_en",IFERROR(INDEX(고객법인일정파일!$C$4:$C$200,MATCH("SEWA (Africa_EN)",고객법인일정파일!$C$4:$C$200,0)),""),"")),""))))))))</f>
        <v/>
      </c>
      <c r="Q96" s="11" t="str">
        <f>IF(LEN(TRIM(P96))=0,"",IFERROR(INDEX(고객법인일정파일!$E$4:$E$192,MATCH(P96,고객법인일정파일!$C$4:$C$192,0)),""))</f>
        <v/>
      </c>
      <c r="R96" s="12" t="str">
        <f>IF(OR(LEN(TRIM(P96))=0,Q96="X",Q96&lt;&gt;"O"),"",IFERROR(INDEX(고객법인일정파일!$F$4:$F$192,MATCH(P96,고객법인일정파일!$C$4:$C$192,0)),""))</f>
        <v/>
      </c>
      <c r="S96" s="12" t="str">
        <f>IF(OR(LEN(TRIM(P96))=0,Q96="X",Q96&lt;&gt;"O"),"",IFERROR(INDEX(고객법인일정파일!$H$4:$H$192,MATCH(P96,고객법인일정파일!$C$4:$C$192,0)),""))</f>
        <v/>
      </c>
    </row>
    <row r="97" spans="15:19">
      <c r="O97" s="11" t="str">
        <f>IF(IF(OR(NOT(ISBLANK(고객법인일정파일!B97)),ISBLANK(고객법인일정파일!C97),고객법인일정파일!C97="Total"),"",IF(ISNUMBER(FIND("-",고객법인일정파일!C97)),LEFT(고객법인일정파일!C97,FIND("-",고객법인일정파일!C97)-1),IF(ISNUMBER(FIND(" ",고객법인일정파일!C97)),LEFT(고객법인일정파일!C97,FIND(" ",고객법인일정파일!C97)-1),고객법인일정파일!C97)))="한총","sec",IF(OR(NOT(ISBLANK(고객법인일정파일!B97)),ISBLANK(고객법인일정파일!C97),고객법인일정파일!C97="Total"),"",IF(ISNUMBER(FIND("-",고객법인일정파일!C97)),LEFT(고객법인일정파일!C97,FIND("-",고객법인일정파일!C97)-1),IF(ISNUMBER(FIND(" ",고객법인일정파일!C97)),LEFT(고객법인일정파일!C97,FIND(" ",고객법인일정파일!C97)-1),고객법인일정파일!C97))))</f>
        <v/>
      </c>
      <c r="P97" s="11" t="str">
        <f>IF(ISBLANK(태깅기획site_code!F97),"",IF(COUNTIF(고객법인일정파일!$C$4:$C$200,태깅기획site_code!D97&amp;"-"&amp;UPPER(IF(ISNUMBER(FIND("_",태깅기획site_code!F97)),LEFT(태깅기획site_code!F97,FIND("_",태깅기획site_code!F97)-1),태깅기획site_code!F97)))&gt;0,태깅기획site_code!D97&amp;"-"&amp;UPPER(IF(ISNUMBER(FIND("_",태깅기획site_code!F97)),LEFT(태깅기획site_code!F97,FIND("_",태깅기획site_code!F97)-1),태깅기획site_code!F97)),IF(COUNTIF(고객법인일정파일!$C$4:$C$200,태깅기획site_code!D97&amp;" ("&amp;PROPER(LEFT(태깅기획site_code!F97,FIND("_",태깅기획site_code!F97)-1))&amp;"_"&amp;UPPER(MID(태깅기획site_code!F97,FIND("_",태깅기획site_code!F97)+1,20))&amp;")")&gt;0,태깅기획site_code!D97&amp;" ("&amp;PROPER(LEFT(태깅기획site_code!F97,FIND("_",태깅기획site_code!F97)-1))&amp;"_"&amp;UPPER(MID(태깅기획site_code!F97,FIND("_",태깅기획site_code!F97)+1,20))&amp;")",IF(COUNTIF(고객법인일정파일!$C$4:$C$200,태깅기획site_code!D97)&gt;0,태깅기획site_code!D97,IF(ISNUMBER(FIND("_",태깅기획site_code!F97)),"",IFERROR(INDEX(고객법인일정파일!$C$4:$C$200,MATCH(태깅기획site_code!D97,$O$4:$O$200,0)),IF(ISNUMBER(FIND("-",태깅기획site_code!D97)),IFERROR(INDEX(고객법인일정파일!$C$4:$C$200,MATCH(LEFT(태깅기획site_code!D97,FIND("-",태깅기획site_code!D97)-1),고객법인일정파일!$C$4:$C$200,0)),""),IF(태깅기획site_code!D97="SCA",IF(RIGHT(태깅기획site_code!F97,3)="_fr",IFERROR(INDEX(고객법인일정파일!$C$4:$C$200,MATCH("SEWA (Africa_FR)",고객법인일정파일!$C$4:$C$200,0)),""),IF(RIGHT(태깅기획site_code!F97,3)="_en",IFERROR(INDEX(고객법인일정파일!$C$4:$C$200,MATCH("SEWA (Africa_EN)",고객법인일정파일!$C$4:$C$200,0)),""),"")),""))))))))</f>
        <v/>
      </c>
      <c r="Q97" s="11" t="str">
        <f>IF(LEN(TRIM(P97))=0,"",IFERROR(INDEX(고객법인일정파일!$E$4:$E$192,MATCH(P97,고객법인일정파일!$C$4:$C$192,0)),""))</f>
        <v/>
      </c>
      <c r="R97" s="12" t="str">
        <f>IF(OR(LEN(TRIM(P97))=0,Q97="X",Q97&lt;&gt;"O"),"",IFERROR(INDEX(고객법인일정파일!$F$4:$F$192,MATCH(P97,고객법인일정파일!$C$4:$C$192,0)),""))</f>
        <v/>
      </c>
      <c r="S97" s="12" t="str">
        <f>IF(OR(LEN(TRIM(P97))=0,Q97="X",Q97&lt;&gt;"O"),"",IFERROR(INDEX(고객법인일정파일!$H$4:$H$192,MATCH(P97,고객법인일정파일!$C$4:$C$192,0)),""))</f>
        <v/>
      </c>
    </row>
    <row r="98" spans="15:19">
      <c r="O98" s="11" t="str">
        <f>IF(IF(OR(NOT(ISBLANK(고객법인일정파일!B98)),ISBLANK(고객법인일정파일!C98),고객법인일정파일!C98="Total"),"",IF(ISNUMBER(FIND("-",고객법인일정파일!C98)),LEFT(고객법인일정파일!C98,FIND("-",고객법인일정파일!C98)-1),IF(ISNUMBER(FIND(" ",고객법인일정파일!C98)),LEFT(고객법인일정파일!C98,FIND(" ",고객법인일정파일!C98)-1),고객법인일정파일!C98)))="한총","sec",IF(OR(NOT(ISBLANK(고객법인일정파일!B98)),ISBLANK(고객법인일정파일!C98),고객법인일정파일!C98="Total"),"",IF(ISNUMBER(FIND("-",고객법인일정파일!C98)),LEFT(고객법인일정파일!C98,FIND("-",고객법인일정파일!C98)-1),IF(ISNUMBER(FIND(" ",고객법인일정파일!C98)),LEFT(고객법인일정파일!C98,FIND(" ",고객법인일정파일!C98)-1),고객법인일정파일!C98))))</f>
        <v/>
      </c>
      <c r="P98" s="11" t="str">
        <f>IF(ISBLANK(태깅기획site_code!F98),"",IF(COUNTIF(고객법인일정파일!$C$4:$C$200,태깅기획site_code!D98&amp;"-"&amp;UPPER(IF(ISNUMBER(FIND("_",태깅기획site_code!F98)),LEFT(태깅기획site_code!F98,FIND("_",태깅기획site_code!F98)-1),태깅기획site_code!F98)))&gt;0,태깅기획site_code!D98&amp;"-"&amp;UPPER(IF(ISNUMBER(FIND("_",태깅기획site_code!F98)),LEFT(태깅기획site_code!F98,FIND("_",태깅기획site_code!F98)-1),태깅기획site_code!F98)),IF(COUNTIF(고객법인일정파일!$C$4:$C$200,태깅기획site_code!D98&amp;" ("&amp;PROPER(LEFT(태깅기획site_code!F98,FIND("_",태깅기획site_code!F98)-1))&amp;"_"&amp;UPPER(MID(태깅기획site_code!F98,FIND("_",태깅기획site_code!F98)+1,20))&amp;")")&gt;0,태깅기획site_code!D98&amp;" ("&amp;PROPER(LEFT(태깅기획site_code!F98,FIND("_",태깅기획site_code!F98)-1))&amp;"_"&amp;UPPER(MID(태깅기획site_code!F98,FIND("_",태깅기획site_code!F98)+1,20))&amp;")",IF(COUNTIF(고객법인일정파일!$C$4:$C$200,태깅기획site_code!D98)&gt;0,태깅기획site_code!D98,IF(ISNUMBER(FIND("_",태깅기획site_code!F98)),"",IFERROR(INDEX(고객법인일정파일!$C$4:$C$200,MATCH(태깅기획site_code!D98,$O$4:$O$200,0)),IF(ISNUMBER(FIND("-",태깅기획site_code!D98)),IFERROR(INDEX(고객법인일정파일!$C$4:$C$200,MATCH(LEFT(태깅기획site_code!D98,FIND("-",태깅기획site_code!D98)-1),고객법인일정파일!$C$4:$C$200,0)),""),IF(태깅기획site_code!D98="SCA",IF(RIGHT(태깅기획site_code!F98,3)="_fr",IFERROR(INDEX(고객법인일정파일!$C$4:$C$200,MATCH("SEWA (Africa_FR)",고객법인일정파일!$C$4:$C$200,0)),""),IF(RIGHT(태깅기획site_code!F98,3)="_en",IFERROR(INDEX(고객법인일정파일!$C$4:$C$200,MATCH("SEWA (Africa_EN)",고객법인일정파일!$C$4:$C$200,0)),""),"")),""))))))))</f>
        <v/>
      </c>
      <c r="Q98" s="11" t="str">
        <f>IF(LEN(TRIM(P98))=0,"",IFERROR(INDEX(고객법인일정파일!$E$4:$E$192,MATCH(P98,고객법인일정파일!$C$4:$C$192,0)),""))</f>
        <v/>
      </c>
      <c r="R98" s="12" t="str">
        <f>IF(OR(LEN(TRIM(P98))=0,Q98="X",Q98&lt;&gt;"O"),"",IFERROR(INDEX(고객법인일정파일!$F$4:$F$192,MATCH(P98,고객법인일정파일!$C$4:$C$192,0)),""))</f>
        <v/>
      </c>
      <c r="S98" s="12" t="str">
        <f>IF(OR(LEN(TRIM(P98))=0,Q98="X",Q98&lt;&gt;"O"),"",IFERROR(INDEX(고객법인일정파일!$H$4:$H$192,MATCH(P98,고객법인일정파일!$C$4:$C$192,0)),""))</f>
        <v/>
      </c>
    </row>
    <row r="99" spans="15:19">
      <c r="O99" s="11" t="str">
        <f>IF(IF(OR(NOT(ISBLANK(고객법인일정파일!B99)),ISBLANK(고객법인일정파일!C99),고객법인일정파일!C99="Total"),"",IF(ISNUMBER(FIND("-",고객법인일정파일!C99)),LEFT(고객법인일정파일!C99,FIND("-",고객법인일정파일!C99)-1),IF(ISNUMBER(FIND(" ",고객법인일정파일!C99)),LEFT(고객법인일정파일!C99,FIND(" ",고객법인일정파일!C99)-1),고객법인일정파일!C99)))="한총","sec",IF(OR(NOT(ISBLANK(고객법인일정파일!B99)),ISBLANK(고객법인일정파일!C99),고객법인일정파일!C99="Total"),"",IF(ISNUMBER(FIND("-",고객법인일정파일!C99)),LEFT(고객법인일정파일!C99,FIND("-",고객법인일정파일!C99)-1),IF(ISNUMBER(FIND(" ",고객법인일정파일!C99)),LEFT(고객법인일정파일!C99,FIND(" ",고객법인일정파일!C99)-1),고객법인일정파일!C99))))</f>
        <v/>
      </c>
      <c r="P99" s="11" t="str">
        <f>IF(ISBLANK(태깅기획site_code!F99),"",IF(COUNTIF(고객법인일정파일!$C$4:$C$200,태깅기획site_code!D99&amp;"-"&amp;UPPER(IF(ISNUMBER(FIND("_",태깅기획site_code!F99)),LEFT(태깅기획site_code!F99,FIND("_",태깅기획site_code!F99)-1),태깅기획site_code!F99)))&gt;0,태깅기획site_code!D99&amp;"-"&amp;UPPER(IF(ISNUMBER(FIND("_",태깅기획site_code!F99)),LEFT(태깅기획site_code!F99,FIND("_",태깅기획site_code!F99)-1),태깅기획site_code!F99)),IF(COUNTIF(고객법인일정파일!$C$4:$C$200,태깅기획site_code!D99&amp;" ("&amp;PROPER(LEFT(태깅기획site_code!F99,FIND("_",태깅기획site_code!F99)-1))&amp;"_"&amp;UPPER(MID(태깅기획site_code!F99,FIND("_",태깅기획site_code!F99)+1,20))&amp;")")&gt;0,태깅기획site_code!D99&amp;" ("&amp;PROPER(LEFT(태깅기획site_code!F99,FIND("_",태깅기획site_code!F99)-1))&amp;"_"&amp;UPPER(MID(태깅기획site_code!F99,FIND("_",태깅기획site_code!F99)+1,20))&amp;")",IF(COUNTIF(고객법인일정파일!$C$4:$C$200,태깅기획site_code!D99)&gt;0,태깅기획site_code!D99,IF(ISNUMBER(FIND("_",태깅기획site_code!F99)),"",IFERROR(INDEX(고객법인일정파일!$C$4:$C$200,MATCH(태깅기획site_code!D99,$O$4:$O$200,0)),IF(ISNUMBER(FIND("-",태깅기획site_code!D99)),IFERROR(INDEX(고객법인일정파일!$C$4:$C$200,MATCH(LEFT(태깅기획site_code!D99,FIND("-",태깅기획site_code!D99)-1),고객법인일정파일!$C$4:$C$200,0)),""),IF(태깅기획site_code!D99="SCA",IF(RIGHT(태깅기획site_code!F99,3)="_fr",IFERROR(INDEX(고객법인일정파일!$C$4:$C$200,MATCH("SEWA (Africa_FR)",고객법인일정파일!$C$4:$C$200,0)),""),IF(RIGHT(태깅기획site_code!F99,3)="_en",IFERROR(INDEX(고객법인일정파일!$C$4:$C$200,MATCH("SEWA (Africa_EN)",고객법인일정파일!$C$4:$C$200,0)),""),"")),""))))))))</f>
        <v/>
      </c>
      <c r="Q99" s="11" t="str">
        <f>IF(LEN(TRIM(P99))=0,"",IFERROR(INDEX(고객법인일정파일!$E$4:$E$192,MATCH(P99,고객법인일정파일!$C$4:$C$192,0)),""))</f>
        <v/>
      </c>
      <c r="R99" s="12" t="str">
        <f>IF(OR(LEN(TRIM(P99))=0,Q99="X",Q99&lt;&gt;"O"),"",IFERROR(INDEX(고객법인일정파일!$F$4:$F$192,MATCH(P99,고객법인일정파일!$C$4:$C$192,0)),""))</f>
        <v/>
      </c>
      <c r="S99" s="12" t="str">
        <f>IF(OR(LEN(TRIM(P99))=0,Q99="X",Q99&lt;&gt;"O"),"",IFERROR(INDEX(고객법인일정파일!$H$4:$H$192,MATCH(P99,고객법인일정파일!$C$4:$C$192,0)),""))</f>
        <v/>
      </c>
    </row>
    <row r="100" spans="15:19">
      <c r="O100" s="11" t="str">
        <f>IF(IF(OR(NOT(ISBLANK(고객법인일정파일!B100)),ISBLANK(고객법인일정파일!C100),고객법인일정파일!C100="Total"),"",IF(ISNUMBER(FIND("-",고객법인일정파일!C100)),LEFT(고객법인일정파일!C100,FIND("-",고객법인일정파일!C100)-1),IF(ISNUMBER(FIND(" ",고객법인일정파일!C100)),LEFT(고객법인일정파일!C100,FIND(" ",고객법인일정파일!C100)-1),고객법인일정파일!C100)))="한총","sec",IF(OR(NOT(ISBLANK(고객법인일정파일!B100)),ISBLANK(고객법인일정파일!C100),고객법인일정파일!C100="Total"),"",IF(ISNUMBER(FIND("-",고객법인일정파일!C100)),LEFT(고객법인일정파일!C100,FIND("-",고객법인일정파일!C100)-1),IF(ISNUMBER(FIND(" ",고객법인일정파일!C100)),LEFT(고객법인일정파일!C100,FIND(" ",고객법인일정파일!C100)-1),고객법인일정파일!C100))))</f>
        <v/>
      </c>
      <c r="P100" s="11" t="str">
        <f>IF(ISBLANK(태깅기획site_code!F100),"",IF(COUNTIF(고객법인일정파일!$C$4:$C$200,태깅기획site_code!D100&amp;"-"&amp;UPPER(IF(ISNUMBER(FIND("_",태깅기획site_code!F100)),LEFT(태깅기획site_code!F100,FIND("_",태깅기획site_code!F100)-1),태깅기획site_code!F100)))&gt;0,태깅기획site_code!D100&amp;"-"&amp;UPPER(IF(ISNUMBER(FIND("_",태깅기획site_code!F100)),LEFT(태깅기획site_code!F100,FIND("_",태깅기획site_code!F100)-1),태깅기획site_code!F100)),IF(COUNTIF(고객법인일정파일!$C$4:$C$200,태깅기획site_code!D100&amp;" ("&amp;PROPER(LEFT(태깅기획site_code!F100,FIND("_",태깅기획site_code!F100)-1))&amp;"_"&amp;UPPER(MID(태깅기획site_code!F100,FIND("_",태깅기획site_code!F100)+1,20))&amp;")")&gt;0,태깅기획site_code!D100&amp;" ("&amp;PROPER(LEFT(태깅기획site_code!F100,FIND("_",태깅기획site_code!F100)-1))&amp;"_"&amp;UPPER(MID(태깅기획site_code!F100,FIND("_",태깅기획site_code!F100)+1,20))&amp;")",IF(COUNTIF(고객법인일정파일!$C$4:$C$200,태깅기획site_code!D100)&gt;0,태깅기획site_code!D100,IF(ISNUMBER(FIND("_",태깅기획site_code!F100)),"",IFERROR(INDEX(고객법인일정파일!$C$4:$C$200,MATCH(태깅기획site_code!D100,$O$4:$O$200,0)),IF(ISNUMBER(FIND("-",태깅기획site_code!D100)),IFERROR(INDEX(고객법인일정파일!$C$4:$C$200,MATCH(LEFT(태깅기획site_code!D100,FIND("-",태깅기획site_code!D100)-1),고객법인일정파일!$C$4:$C$200,0)),""),IF(태깅기획site_code!D100="SCA",IF(RIGHT(태깅기획site_code!F100,3)="_fr",IFERROR(INDEX(고객법인일정파일!$C$4:$C$200,MATCH("SEWA (Africa_FR)",고객법인일정파일!$C$4:$C$200,0)),""),IF(RIGHT(태깅기획site_code!F100,3)="_en",IFERROR(INDEX(고객법인일정파일!$C$4:$C$200,MATCH("SEWA (Africa_EN)",고객법인일정파일!$C$4:$C$200,0)),""),"")),""))))))))</f>
        <v/>
      </c>
      <c r="Q100" s="11" t="str">
        <f>IF(LEN(TRIM(P100))=0,"",IFERROR(INDEX(고객법인일정파일!$E$4:$E$192,MATCH(P100,고객법인일정파일!$C$4:$C$192,0)),""))</f>
        <v/>
      </c>
      <c r="R100" s="12" t="str">
        <f>IF(OR(LEN(TRIM(P100))=0,Q100="X",Q100&lt;&gt;"O"),"",IFERROR(INDEX(고객법인일정파일!$F$4:$F$192,MATCH(P100,고객법인일정파일!$C$4:$C$192,0)),""))</f>
        <v/>
      </c>
      <c r="S100" s="12" t="str">
        <f>IF(OR(LEN(TRIM(P100))=0,Q100="X",Q100&lt;&gt;"O"),"",IFERROR(INDEX(고객법인일정파일!$H$4:$H$192,MATCH(P100,고객법인일정파일!$C$4:$C$192,0)),""))</f>
        <v/>
      </c>
    </row>
    <row r="101" spans="15:19">
      <c r="O101" s="11" t="str">
        <f>IF(IF(OR(NOT(ISBLANK(고객법인일정파일!B101)),ISBLANK(고객법인일정파일!C101),고객법인일정파일!C101="Total"),"",IF(ISNUMBER(FIND("-",고객법인일정파일!C101)),LEFT(고객법인일정파일!C101,FIND("-",고객법인일정파일!C101)-1),IF(ISNUMBER(FIND(" ",고객법인일정파일!C101)),LEFT(고객법인일정파일!C101,FIND(" ",고객법인일정파일!C101)-1),고객법인일정파일!C101)))="한총","sec",IF(OR(NOT(ISBLANK(고객법인일정파일!B101)),ISBLANK(고객법인일정파일!C101),고객법인일정파일!C101="Total"),"",IF(ISNUMBER(FIND("-",고객법인일정파일!C101)),LEFT(고객법인일정파일!C101,FIND("-",고객법인일정파일!C101)-1),IF(ISNUMBER(FIND(" ",고객법인일정파일!C101)),LEFT(고객법인일정파일!C101,FIND(" ",고객법인일정파일!C101)-1),고객법인일정파일!C101))))</f>
        <v/>
      </c>
      <c r="P101" s="11" t="str">
        <f>IF(ISBLANK(태깅기획site_code!F101),"",IF(COUNTIF(고객법인일정파일!$C$4:$C$200,태깅기획site_code!D101&amp;"-"&amp;UPPER(IF(ISNUMBER(FIND("_",태깅기획site_code!F101)),LEFT(태깅기획site_code!F101,FIND("_",태깅기획site_code!F101)-1),태깅기획site_code!F101)))&gt;0,태깅기획site_code!D101&amp;"-"&amp;UPPER(IF(ISNUMBER(FIND("_",태깅기획site_code!F101)),LEFT(태깅기획site_code!F101,FIND("_",태깅기획site_code!F101)-1),태깅기획site_code!F101)),IF(COUNTIF(고객법인일정파일!$C$4:$C$200,태깅기획site_code!D101&amp;" ("&amp;PROPER(LEFT(태깅기획site_code!F101,FIND("_",태깅기획site_code!F101)-1))&amp;"_"&amp;UPPER(MID(태깅기획site_code!F101,FIND("_",태깅기획site_code!F101)+1,20))&amp;")")&gt;0,태깅기획site_code!D101&amp;" ("&amp;PROPER(LEFT(태깅기획site_code!F101,FIND("_",태깅기획site_code!F101)-1))&amp;"_"&amp;UPPER(MID(태깅기획site_code!F101,FIND("_",태깅기획site_code!F101)+1,20))&amp;")",IF(COUNTIF(고객법인일정파일!$C$4:$C$200,태깅기획site_code!D101)&gt;0,태깅기획site_code!D101,IF(ISNUMBER(FIND("_",태깅기획site_code!F101)),"",IFERROR(INDEX(고객법인일정파일!$C$4:$C$200,MATCH(태깅기획site_code!D101,$O$4:$O$200,0)),IF(ISNUMBER(FIND("-",태깅기획site_code!D101)),IFERROR(INDEX(고객법인일정파일!$C$4:$C$200,MATCH(LEFT(태깅기획site_code!D101,FIND("-",태깅기획site_code!D101)-1),고객법인일정파일!$C$4:$C$200,0)),""),IF(태깅기획site_code!D101="SCA",IF(RIGHT(태깅기획site_code!F101,3)="_fr",IFERROR(INDEX(고객법인일정파일!$C$4:$C$200,MATCH("SEWA (Africa_FR)",고객법인일정파일!$C$4:$C$200,0)),""),IF(RIGHT(태깅기획site_code!F101,3)="_en",IFERROR(INDEX(고객법인일정파일!$C$4:$C$200,MATCH("SEWA (Africa_EN)",고객법인일정파일!$C$4:$C$200,0)),""),"")),""))))))))</f>
        <v/>
      </c>
      <c r="Q101" s="11" t="str">
        <f>IF(LEN(TRIM(P101))=0,"",IFERROR(INDEX(고객법인일정파일!$E$4:$E$192,MATCH(P101,고객법인일정파일!$C$4:$C$192,0)),""))</f>
        <v/>
      </c>
      <c r="R101" s="12" t="str">
        <f>IF(OR(LEN(TRIM(P101))=0,Q101="X",Q101&lt;&gt;"O"),"",IFERROR(INDEX(고객법인일정파일!$F$4:$F$192,MATCH(P101,고객법인일정파일!$C$4:$C$192,0)),""))</f>
        <v/>
      </c>
      <c r="S101" s="12" t="str">
        <f>IF(OR(LEN(TRIM(P101))=0,Q101="X",Q101&lt;&gt;"O"),"",IFERROR(INDEX(고객법인일정파일!$H$4:$H$192,MATCH(P101,고객법인일정파일!$C$4:$C$192,0)),""))</f>
        <v/>
      </c>
    </row>
    <row r="102" spans="15:19">
      <c r="O102" s="11" t="str">
        <f>IF(IF(OR(NOT(ISBLANK(고객법인일정파일!B102)),ISBLANK(고객법인일정파일!C102),고객법인일정파일!C102="Total"),"",IF(ISNUMBER(FIND("-",고객법인일정파일!C102)),LEFT(고객법인일정파일!C102,FIND("-",고객법인일정파일!C102)-1),IF(ISNUMBER(FIND(" ",고객법인일정파일!C102)),LEFT(고객법인일정파일!C102,FIND(" ",고객법인일정파일!C102)-1),고객법인일정파일!C102)))="한총","sec",IF(OR(NOT(ISBLANK(고객법인일정파일!B102)),ISBLANK(고객법인일정파일!C102),고객법인일정파일!C102="Total"),"",IF(ISNUMBER(FIND("-",고객법인일정파일!C102)),LEFT(고객법인일정파일!C102,FIND("-",고객법인일정파일!C102)-1),IF(ISNUMBER(FIND(" ",고객법인일정파일!C102)),LEFT(고객법인일정파일!C102,FIND(" ",고객법인일정파일!C102)-1),고객법인일정파일!C102))))</f>
        <v/>
      </c>
      <c r="P102" s="11" t="str">
        <f>IF(ISBLANK(태깅기획site_code!F102),"",IF(COUNTIF(고객법인일정파일!$C$4:$C$200,태깅기획site_code!D102&amp;"-"&amp;UPPER(IF(ISNUMBER(FIND("_",태깅기획site_code!F102)),LEFT(태깅기획site_code!F102,FIND("_",태깅기획site_code!F102)-1),태깅기획site_code!F102)))&gt;0,태깅기획site_code!D102&amp;"-"&amp;UPPER(IF(ISNUMBER(FIND("_",태깅기획site_code!F102)),LEFT(태깅기획site_code!F102,FIND("_",태깅기획site_code!F102)-1),태깅기획site_code!F102)),IF(COUNTIF(고객법인일정파일!$C$4:$C$200,태깅기획site_code!D102&amp;" ("&amp;PROPER(LEFT(태깅기획site_code!F102,FIND("_",태깅기획site_code!F102)-1))&amp;"_"&amp;UPPER(MID(태깅기획site_code!F102,FIND("_",태깅기획site_code!F102)+1,20))&amp;")")&gt;0,태깅기획site_code!D102&amp;" ("&amp;PROPER(LEFT(태깅기획site_code!F102,FIND("_",태깅기획site_code!F102)-1))&amp;"_"&amp;UPPER(MID(태깅기획site_code!F102,FIND("_",태깅기획site_code!F102)+1,20))&amp;")",IF(COUNTIF(고객법인일정파일!$C$4:$C$200,태깅기획site_code!D102)&gt;0,태깅기획site_code!D102,IF(ISNUMBER(FIND("_",태깅기획site_code!F102)),"",IFERROR(INDEX(고객법인일정파일!$C$4:$C$200,MATCH(태깅기획site_code!D102,$O$4:$O$200,0)),IF(ISNUMBER(FIND("-",태깅기획site_code!D102)),IFERROR(INDEX(고객법인일정파일!$C$4:$C$200,MATCH(LEFT(태깅기획site_code!D102,FIND("-",태깅기획site_code!D102)-1),고객법인일정파일!$C$4:$C$200,0)),""),IF(태깅기획site_code!D102="SCA",IF(RIGHT(태깅기획site_code!F102,3)="_fr",IFERROR(INDEX(고객법인일정파일!$C$4:$C$200,MATCH("SEWA (Africa_FR)",고객법인일정파일!$C$4:$C$200,0)),""),IF(RIGHT(태깅기획site_code!F102,3)="_en",IFERROR(INDEX(고객법인일정파일!$C$4:$C$200,MATCH("SEWA (Africa_EN)",고객법인일정파일!$C$4:$C$200,0)),""),"")),""))))))))</f>
        <v/>
      </c>
      <c r="Q102" s="11" t="str">
        <f>IF(LEN(TRIM(P102))=0,"",IFERROR(INDEX(고객법인일정파일!$E$4:$E$192,MATCH(P102,고객법인일정파일!$C$4:$C$192,0)),""))</f>
        <v/>
      </c>
      <c r="R102" s="12" t="str">
        <f>IF(OR(LEN(TRIM(P102))=0,Q102="X",Q102&lt;&gt;"O"),"",IFERROR(INDEX(고객법인일정파일!$F$4:$F$192,MATCH(P102,고객법인일정파일!$C$4:$C$192,0)),""))</f>
        <v/>
      </c>
      <c r="S102" s="12" t="str">
        <f>IF(OR(LEN(TRIM(P102))=0,Q102="X",Q102&lt;&gt;"O"),"",IFERROR(INDEX(고객법인일정파일!$H$4:$H$192,MATCH(P102,고객법인일정파일!$C$4:$C$192,0)),""))</f>
        <v/>
      </c>
    </row>
    <row r="103" spans="15:19">
      <c r="O103" s="11" t="str">
        <f>IF(IF(OR(NOT(ISBLANK(고객법인일정파일!B103)),ISBLANK(고객법인일정파일!C103),고객법인일정파일!C103="Total"),"",IF(ISNUMBER(FIND("-",고객법인일정파일!C103)),LEFT(고객법인일정파일!C103,FIND("-",고객법인일정파일!C103)-1),IF(ISNUMBER(FIND(" ",고객법인일정파일!C103)),LEFT(고객법인일정파일!C103,FIND(" ",고객법인일정파일!C103)-1),고객법인일정파일!C103)))="한총","sec",IF(OR(NOT(ISBLANK(고객법인일정파일!B103)),ISBLANK(고객법인일정파일!C103),고객법인일정파일!C103="Total"),"",IF(ISNUMBER(FIND("-",고객법인일정파일!C103)),LEFT(고객법인일정파일!C103,FIND("-",고객법인일정파일!C103)-1),IF(ISNUMBER(FIND(" ",고객법인일정파일!C103)),LEFT(고객법인일정파일!C103,FIND(" ",고객법인일정파일!C103)-1),고객법인일정파일!C103))))</f>
        <v/>
      </c>
      <c r="P103" s="11" t="str">
        <f>IF(ISBLANK(태깅기획site_code!F103),"",IF(COUNTIF(고객법인일정파일!$C$4:$C$200,태깅기획site_code!D103&amp;"-"&amp;UPPER(IF(ISNUMBER(FIND("_",태깅기획site_code!F103)),LEFT(태깅기획site_code!F103,FIND("_",태깅기획site_code!F103)-1),태깅기획site_code!F103)))&gt;0,태깅기획site_code!D103&amp;"-"&amp;UPPER(IF(ISNUMBER(FIND("_",태깅기획site_code!F103)),LEFT(태깅기획site_code!F103,FIND("_",태깅기획site_code!F103)-1),태깅기획site_code!F103)),IF(COUNTIF(고객법인일정파일!$C$4:$C$200,태깅기획site_code!D103&amp;" ("&amp;PROPER(LEFT(태깅기획site_code!F103,FIND("_",태깅기획site_code!F103)-1))&amp;"_"&amp;UPPER(MID(태깅기획site_code!F103,FIND("_",태깅기획site_code!F103)+1,20))&amp;")")&gt;0,태깅기획site_code!D103&amp;" ("&amp;PROPER(LEFT(태깅기획site_code!F103,FIND("_",태깅기획site_code!F103)-1))&amp;"_"&amp;UPPER(MID(태깅기획site_code!F103,FIND("_",태깅기획site_code!F103)+1,20))&amp;")",IF(COUNTIF(고객법인일정파일!$C$4:$C$200,태깅기획site_code!D103)&gt;0,태깅기획site_code!D103,IF(ISNUMBER(FIND("_",태깅기획site_code!F103)),"",IFERROR(INDEX(고객법인일정파일!$C$4:$C$200,MATCH(태깅기획site_code!D103,$O$4:$O$200,0)),IF(ISNUMBER(FIND("-",태깅기획site_code!D103)),IFERROR(INDEX(고객법인일정파일!$C$4:$C$200,MATCH(LEFT(태깅기획site_code!D103,FIND("-",태깅기획site_code!D103)-1),고객법인일정파일!$C$4:$C$200,0)),""),IF(태깅기획site_code!D103="SCA",IF(RIGHT(태깅기획site_code!F103,3)="_fr",IFERROR(INDEX(고객법인일정파일!$C$4:$C$200,MATCH("SEWA (Africa_FR)",고객법인일정파일!$C$4:$C$200,0)),""),IF(RIGHT(태깅기획site_code!F103,3)="_en",IFERROR(INDEX(고객법인일정파일!$C$4:$C$200,MATCH("SEWA (Africa_EN)",고객법인일정파일!$C$4:$C$200,0)),""),"")),""))))))))</f>
        <v/>
      </c>
      <c r="Q103" s="11" t="str">
        <f>IF(LEN(TRIM(P103))=0,"",IFERROR(INDEX(고객법인일정파일!$E$4:$E$192,MATCH(P103,고객법인일정파일!$C$4:$C$192,0)),""))</f>
        <v/>
      </c>
      <c r="R103" s="12" t="str">
        <f>IF(OR(LEN(TRIM(P103))=0,Q103="X",Q103&lt;&gt;"O"),"",IFERROR(INDEX(고객법인일정파일!$F$4:$F$192,MATCH(P103,고객법인일정파일!$C$4:$C$192,0)),""))</f>
        <v/>
      </c>
      <c r="S103" s="12" t="str">
        <f>IF(OR(LEN(TRIM(P103))=0,Q103="X",Q103&lt;&gt;"O"),"",IFERROR(INDEX(고객법인일정파일!$H$4:$H$192,MATCH(P103,고객법인일정파일!$C$4:$C$192,0)),""))</f>
        <v/>
      </c>
    </row>
    <row r="104" spans="15:19">
      <c r="O104" s="11" t="str">
        <f>IF(IF(OR(NOT(ISBLANK(고객법인일정파일!B104)),ISBLANK(고객법인일정파일!C104),고객법인일정파일!C104="Total"),"",IF(ISNUMBER(FIND("-",고객법인일정파일!C104)),LEFT(고객법인일정파일!C104,FIND("-",고객법인일정파일!C104)-1),IF(ISNUMBER(FIND(" ",고객법인일정파일!C104)),LEFT(고객법인일정파일!C104,FIND(" ",고객법인일정파일!C104)-1),고객법인일정파일!C104)))="한총","sec",IF(OR(NOT(ISBLANK(고객법인일정파일!B104)),ISBLANK(고객법인일정파일!C104),고객법인일정파일!C104="Total"),"",IF(ISNUMBER(FIND("-",고객법인일정파일!C104)),LEFT(고객법인일정파일!C104,FIND("-",고객법인일정파일!C104)-1),IF(ISNUMBER(FIND(" ",고객법인일정파일!C104)),LEFT(고객법인일정파일!C104,FIND(" ",고객법인일정파일!C104)-1),고객법인일정파일!C104))))</f>
        <v/>
      </c>
      <c r="P104" s="11" t="str">
        <f>IF(ISBLANK(태깅기획site_code!F104),"",IF(COUNTIF(고객법인일정파일!$C$4:$C$200,태깅기획site_code!D104&amp;"-"&amp;UPPER(IF(ISNUMBER(FIND("_",태깅기획site_code!F104)),LEFT(태깅기획site_code!F104,FIND("_",태깅기획site_code!F104)-1),태깅기획site_code!F104)))&gt;0,태깅기획site_code!D104&amp;"-"&amp;UPPER(IF(ISNUMBER(FIND("_",태깅기획site_code!F104)),LEFT(태깅기획site_code!F104,FIND("_",태깅기획site_code!F104)-1),태깅기획site_code!F104)),IF(COUNTIF(고객법인일정파일!$C$4:$C$200,태깅기획site_code!D104&amp;" ("&amp;PROPER(LEFT(태깅기획site_code!F104,FIND("_",태깅기획site_code!F104)-1))&amp;"_"&amp;UPPER(MID(태깅기획site_code!F104,FIND("_",태깅기획site_code!F104)+1,20))&amp;")")&gt;0,태깅기획site_code!D104&amp;" ("&amp;PROPER(LEFT(태깅기획site_code!F104,FIND("_",태깅기획site_code!F104)-1))&amp;"_"&amp;UPPER(MID(태깅기획site_code!F104,FIND("_",태깅기획site_code!F104)+1,20))&amp;")",IF(COUNTIF(고객법인일정파일!$C$4:$C$200,태깅기획site_code!D104)&gt;0,태깅기획site_code!D104,IF(ISNUMBER(FIND("_",태깅기획site_code!F104)),"",IFERROR(INDEX(고객법인일정파일!$C$4:$C$200,MATCH(태깅기획site_code!D104,$O$4:$O$200,0)),IF(ISNUMBER(FIND("-",태깅기획site_code!D104)),IFERROR(INDEX(고객법인일정파일!$C$4:$C$200,MATCH(LEFT(태깅기획site_code!D104,FIND("-",태깅기획site_code!D104)-1),고객법인일정파일!$C$4:$C$200,0)),""),IF(태깅기획site_code!D104="SCA",IF(RIGHT(태깅기획site_code!F104,3)="_fr",IFERROR(INDEX(고객법인일정파일!$C$4:$C$200,MATCH("SEWA (Africa_FR)",고객법인일정파일!$C$4:$C$200,0)),""),IF(RIGHT(태깅기획site_code!F104,3)="_en",IFERROR(INDEX(고객법인일정파일!$C$4:$C$200,MATCH("SEWA (Africa_EN)",고객법인일정파일!$C$4:$C$200,0)),""),"")),""))))))))</f>
        <v/>
      </c>
      <c r="Q104" s="11" t="str">
        <f>IF(LEN(TRIM(P104))=0,"",IFERROR(INDEX(고객법인일정파일!$E$4:$E$192,MATCH(P104,고객법인일정파일!$C$4:$C$192,0)),""))</f>
        <v/>
      </c>
      <c r="R104" s="12" t="str">
        <f>IF(OR(LEN(TRIM(P104))=0,Q104="X",Q104&lt;&gt;"O"),"",IFERROR(INDEX(고객법인일정파일!$F$4:$F$192,MATCH(P104,고객법인일정파일!$C$4:$C$192,0)),""))</f>
        <v/>
      </c>
      <c r="S104" s="12" t="str">
        <f>IF(OR(LEN(TRIM(P104))=0,Q104="X",Q104&lt;&gt;"O"),"",IFERROR(INDEX(고객법인일정파일!$H$4:$H$192,MATCH(P104,고객법인일정파일!$C$4:$C$192,0)),""))</f>
        <v/>
      </c>
    </row>
    <row r="105" spans="15:19">
      <c r="O105" s="11" t="str">
        <f>IF(IF(OR(NOT(ISBLANK(고객법인일정파일!B105)),ISBLANK(고객법인일정파일!C105),고객법인일정파일!C105="Total"),"",IF(ISNUMBER(FIND("-",고객법인일정파일!C105)),LEFT(고객법인일정파일!C105,FIND("-",고객법인일정파일!C105)-1),IF(ISNUMBER(FIND(" ",고객법인일정파일!C105)),LEFT(고객법인일정파일!C105,FIND(" ",고객법인일정파일!C105)-1),고객법인일정파일!C105)))="한총","sec",IF(OR(NOT(ISBLANK(고객법인일정파일!B105)),ISBLANK(고객법인일정파일!C105),고객법인일정파일!C105="Total"),"",IF(ISNUMBER(FIND("-",고객법인일정파일!C105)),LEFT(고객법인일정파일!C105,FIND("-",고객법인일정파일!C105)-1),IF(ISNUMBER(FIND(" ",고객법인일정파일!C105)),LEFT(고객법인일정파일!C105,FIND(" ",고객법인일정파일!C105)-1),고객법인일정파일!C105))))</f>
        <v/>
      </c>
      <c r="P105" s="11" t="str">
        <f>IF(ISBLANK(태깅기획site_code!F105),"",IF(COUNTIF(고객법인일정파일!$C$4:$C$200,태깅기획site_code!D105&amp;"-"&amp;UPPER(IF(ISNUMBER(FIND("_",태깅기획site_code!F105)),LEFT(태깅기획site_code!F105,FIND("_",태깅기획site_code!F105)-1),태깅기획site_code!F105)))&gt;0,태깅기획site_code!D105&amp;"-"&amp;UPPER(IF(ISNUMBER(FIND("_",태깅기획site_code!F105)),LEFT(태깅기획site_code!F105,FIND("_",태깅기획site_code!F105)-1),태깅기획site_code!F105)),IF(COUNTIF(고객법인일정파일!$C$4:$C$200,태깅기획site_code!D105&amp;" ("&amp;PROPER(LEFT(태깅기획site_code!F105,FIND("_",태깅기획site_code!F105)-1))&amp;"_"&amp;UPPER(MID(태깅기획site_code!F105,FIND("_",태깅기획site_code!F105)+1,20))&amp;")")&gt;0,태깅기획site_code!D105&amp;" ("&amp;PROPER(LEFT(태깅기획site_code!F105,FIND("_",태깅기획site_code!F105)-1))&amp;"_"&amp;UPPER(MID(태깅기획site_code!F105,FIND("_",태깅기획site_code!F105)+1,20))&amp;")",IF(COUNTIF(고객법인일정파일!$C$4:$C$200,태깅기획site_code!D105)&gt;0,태깅기획site_code!D105,IF(ISNUMBER(FIND("_",태깅기획site_code!F105)),"",IFERROR(INDEX(고객법인일정파일!$C$4:$C$200,MATCH(태깅기획site_code!D105,$O$4:$O$200,0)),IF(ISNUMBER(FIND("-",태깅기획site_code!D105)),IFERROR(INDEX(고객법인일정파일!$C$4:$C$200,MATCH(LEFT(태깅기획site_code!D105,FIND("-",태깅기획site_code!D105)-1),고객법인일정파일!$C$4:$C$200,0)),""),IF(태깅기획site_code!D105="SCA",IF(RIGHT(태깅기획site_code!F105,3)="_fr",IFERROR(INDEX(고객법인일정파일!$C$4:$C$200,MATCH("SEWA (Africa_FR)",고객법인일정파일!$C$4:$C$200,0)),""),IF(RIGHT(태깅기획site_code!F105,3)="_en",IFERROR(INDEX(고객법인일정파일!$C$4:$C$200,MATCH("SEWA (Africa_EN)",고객법인일정파일!$C$4:$C$200,0)),""),"")),""))))))))</f>
        <v/>
      </c>
      <c r="Q105" s="11" t="str">
        <f>IF(LEN(TRIM(P105))=0,"",IFERROR(INDEX(고객법인일정파일!$E$4:$E$192,MATCH(P105,고객법인일정파일!$C$4:$C$192,0)),""))</f>
        <v/>
      </c>
      <c r="R105" s="12" t="str">
        <f>IF(OR(LEN(TRIM(P105))=0,Q105="X",Q105&lt;&gt;"O"),"",IFERROR(INDEX(고객법인일정파일!$F$4:$F$192,MATCH(P105,고객법인일정파일!$C$4:$C$192,0)),""))</f>
        <v/>
      </c>
      <c r="S105" s="12" t="str">
        <f>IF(OR(LEN(TRIM(P105))=0,Q105="X",Q105&lt;&gt;"O"),"",IFERROR(INDEX(고객법인일정파일!$H$4:$H$192,MATCH(P105,고객법인일정파일!$C$4:$C$192,0)),""))</f>
        <v/>
      </c>
    </row>
    <row r="106" spans="15:19">
      <c r="O106" s="11" t="str">
        <f>IF(IF(OR(NOT(ISBLANK(고객법인일정파일!B106)),ISBLANK(고객법인일정파일!C106),고객법인일정파일!C106="Total"),"",IF(ISNUMBER(FIND("-",고객법인일정파일!C106)),LEFT(고객법인일정파일!C106,FIND("-",고객법인일정파일!C106)-1),IF(ISNUMBER(FIND(" ",고객법인일정파일!C106)),LEFT(고객법인일정파일!C106,FIND(" ",고객법인일정파일!C106)-1),고객법인일정파일!C106)))="한총","sec",IF(OR(NOT(ISBLANK(고객법인일정파일!B106)),ISBLANK(고객법인일정파일!C106),고객법인일정파일!C106="Total"),"",IF(ISNUMBER(FIND("-",고객법인일정파일!C106)),LEFT(고객법인일정파일!C106,FIND("-",고객법인일정파일!C106)-1),IF(ISNUMBER(FIND(" ",고객법인일정파일!C106)),LEFT(고객법인일정파일!C106,FIND(" ",고객법인일정파일!C106)-1),고객법인일정파일!C106))))</f>
        <v/>
      </c>
      <c r="P106" s="11" t="str">
        <f>IF(ISBLANK(태깅기획site_code!F106),"",IF(COUNTIF(고객법인일정파일!$C$4:$C$200,태깅기획site_code!D106&amp;"-"&amp;UPPER(IF(ISNUMBER(FIND("_",태깅기획site_code!F106)),LEFT(태깅기획site_code!F106,FIND("_",태깅기획site_code!F106)-1),태깅기획site_code!F106)))&gt;0,태깅기획site_code!D106&amp;"-"&amp;UPPER(IF(ISNUMBER(FIND("_",태깅기획site_code!F106)),LEFT(태깅기획site_code!F106,FIND("_",태깅기획site_code!F106)-1),태깅기획site_code!F106)),IF(COUNTIF(고객법인일정파일!$C$4:$C$200,태깅기획site_code!D106&amp;" ("&amp;PROPER(LEFT(태깅기획site_code!F106,FIND("_",태깅기획site_code!F106)-1))&amp;"_"&amp;UPPER(MID(태깅기획site_code!F106,FIND("_",태깅기획site_code!F106)+1,20))&amp;")")&gt;0,태깅기획site_code!D106&amp;" ("&amp;PROPER(LEFT(태깅기획site_code!F106,FIND("_",태깅기획site_code!F106)-1))&amp;"_"&amp;UPPER(MID(태깅기획site_code!F106,FIND("_",태깅기획site_code!F106)+1,20))&amp;")",IF(COUNTIF(고객법인일정파일!$C$4:$C$200,태깅기획site_code!D106)&gt;0,태깅기획site_code!D106,IF(ISNUMBER(FIND("_",태깅기획site_code!F106)),"",IFERROR(INDEX(고객법인일정파일!$C$4:$C$200,MATCH(태깅기획site_code!D106,$O$4:$O$200,0)),IF(ISNUMBER(FIND("-",태깅기획site_code!D106)),IFERROR(INDEX(고객법인일정파일!$C$4:$C$200,MATCH(LEFT(태깅기획site_code!D106,FIND("-",태깅기획site_code!D106)-1),고객법인일정파일!$C$4:$C$200,0)),""),IF(태깅기획site_code!D106="SCA",IF(RIGHT(태깅기획site_code!F106,3)="_fr",IFERROR(INDEX(고객법인일정파일!$C$4:$C$200,MATCH("SEWA (Africa_FR)",고객법인일정파일!$C$4:$C$200,0)),""),IF(RIGHT(태깅기획site_code!F106,3)="_en",IFERROR(INDEX(고객법인일정파일!$C$4:$C$200,MATCH("SEWA (Africa_EN)",고객법인일정파일!$C$4:$C$200,0)),""),"")),""))))))))</f>
        <v/>
      </c>
      <c r="Q106" s="11" t="str">
        <f>IF(LEN(TRIM(P106))=0,"",IFERROR(INDEX(고객법인일정파일!$E$4:$E$192,MATCH(P106,고객법인일정파일!$C$4:$C$192,0)),""))</f>
        <v/>
      </c>
      <c r="R106" s="12" t="str">
        <f>IF(OR(LEN(TRIM(P106))=0,Q106="X",Q106&lt;&gt;"O"),"",IFERROR(INDEX(고객법인일정파일!$F$4:$F$192,MATCH(P106,고객법인일정파일!$C$4:$C$192,0)),""))</f>
        <v/>
      </c>
      <c r="S106" s="12" t="str">
        <f>IF(OR(LEN(TRIM(P106))=0,Q106="X",Q106&lt;&gt;"O"),"",IFERROR(INDEX(고객법인일정파일!$H$4:$H$192,MATCH(P106,고객법인일정파일!$C$4:$C$192,0)),""))</f>
        <v/>
      </c>
    </row>
    <row r="107" spans="15:19">
      <c r="O107" s="11" t="str">
        <f>IF(IF(OR(NOT(ISBLANK(고객법인일정파일!B107)),ISBLANK(고객법인일정파일!C107),고객법인일정파일!C107="Total"),"",IF(ISNUMBER(FIND("-",고객법인일정파일!C107)),LEFT(고객법인일정파일!C107,FIND("-",고객법인일정파일!C107)-1),IF(ISNUMBER(FIND(" ",고객법인일정파일!C107)),LEFT(고객법인일정파일!C107,FIND(" ",고객법인일정파일!C107)-1),고객법인일정파일!C107)))="한총","sec",IF(OR(NOT(ISBLANK(고객법인일정파일!B107)),ISBLANK(고객법인일정파일!C107),고객법인일정파일!C107="Total"),"",IF(ISNUMBER(FIND("-",고객법인일정파일!C107)),LEFT(고객법인일정파일!C107,FIND("-",고객법인일정파일!C107)-1),IF(ISNUMBER(FIND(" ",고객법인일정파일!C107)),LEFT(고객법인일정파일!C107,FIND(" ",고객법인일정파일!C107)-1),고객법인일정파일!C107))))</f>
        <v/>
      </c>
      <c r="P107" s="11" t="str">
        <f>IF(ISBLANK(태깅기획site_code!F107),"",IF(COUNTIF(고객법인일정파일!$C$4:$C$200,태깅기획site_code!D107&amp;"-"&amp;UPPER(IF(ISNUMBER(FIND("_",태깅기획site_code!F107)),LEFT(태깅기획site_code!F107,FIND("_",태깅기획site_code!F107)-1),태깅기획site_code!F107)))&gt;0,태깅기획site_code!D107&amp;"-"&amp;UPPER(IF(ISNUMBER(FIND("_",태깅기획site_code!F107)),LEFT(태깅기획site_code!F107,FIND("_",태깅기획site_code!F107)-1),태깅기획site_code!F107)),IF(COUNTIF(고객법인일정파일!$C$4:$C$200,태깅기획site_code!D107&amp;" ("&amp;PROPER(LEFT(태깅기획site_code!F107,FIND("_",태깅기획site_code!F107)-1))&amp;"_"&amp;UPPER(MID(태깅기획site_code!F107,FIND("_",태깅기획site_code!F107)+1,20))&amp;")")&gt;0,태깅기획site_code!D107&amp;" ("&amp;PROPER(LEFT(태깅기획site_code!F107,FIND("_",태깅기획site_code!F107)-1))&amp;"_"&amp;UPPER(MID(태깅기획site_code!F107,FIND("_",태깅기획site_code!F107)+1,20))&amp;")",IF(COUNTIF(고객법인일정파일!$C$4:$C$200,태깅기획site_code!D107)&gt;0,태깅기획site_code!D107,IF(ISNUMBER(FIND("_",태깅기획site_code!F107)),"",IFERROR(INDEX(고객법인일정파일!$C$4:$C$200,MATCH(태깅기획site_code!D107,$O$4:$O$200,0)),IF(ISNUMBER(FIND("-",태깅기획site_code!D107)),IFERROR(INDEX(고객법인일정파일!$C$4:$C$200,MATCH(LEFT(태깅기획site_code!D107,FIND("-",태깅기획site_code!D107)-1),고객법인일정파일!$C$4:$C$200,0)),""),IF(태깅기획site_code!D107="SCA",IF(RIGHT(태깅기획site_code!F107,3)="_fr",IFERROR(INDEX(고객법인일정파일!$C$4:$C$200,MATCH("SEWA (Africa_FR)",고객법인일정파일!$C$4:$C$200,0)),""),IF(RIGHT(태깅기획site_code!F107,3)="_en",IFERROR(INDEX(고객법인일정파일!$C$4:$C$200,MATCH("SEWA (Africa_EN)",고객법인일정파일!$C$4:$C$200,0)),""),"")),""))))))))</f>
        <v/>
      </c>
      <c r="Q107" s="11" t="str">
        <f>IF(LEN(TRIM(P107))=0,"",IFERROR(INDEX(고객법인일정파일!$E$4:$E$192,MATCH(P107,고객법인일정파일!$C$4:$C$192,0)),""))</f>
        <v/>
      </c>
      <c r="R107" s="12" t="str">
        <f>IF(OR(LEN(TRIM(P107))=0,Q107="X",Q107&lt;&gt;"O"),"",IFERROR(INDEX(고객법인일정파일!$F$4:$F$192,MATCH(P107,고객법인일정파일!$C$4:$C$192,0)),""))</f>
        <v/>
      </c>
      <c r="S107" s="12" t="str">
        <f>IF(OR(LEN(TRIM(P107))=0,Q107="X",Q107&lt;&gt;"O"),"",IFERROR(INDEX(고객법인일정파일!$H$4:$H$192,MATCH(P107,고객법인일정파일!$C$4:$C$192,0)),""))</f>
        <v/>
      </c>
    </row>
    <row r="108" spans="15:19">
      <c r="O108" s="11" t="str">
        <f>IF(IF(OR(NOT(ISBLANK(고객법인일정파일!B108)),ISBLANK(고객법인일정파일!C108),고객법인일정파일!C108="Total"),"",IF(ISNUMBER(FIND("-",고객법인일정파일!C108)),LEFT(고객법인일정파일!C108,FIND("-",고객법인일정파일!C108)-1),IF(ISNUMBER(FIND(" ",고객법인일정파일!C108)),LEFT(고객법인일정파일!C108,FIND(" ",고객법인일정파일!C108)-1),고객법인일정파일!C108)))="한총","sec",IF(OR(NOT(ISBLANK(고객법인일정파일!B108)),ISBLANK(고객법인일정파일!C108),고객법인일정파일!C108="Total"),"",IF(ISNUMBER(FIND("-",고객법인일정파일!C108)),LEFT(고객법인일정파일!C108,FIND("-",고객법인일정파일!C108)-1),IF(ISNUMBER(FIND(" ",고객법인일정파일!C108)),LEFT(고객법인일정파일!C108,FIND(" ",고객법인일정파일!C108)-1),고객법인일정파일!C108))))</f>
        <v/>
      </c>
      <c r="P108" s="11" t="str">
        <f>IF(ISBLANK(태깅기획site_code!F108),"",IF(COUNTIF(고객법인일정파일!$C$4:$C$200,태깅기획site_code!D108&amp;"-"&amp;UPPER(IF(ISNUMBER(FIND("_",태깅기획site_code!F108)),LEFT(태깅기획site_code!F108,FIND("_",태깅기획site_code!F108)-1),태깅기획site_code!F108)))&gt;0,태깅기획site_code!D108&amp;"-"&amp;UPPER(IF(ISNUMBER(FIND("_",태깅기획site_code!F108)),LEFT(태깅기획site_code!F108,FIND("_",태깅기획site_code!F108)-1),태깅기획site_code!F108)),IF(COUNTIF(고객법인일정파일!$C$4:$C$200,태깅기획site_code!D108&amp;" ("&amp;PROPER(LEFT(태깅기획site_code!F108,FIND("_",태깅기획site_code!F108)-1))&amp;"_"&amp;UPPER(MID(태깅기획site_code!F108,FIND("_",태깅기획site_code!F108)+1,20))&amp;")")&gt;0,태깅기획site_code!D108&amp;" ("&amp;PROPER(LEFT(태깅기획site_code!F108,FIND("_",태깅기획site_code!F108)-1))&amp;"_"&amp;UPPER(MID(태깅기획site_code!F108,FIND("_",태깅기획site_code!F108)+1,20))&amp;")",IF(COUNTIF(고객법인일정파일!$C$4:$C$200,태깅기획site_code!D108)&gt;0,태깅기획site_code!D108,IF(ISNUMBER(FIND("_",태깅기획site_code!F108)),"",IFERROR(INDEX(고객법인일정파일!$C$4:$C$200,MATCH(태깅기획site_code!D108,$O$4:$O$200,0)),IF(ISNUMBER(FIND("-",태깅기획site_code!D108)),IFERROR(INDEX(고객법인일정파일!$C$4:$C$200,MATCH(LEFT(태깅기획site_code!D108,FIND("-",태깅기획site_code!D108)-1),고객법인일정파일!$C$4:$C$200,0)),""),IF(태깅기획site_code!D108="SCA",IF(RIGHT(태깅기획site_code!F108,3)="_fr",IFERROR(INDEX(고객법인일정파일!$C$4:$C$200,MATCH("SEWA (Africa_FR)",고객법인일정파일!$C$4:$C$200,0)),""),IF(RIGHT(태깅기획site_code!F108,3)="_en",IFERROR(INDEX(고객법인일정파일!$C$4:$C$200,MATCH("SEWA (Africa_EN)",고객법인일정파일!$C$4:$C$200,0)),""),"")),""))))))))</f>
        <v/>
      </c>
      <c r="Q108" s="11" t="str">
        <f>IF(LEN(TRIM(P108))=0,"",IFERROR(INDEX(고객법인일정파일!$E$4:$E$192,MATCH(P108,고객법인일정파일!$C$4:$C$192,0)),""))</f>
        <v/>
      </c>
      <c r="R108" s="12" t="str">
        <f>IF(OR(LEN(TRIM(P108))=0,Q108="X",Q108&lt;&gt;"O"),"",IFERROR(INDEX(고객법인일정파일!$F$4:$F$192,MATCH(P108,고객법인일정파일!$C$4:$C$192,0)),""))</f>
        <v/>
      </c>
      <c r="S108" s="12" t="str">
        <f>IF(OR(LEN(TRIM(P108))=0,Q108="X",Q108&lt;&gt;"O"),"",IFERROR(INDEX(고객법인일정파일!$H$4:$H$192,MATCH(P108,고객법인일정파일!$C$4:$C$192,0)),""))</f>
        <v/>
      </c>
    </row>
    <row r="109" spans="15:19">
      <c r="O109" s="11" t="str">
        <f>IF(IF(OR(NOT(ISBLANK(고객법인일정파일!B109)),ISBLANK(고객법인일정파일!C109),고객법인일정파일!C109="Total"),"",IF(ISNUMBER(FIND("-",고객법인일정파일!C109)),LEFT(고객법인일정파일!C109,FIND("-",고객법인일정파일!C109)-1),IF(ISNUMBER(FIND(" ",고객법인일정파일!C109)),LEFT(고객법인일정파일!C109,FIND(" ",고객법인일정파일!C109)-1),고객법인일정파일!C109)))="한총","sec",IF(OR(NOT(ISBLANK(고객법인일정파일!B109)),ISBLANK(고객법인일정파일!C109),고객법인일정파일!C109="Total"),"",IF(ISNUMBER(FIND("-",고객법인일정파일!C109)),LEFT(고객법인일정파일!C109,FIND("-",고객법인일정파일!C109)-1),IF(ISNUMBER(FIND(" ",고객법인일정파일!C109)),LEFT(고객법인일정파일!C109,FIND(" ",고객법인일정파일!C109)-1),고객법인일정파일!C109))))</f>
        <v/>
      </c>
      <c r="P109" s="11" t="str">
        <f>IF(ISBLANK(태깅기획site_code!F109),"",IF(COUNTIF(고객법인일정파일!$C$4:$C$200,태깅기획site_code!D109&amp;"-"&amp;UPPER(IF(ISNUMBER(FIND("_",태깅기획site_code!F109)),LEFT(태깅기획site_code!F109,FIND("_",태깅기획site_code!F109)-1),태깅기획site_code!F109)))&gt;0,태깅기획site_code!D109&amp;"-"&amp;UPPER(IF(ISNUMBER(FIND("_",태깅기획site_code!F109)),LEFT(태깅기획site_code!F109,FIND("_",태깅기획site_code!F109)-1),태깅기획site_code!F109)),IF(COUNTIF(고객법인일정파일!$C$4:$C$200,태깅기획site_code!D109&amp;" ("&amp;PROPER(LEFT(태깅기획site_code!F109,FIND("_",태깅기획site_code!F109)-1))&amp;"_"&amp;UPPER(MID(태깅기획site_code!F109,FIND("_",태깅기획site_code!F109)+1,20))&amp;")")&gt;0,태깅기획site_code!D109&amp;" ("&amp;PROPER(LEFT(태깅기획site_code!F109,FIND("_",태깅기획site_code!F109)-1))&amp;"_"&amp;UPPER(MID(태깅기획site_code!F109,FIND("_",태깅기획site_code!F109)+1,20))&amp;")",IF(COUNTIF(고객법인일정파일!$C$4:$C$200,태깅기획site_code!D109)&gt;0,태깅기획site_code!D109,IF(ISNUMBER(FIND("_",태깅기획site_code!F109)),"",IFERROR(INDEX(고객법인일정파일!$C$4:$C$200,MATCH(태깅기획site_code!D109,$O$4:$O$200,0)),IF(ISNUMBER(FIND("-",태깅기획site_code!D109)),IFERROR(INDEX(고객법인일정파일!$C$4:$C$200,MATCH(LEFT(태깅기획site_code!D109,FIND("-",태깅기획site_code!D109)-1),고객법인일정파일!$C$4:$C$200,0)),""),IF(태깅기획site_code!D109="SCA",IF(RIGHT(태깅기획site_code!F109,3)="_fr",IFERROR(INDEX(고객법인일정파일!$C$4:$C$200,MATCH("SEWA (Africa_FR)",고객법인일정파일!$C$4:$C$200,0)),""),IF(RIGHT(태깅기획site_code!F109,3)="_en",IFERROR(INDEX(고객법인일정파일!$C$4:$C$200,MATCH("SEWA (Africa_EN)",고객법인일정파일!$C$4:$C$200,0)),""),"")),""))))))))</f>
        <v/>
      </c>
      <c r="Q109" s="11" t="str">
        <f>IF(LEN(TRIM(P109))=0,"",IFERROR(INDEX(고객법인일정파일!$E$4:$E$192,MATCH(P109,고객법인일정파일!$C$4:$C$192,0)),""))</f>
        <v/>
      </c>
      <c r="R109" s="12" t="str">
        <f>IF(OR(LEN(TRIM(P109))=0,Q109="X",Q109&lt;&gt;"O"),"",IFERROR(INDEX(고객법인일정파일!$F$4:$F$192,MATCH(P109,고객법인일정파일!$C$4:$C$192,0)),""))</f>
        <v/>
      </c>
      <c r="S109" s="12" t="str">
        <f>IF(OR(LEN(TRIM(P109))=0,Q109="X",Q109&lt;&gt;"O"),"",IFERROR(INDEX(고객법인일정파일!$H$4:$H$192,MATCH(P109,고객법인일정파일!$C$4:$C$192,0)),""))</f>
        <v/>
      </c>
    </row>
    <row r="110" spans="15:19">
      <c r="O110" s="11" t="str">
        <f>IF(IF(OR(NOT(ISBLANK(고객법인일정파일!B110)),ISBLANK(고객법인일정파일!C110),고객법인일정파일!C110="Total"),"",IF(ISNUMBER(FIND("-",고객법인일정파일!C110)),LEFT(고객법인일정파일!C110,FIND("-",고객법인일정파일!C110)-1),IF(ISNUMBER(FIND(" ",고객법인일정파일!C110)),LEFT(고객법인일정파일!C110,FIND(" ",고객법인일정파일!C110)-1),고객법인일정파일!C110)))="한총","sec",IF(OR(NOT(ISBLANK(고객법인일정파일!B110)),ISBLANK(고객법인일정파일!C110),고객법인일정파일!C110="Total"),"",IF(ISNUMBER(FIND("-",고객법인일정파일!C110)),LEFT(고객법인일정파일!C110,FIND("-",고객법인일정파일!C110)-1),IF(ISNUMBER(FIND(" ",고객법인일정파일!C110)),LEFT(고객법인일정파일!C110,FIND(" ",고객법인일정파일!C110)-1),고객법인일정파일!C110))))</f>
        <v/>
      </c>
      <c r="P110" s="11" t="str">
        <f>IF(ISBLANK(태깅기획site_code!F110),"",IF(COUNTIF(고객법인일정파일!$C$4:$C$200,태깅기획site_code!D110&amp;"-"&amp;UPPER(IF(ISNUMBER(FIND("_",태깅기획site_code!F110)),LEFT(태깅기획site_code!F110,FIND("_",태깅기획site_code!F110)-1),태깅기획site_code!F110)))&gt;0,태깅기획site_code!D110&amp;"-"&amp;UPPER(IF(ISNUMBER(FIND("_",태깅기획site_code!F110)),LEFT(태깅기획site_code!F110,FIND("_",태깅기획site_code!F110)-1),태깅기획site_code!F110)),IF(COUNTIF(고객법인일정파일!$C$4:$C$200,태깅기획site_code!D110&amp;" ("&amp;PROPER(LEFT(태깅기획site_code!F110,FIND("_",태깅기획site_code!F110)-1))&amp;"_"&amp;UPPER(MID(태깅기획site_code!F110,FIND("_",태깅기획site_code!F110)+1,20))&amp;")")&gt;0,태깅기획site_code!D110&amp;" ("&amp;PROPER(LEFT(태깅기획site_code!F110,FIND("_",태깅기획site_code!F110)-1))&amp;"_"&amp;UPPER(MID(태깅기획site_code!F110,FIND("_",태깅기획site_code!F110)+1,20))&amp;")",IF(COUNTIF(고객법인일정파일!$C$4:$C$200,태깅기획site_code!D110)&gt;0,태깅기획site_code!D110,IF(ISNUMBER(FIND("_",태깅기획site_code!F110)),"",IFERROR(INDEX(고객법인일정파일!$C$4:$C$200,MATCH(태깅기획site_code!D110,$O$4:$O$200,0)),IF(ISNUMBER(FIND("-",태깅기획site_code!D110)),IFERROR(INDEX(고객법인일정파일!$C$4:$C$200,MATCH(LEFT(태깅기획site_code!D110,FIND("-",태깅기획site_code!D110)-1),고객법인일정파일!$C$4:$C$200,0)),""),IF(태깅기획site_code!D110="SCA",IF(RIGHT(태깅기획site_code!F110,3)="_fr",IFERROR(INDEX(고객법인일정파일!$C$4:$C$200,MATCH("SEWA (Africa_FR)",고객법인일정파일!$C$4:$C$200,0)),""),IF(RIGHT(태깅기획site_code!F110,3)="_en",IFERROR(INDEX(고객법인일정파일!$C$4:$C$200,MATCH("SEWA (Africa_EN)",고객법인일정파일!$C$4:$C$200,0)),""),"")),""))))))))</f>
        <v/>
      </c>
      <c r="Q110" s="11" t="str">
        <f>IF(LEN(TRIM(P110))=0,"",IFERROR(INDEX(고객법인일정파일!$E$4:$E$192,MATCH(P110,고객법인일정파일!$C$4:$C$192,0)),""))</f>
        <v/>
      </c>
      <c r="R110" s="12" t="str">
        <f>IF(OR(LEN(TRIM(P110))=0,Q110="X",Q110&lt;&gt;"O"),"",IFERROR(INDEX(고객법인일정파일!$F$4:$F$192,MATCH(P110,고객법인일정파일!$C$4:$C$192,0)),""))</f>
        <v/>
      </c>
      <c r="S110" s="12" t="str">
        <f>IF(OR(LEN(TRIM(P110))=0,Q110="X",Q110&lt;&gt;"O"),"",IFERROR(INDEX(고객법인일정파일!$H$4:$H$192,MATCH(P110,고객법인일정파일!$C$4:$C$192,0)),""))</f>
        <v/>
      </c>
    </row>
    <row r="111" spans="15:19">
      <c r="O111" s="11" t="str">
        <f>IF(IF(OR(NOT(ISBLANK(고객법인일정파일!B111)),ISBLANK(고객법인일정파일!C111),고객법인일정파일!C111="Total"),"",IF(ISNUMBER(FIND("-",고객법인일정파일!C111)),LEFT(고객법인일정파일!C111,FIND("-",고객법인일정파일!C111)-1),IF(ISNUMBER(FIND(" ",고객법인일정파일!C111)),LEFT(고객법인일정파일!C111,FIND(" ",고객법인일정파일!C111)-1),고객법인일정파일!C111)))="한총","sec",IF(OR(NOT(ISBLANK(고객법인일정파일!B111)),ISBLANK(고객법인일정파일!C111),고객법인일정파일!C111="Total"),"",IF(ISNUMBER(FIND("-",고객법인일정파일!C111)),LEFT(고객법인일정파일!C111,FIND("-",고객법인일정파일!C111)-1),IF(ISNUMBER(FIND(" ",고객법인일정파일!C111)),LEFT(고객법인일정파일!C111,FIND(" ",고객법인일정파일!C111)-1),고객법인일정파일!C111))))</f>
        <v/>
      </c>
      <c r="P111" s="11" t="str">
        <f>IF(ISBLANK(태깅기획site_code!F111),"",IF(COUNTIF(고객법인일정파일!$C$4:$C$200,태깅기획site_code!D111&amp;"-"&amp;UPPER(IF(ISNUMBER(FIND("_",태깅기획site_code!F111)),LEFT(태깅기획site_code!F111,FIND("_",태깅기획site_code!F111)-1),태깅기획site_code!F111)))&gt;0,태깅기획site_code!D111&amp;"-"&amp;UPPER(IF(ISNUMBER(FIND("_",태깅기획site_code!F111)),LEFT(태깅기획site_code!F111,FIND("_",태깅기획site_code!F111)-1),태깅기획site_code!F111)),IF(COUNTIF(고객법인일정파일!$C$4:$C$200,태깅기획site_code!D111&amp;" ("&amp;PROPER(LEFT(태깅기획site_code!F111,FIND("_",태깅기획site_code!F111)-1))&amp;"_"&amp;UPPER(MID(태깅기획site_code!F111,FIND("_",태깅기획site_code!F111)+1,20))&amp;")")&gt;0,태깅기획site_code!D111&amp;" ("&amp;PROPER(LEFT(태깅기획site_code!F111,FIND("_",태깅기획site_code!F111)-1))&amp;"_"&amp;UPPER(MID(태깅기획site_code!F111,FIND("_",태깅기획site_code!F111)+1,20))&amp;")",IF(COUNTIF(고객법인일정파일!$C$4:$C$200,태깅기획site_code!D111)&gt;0,태깅기획site_code!D111,IF(ISNUMBER(FIND("_",태깅기획site_code!F111)),"",IFERROR(INDEX(고객법인일정파일!$C$4:$C$200,MATCH(태깅기획site_code!D111,$O$4:$O$200,0)),IF(ISNUMBER(FIND("-",태깅기획site_code!D111)),IFERROR(INDEX(고객법인일정파일!$C$4:$C$200,MATCH(LEFT(태깅기획site_code!D111,FIND("-",태깅기획site_code!D111)-1),고객법인일정파일!$C$4:$C$200,0)),""),IF(태깅기획site_code!D111="SCA",IF(RIGHT(태깅기획site_code!F111,3)="_fr",IFERROR(INDEX(고객법인일정파일!$C$4:$C$200,MATCH("SEWA (Africa_FR)",고객법인일정파일!$C$4:$C$200,0)),""),IF(RIGHT(태깅기획site_code!F111,3)="_en",IFERROR(INDEX(고객법인일정파일!$C$4:$C$200,MATCH("SEWA (Africa_EN)",고객법인일정파일!$C$4:$C$200,0)),""),"")),""))))))))</f>
        <v/>
      </c>
      <c r="Q111" s="11" t="str">
        <f>IF(LEN(TRIM(P111))=0,"",IFERROR(INDEX(고객법인일정파일!$E$4:$E$192,MATCH(P111,고객법인일정파일!$C$4:$C$192,0)),""))</f>
        <v/>
      </c>
      <c r="R111" s="12" t="str">
        <f>IF(OR(LEN(TRIM(P111))=0,Q111="X",Q111&lt;&gt;"O"),"",IFERROR(INDEX(고객법인일정파일!$F$4:$F$192,MATCH(P111,고객법인일정파일!$C$4:$C$192,0)),""))</f>
        <v/>
      </c>
      <c r="S111" s="12" t="str">
        <f>IF(OR(LEN(TRIM(P111))=0,Q111="X",Q111&lt;&gt;"O"),"",IFERROR(INDEX(고객법인일정파일!$H$4:$H$192,MATCH(P111,고객법인일정파일!$C$4:$C$192,0)),""))</f>
        <v/>
      </c>
    </row>
    <row r="112" spans="15:19">
      <c r="O112" s="11" t="str">
        <f>IF(IF(OR(NOT(ISBLANK(고객법인일정파일!B112)),ISBLANK(고객법인일정파일!C112),고객법인일정파일!C112="Total"),"",IF(ISNUMBER(FIND("-",고객법인일정파일!C112)),LEFT(고객법인일정파일!C112,FIND("-",고객법인일정파일!C112)-1),IF(ISNUMBER(FIND(" ",고객법인일정파일!C112)),LEFT(고객법인일정파일!C112,FIND(" ",고객법인일정파일!C112)-1),고객법인일정파일!C112)))="한총","sec",IF(OR(NOT(ISBLANK(고객법인일정파일!B112)),ISBLANK(고객법인일정파일!C112),고객법인일정파일!C112="Total"),"",IF(ISNUMBER(FIND("-",고객법인일정파일!C112)),LEFT(고객법인일정파일!C112,FIND("-",고객법인일정파일!C112)-1),IF(ISNUMBER(FIND(" ",고객법인일정파일!C112)),LEFT(고객법인일정파일!C112,FIND(" ",고객법인일정파일!C112)-1),고객법인일정파일!C112))))</f>
        <v/>
      </c>
      <c r="P112" s="11" t="str">
        <f>IF(ISBLANK(태깅기획site_code!F112),"",IF(COUNTIF(고객법인일정파일!$C$4:$C$200,태깅기획site_code!D112&amp;"-"&amp;UPPER(IF(ISNUMBER(FIND("_",태깅기획site_code!F112)),LEFT(태깅기획site_code!F112,FIND("_",태깅기획site_code!F112)-1),태깅기획site_code!F112)))&gt;0,태깅기획site_code!D112&amp;"-"&amp;UPPER(IF(ISNUMBER(FIND("_",태깅기획site_code!F112)),LEFT(태깅기획site_code!F112,FIND("_",태깅기획site_code!F112)-1),태깅기획site_code!F112)),IF(COUNTIF(고객법인일정파일!$C$4:$C$200,태깅기획site_code!D112&amp;" ("&amp;PROPER(LEFT(태깅기획site_code!F112,FIND("_",태깅기획site_code!F112)-1))&amp;"_"&amp;UPPER(MID(태깅기획site_code!F112,FIND("_",태깅기획site_code!F112)+1,20))&amp;")")&gt;0,태깅기획site_code!D112&amp;" ("&amp;PROPER(LEFT(태깅기획site_code!F112,FIND("_",태깅기획site_code!F112)-1))&amp;"_"&amp;UPPER(MID(태깅기획site_code!F112,FIND("_",태깅기획site_code!F112)+1,20))&amp;")",IF(COUNTIF(고객법인일정파일!$C$4:$C$200,태깅기획site_code!D112)&gt;0,태깅기획site_code!D112,IF(ISNUMBER(FIND("_",태깅기획site_code!F112)),"",IFERROR(INDEX(고객법인일정파일!$C$4:$C$200,MATCH(태깅기획site_code!D112,$O$4:$O$200,0)),IF(ISNUMBER(FIND("-",태깅기획site_code!D112)),IFERROR(INDEX(고객법인일정파일!$C$4:$C$200,MATCH(LEFT(태깅기획site_code!D112,FIND("-",태깅기획site_code!D112)-1),고객법인일정파일!$C$4:$C$200,0)),""),IF(태깅기획site_code!D112="SCA",IF(RIGHT(태깅기획site_code!F112,3)="_fr",IFERROR(INDEX(고객법인일정파일!$C$4:$C$200,MATCH("SEWA (Africa_FR)",고객법인일정파일!$C$4:$C$200,0)),""),IF(RIGHT(태깅기획site_code!F112,3)="_en",IFERROR(INDEX(고객법인일정파일!$C$4:$C$200,MATCH("SEWA (Africa_EN)",고객법인일정파일!$C$4:$C$200,0)),""),"")),""))))))))</f>
        <v/>
      </c>
      <c r="Q112" s="11" t="str">
        <f>IF(LEN(TRIM(P112))=0,"",IFERROR(INDEX(고객법인일정파일!$E$4:$E$192,MATCH(P112,고객법인일정파일!$C$4:$C$192,0)),""))</f>
        <v/>
      </c>
      <c r="R112" s="12" t="str">
        <f>IF(OR(LEN(TRIM(P112))=0,Q112="X",Q112&lt;&gt;"O"),"",IFERROR(INDEX(고객법인일정파일!$F$4:$F$192,MATCH(P112,고객법인일정파일!$C$4:$C$192,0)),""))</f>
        <v/>
      </c>
      <c r="S112" s="12" t="str">
        <f>IF(OR(LEN(TRIM(P112))=0,Q112="X",Q112&lt;&gt;"O"),"",IFERROR(INDEX(고객법인일정파일!$H$4:$H$192,MATCH(P112,고객법인일정파일!$C$4:$C$192,0)),""))</f>
        <v/>
      </c>
    </row>
    <row r="113" spans="15:19">
      <c r="O113" s="11" t="str">
        <f>IF(IF(OR(NOT(ISBLANK(고객법인일정파일!B113)),ISBLANK(고객법인일정파일!C113),고객법인일정파일!C113="Total"),"",IF(ISNUMBER(FIND("-",고객법인일정파일!C113)),LEFT(고객법인일정파일!C113,FIND("-",고객법인일정파일!C113)-1),IF(ISNUMBER(FIND(" ",고객법인일정파일!C113)),LEFT(고객법인일정파일!C113,FIND(" ",고객법인일정파일!C113)-1),고객법인일정파일!C113)))="한총","sec",IF(OR(NOT(ISBLANK(고객법인일정파일!B113)),ISBLANK(고객법인일정파일!C113),고객법인일정파일!C113="Total"),"",IF(ISNUMBER(FIND("-",고객법인일정파일!C113)),LEFT(고객법인일정파일!C113,FIND("-",고객법인일정파일!C113)-1),IF(ISNUMBER(FIND(" ",고객법인일정파일!C113)),LEFT(고객법인일정파일!C113,FIND(" ",고객법인일정파일!C113)-1),고객법인일정파일!C113))))</f>
        <v/>
      </c>
      <c r="P113" s="11" t="str">
        <f>IF(ISBLANK(태깅기획site_code!F113),"",IF(COUNTIF(고객법인일정파일!$C$4:$C$200,태깅기획site_code!D113&amp;"-"&amp;UPPER(IF(ISNUMBER(FIND("_",태깅기획site_code!F113)),LEFT(태깅기획site_code!F113,FIND("_",태깅기획site_code!F113)-1),태깅기획site_code!F113)))&gt;0,태깅기획site_code!D113&amp;"-"&amp;UPPER(IF(ISNUMBER(FIND("_",태깅기획site_code!F113)),LEFT(태깅기획site_code!F113,FIND("_",태깅기획site_code!F113)-1),태깅기획site_code!F113)),IF(COUNTIF(고객법인일정파일!$C$4:$C$200,태깅기획site_code!D113&amp;" ("&amp;PROPER(LEFT(태깅기획site_code!F113,FIND("_",태깅기획site_code!F113)-1))&amp;"_"&amp;UPPER(MID(태깅기획site_code!F113,FIND("_",태깅기획site_code!F113)+1,20))&amp;")")&gt;0,태깅기획site_code!D113&amp;" ("&amp;PROPER(LEFT(태깅기획site_code!F113,FIND("_",태깅기획site_code!F113)-1))&amp;"_"&amp;UPPER(MID(태깅기획site_code!F113,FIND("_",태깅기획site_code!F113)+1,20))&amp;")",IF(COUNTIF(고객법인일정파일!$C$4:$C$200,태깅기획site_code!D113)&gt;0,태깅기획site_code!D113,IF(ISNUMBER(FIND("_",태깅기획site_code!F113)),"",IFERROR(INDEX(고객법인일정파일!$C$4:$C$200,MATCH(태깅기획site_code!D113,$O$4:$O$200,0)),IF(ISNUMBER(FIND("-",태깅기획site_code!D113)),IFERROR(INDEX(고객법인일정파일!$C$4:$C$200,MATCH(LEFT(태깅기획site_code!D113,FIND("-",태깅기획site_code!D113)-1),고객법인일정파일!$C$4:$C$200,0)),""),IF(태깅기획site_code!D113="SCA",IF(RIGHT(태깅기획site_code!F113,3)="_fr",IFERROR(INDEX(고객법인일정파일!$C$4:$C$200,MATCH("SEWA (Africa_FR)",고객법인일정파일!$C$4:$C$200,0)),""),IF(RIGHT(태깅기획site_code!F113,3)="_en",IFERROR(INDEX(고객법인일정파일!$C$4:$C$200,MATCH("SEWA (Africa_EN)",고객법인일정파일!$C$4:$C$200,0)),""),"")),""))))))))</f>
        <v/>
      </c>
      <c r="Q113" s="11" t="str">
        <f>IF(LEN(TRIM(P113))=0,"",IFERROR(INDEX(고객법인일정파일!$E$4:$E$192,MATCH(P113,고객법인일정파일!$C$4:$C$192,0)),""))</f>
        <v/>
      </c>
      <c r="R113" s="12" t="str">
        <f>IF(OR(LEN(TRIM(P113))=0,Q113="X",Q113&lt;&gt;"O"),"",IFERROR(INDEX(고객법인일정파일!$F$4:$F$192,MATCH(P113,고객법인일정파일!$C$4:$C$192,0)),""))</f>
        <v/>
      </c>
      <c r="S113" s="12" t="str">
        <f>IF(OR(LEN(TRIM(P113))=0,Q113="X",Q113&lt;&gt;"O"),"",IFERROR(INDEX(고객법인일정파일!$H$4:$H$192,MATCH(P113,고객법인일정파일!$C$4:$C$192,0)),""))</f>
        <v/>
      </c>
    </row>
    <row r="114" spans="15:19">
      <c r="O114" s="11" t="str">
        <f>IF(IF(OR(NOT(ISBLANK(고객법인일정파일!B114)),ISBLANK(고객법인일정파일!C114),고객법인일정파일!C114="Total"),"",IF(ISNUMBER(FIND("-",고객법인일정파일!C114)),LEFT(고객법인일정파일!C114,FIND("-",고객법인일정파일!C114)-1),IF(ISNUMBER(FIND(" ",고객법인일정파일!C114)),LEFT(고객법인일정파일!C114,FIND(" ",고객법인일정파일!C114)-1),고객법인일정파일!C114)))="한총","sec",IF(OR(NOT(ISBLANK(고객법인일정파일!B114)),ISBLANK(고객법인일정파일!C114),고객법인일정파일!C114="Total"),"",IF(ISNUMBER(FIND("-",고객법인일정파일!C114)),LEFT(고객법인일정파일!C114,FIND("-",고객법인일정파일!C114)-1),IF(ISNUMBER(FIND(" ",고객법인일정파일!C114)),LEFT(고객법인일정파일!C114,FIND(" ",고객법인일정파일!C114)-1),고객법인일정파일!C114))))</f>
        <v/>
      </c>
      <c r="P114" s="11" t="str">
        <f>IF(ISBLANK(태깅기획site_code!F114),"",IF(COUNTIF(고객법인일정파일!$C$4:$C$200,태깅기획site_code!D114&amp;"-"&amp;UPPER(IF(ISNUMBER(FIND("_",태깅기획site_code!F114)),LEFT(태깅기획site_code!F114,FIND("_",태깅기획site_code!F114)-1),태깅기획site_code!F114)))&gt;0,태깅기획site_code!D114&amp;"-"&amp;UPPER(IF(ISNUMBER(FIND("_",태깅기획site_code!F114)),LEFT(태깅기획site_code!F114,FIND("_",태깅기획site_code!F114)-1),태깅기획site_code!F114)),IF(COUNTIF(고객법인일정파일!$C$4:$C$200,태깅기획site_code!D114&amp;" ("&amp;PROPER(LEFT(태깅기획site_code!F114,FIND("_",태깅기획site_code!F114)-1))&amp;"_"&amp;UPPER(MID(태깅기획site_code!F114,FIND("_",태깅기획site_code!F114)+1,20))&amp;")")&gt;0,태깅기획site_code!D114&amp;" ("&amp;PROPER(LEFT(태깅기획site_code!F114,FIND("_",태깅기획site_code!F114)-1))&amp;"_"&amp;UPPER(MID(태깅기획site_code!F114,FIND("_",태깅기획site_code!F114)+1,20))&amp;")",IF(COUNTIF(고객법인일정파일!$C$4:$C$200,태깅기획site_code!D114)&gt;0,태깅기획site_code!D114,IF(ISNUMBER(FIND("_",태깅기획site_code!F114)),"",IFERROR(INDEX(고객법인일정파일!$C$4:$C$200,MATCH(태깅기획site_code!D114,$O$4:$O$200,0)),IF(ISNUMBER(FIND("-",태깅기획site_code!D114)),IFERROR(INDEX(고객법인일정파일!$C$4:$C$200,MATCH(LEFT(태깅기획site_code!D114,FIND("-",태깅기획site_code!D114)-1),고객법인일정파일!$C$4:$C$200,0)),""),IF(태깅기획site_code!D114="SCA",IF(RIGHT(태깅기획site_code!F114,3)="_fr",IFERROR(INDEX(고객법인일정파일!$C$4:$C$200,MATCH("SEWA (Africa_FR)",고객법인일정파일!$C$4:$C$200,0)),""),IF(RIGHT(태깅기획site_code!F114,3)="_en",IFERROR(INDEX(고객법인일정파일!$C$4:$C$200,MATCH("SEWA (Africa_EN)",고객법인일정파일!$C$4:$C$200,0)),""),"")),""))))))))</f>
        <v/>
      </c>
      <c r="Q114" s="11" t="str">
        <f>IF(LEN(TRIM(P114))=0,"",IFERROR(INDEX(고객법인일정파일!$E$4:$E$192,MATCH(P114,고객법인일정파일!$C$4:$C$192,0)),""))</f>
        <v/>
      </c>
      <c r="R114" s="12" t="str">
        <f>IF(OR(LEN(TRIM(P114))=0,Q114="X",Q114&lt;&gt;"O"),"",IFERROR(INDEX(고객법인일정파일!$F$4:$F$192,MATCH(P114,고객법인일정파일!$C$4:$C$192,0)),""))</f>
        <v/>
      </c>
      <c r="S114" s="12" t="str">
        <f>IF(OR(LEN(TRIM(P114))=0,Q114="X",Q114&lt;&gt;"O"),"",IFERROR(INDEX(고객법인일정파일!$H$4:$H$192,MATCH(P114,고객법인일정파일!$C$4:$C$192,0)),""))</f>
        <v/>
      </c>
    </row>
    <row r="115" spans="15:19">
      <c r="O115" s="11" t="str">
        <f>IF(IF(OR(NOT(ISBLANK(고객법인일정파일!B115)),ISBLANK(고객법인일정파일!C115),고객법인일정파일!C115="Total"),"",IF(ISNUMBER(FIND("-",고객법인일정파일!C115)),LEFT(고객법인일정파일!C115,FIND("-",고객법인일정파일!C115)-1),IF(ISNUMBER(FIND(" ",고객법인일정파일!C115)),LEFT(고객법인일정파일!C115,FIND(" ",고객법인일정파일!C115)-1),고객법인일정파일!C115)))="한총","sec",IF(OR(NOT(ISBLANK(고객법인일정파일!B115)),ISBLANK(고객법인일정파일!C115),고객법인일정파일!C115="Total"),"",IF(ISNUMBER(FIND("-",고객법인일정파일!C115)),LEFT(고객법인일정파일!C115,FIND("-",고객법인일정파일!C115)-1),IF(ISNUMBER(FIND(" ",고객법인일정파일!C115)),LEFT(고객법인일정파일!C115,FIND(" ",고객법인일정파일!C115)-1),고객법인일정파일!C115))))</f>
        <v/>
      </c>
      <c r="P115" s="11" t="str">
        <f>IF(ISBLANK(태깅기획site_code!F115),"",IF(COUNTIF(고객법인일정파일!$C$4:$C$200,태깅기획site_code!D115&amp;"-"&amp;UPPER(IF(ISNUMBER(FIND("_",태깅기획site_code!F115)),LEFT(태깅기획site_code!F115,FIND("_",태깅기획site_code!F115)-1),태깅기획site_code!F115)))&gt;0,태깅기획site_code!D115&amp;"-"&amp;UPPER(IF(ISNUMBER(FIND("_",태깅기획site_code!F115)),LEFT(태깅기획site_code!F115,FIND("_",태깅기획site_code!F115)-1),태깅기획site_code!F115)),IF(COUNTIF(고객법인일정파일!$C$4:$C$200,태깅기획site_code!D115&amp;" ("&amp;PROPER(LEFT(태깅기획site_code!F115,FIND("_",태깅기획site_code!F115)-1))&amp;"_"&amp;UPPER(MID(태깅기획site_code!F115,FIND("_",태깅기획site_code!F115)+1,20))&amp;")")&gt;0,태깅기획site_code!D115&amp;" ("&amp;PROPER(LEFT(태깅기획site_code!F115,FIND("_",태깅기획site_code!F115)-1))&amp;"_"&amp;UPPER(MID(태깅기획site_code!F115,FIND("_",태깅기획site_code!F115)+1,20))&amp;")",IF(COUNTIF(고객법인일정파일!$C$4:$C$200,태깅기획site_code!D115)&gt;0,태깅기획site_code!D115,IF(ISNUMBER(FIND("_",태깅기획site_code!F115)),"",IFERROR(INDEX(고객법인일정파일!$C$4:$C$200,MATCH(태깅기획site_code!D115,$O$4:$O$200,0)),IF(ISNUMBER(FIND("-",태깅기획site_code!D115)),IFERROR(INDEX(고객법인일정파일!$C$4:$C$200,MATCH(LEFT(태깅기획site_code!D115,FIND("-",태깅기획site_code!D115)-1),고객법인일정파일!$C$4:$C$200,0)),""),IF(태깅기획site_code!D115="SCA",IF(RIGHT(태깅기획site_code!F115,3)="_fr",IFERROR(INDEX(고객법인일정파일!$C$4:$C$200,MATCH("SEWA (Africa_FR)",고객법인일정파일!$C$4:$C$200,0)),""),IF(RIGHT(태깅기획site_code!F115,3)="_en",IFERROR(INDEX(고객법인일정파일!$C$4:$C$200,MATCH("SEWA (Africa_EN)",고객법인일정파일!$C$4:$C$200,0)),""),"")),""))))))))</f>
        <v/>
      </c>
      <c r="Q115" s="11" t="str">
        <f>IF(LEN(TRIM(P115))=0,"",IFERROR(INDEX(고객법인일정파일!$E$4:$E$192,MATCH(P115,고객법인일정파일!$C$4:$C$192,0)),""))</f>
        <v/>
      </c>
      <c r="R115" s="12" t="str">
        <f>IF(OR(LEN(TRIM(P115))=0,Q115="X",Q115&lt;&gt;"O"),"",IFERROR(INDEX(고객법인일정파일!$F$4:$F$192,MATCH(P115,고객법인일정파일!$C$4:$C$192,0)),""))</f>
        <v/>
      </c>
      <c r="S115" s="12" t="str">
        <f>IF(OR(LEN(TRIM(P115))=0,Q115="X",Q115&lt;&gt;"O"),"",IFERROR(INDEX(고객법인일정파일!$H$4:$H$192,MATCH(P115,고객법인일정파일!$C$4:$C$192,0)),""))</f>
        <v/>
      </c>
    </row>
    <row r="116" spans="15:19">
      <c r="O116" s="11" t="str">
        <f>IF(IF(OR(NOT(ISBLANK(고객법인일정파일!B116)),ISBLANK(고객법인일정파일!C116),고객법인일정파일!C116="Total"),"",IF(ISNUMBER(FIND("-",고객법인일정파일!C116)),LEFT(고객법인일정파일!C116,FIND("-",고객법인일정파일!C116)-1),IF(ISNUMBER(FIND(" ",고객법인일정파일!C116)),LEFT(고객법인일정파일!C116,FIND(" ",고객법인일정파일!C116)-1),고객법인일정파일!C116)))="한총","sec",IF(OR(NOT(ISBLANK(고객법인일정파일!B116)),ISBLANK(고객법인일정파일!C116),고객법인일정파일!C116="Total"),"",IF(ISNUMBER(FIND("-",고객법인일정파일!C116)),LEFT(고객법인일정파일!C116,FIND("-",고객법인일정파일!C116)-1),IF(ISNUMBER(FIND(" ",고객법인일정파일!C116)),LEFT(고객법인일정파일!C116,FIND(" ",고객법인일정파일!C116)-1),고객법인일정파일!C116))))</f>
        <v/>
      </c>
      <c r="P116" s="11" t="str">
        <f>IF(ISBLANK(태깅기획site_code!F116),"",IF(COUNTIF(고객법인일정파일!$C$4:$C$200,태깅기획site_code!D116&amp;"-"&amp;UPPER(IF(ISNUMBER(FIND("_",태깅기획site_code!F116)),LEFT(태깅기획site_code!F116,FIND("_",태깅기획site_code!F116)-1),태깅기획site_code!F116)))&gt;0,태깅기획site_code!D116&amp;"-"&amp;UPPER(IF(ISNUMBER(FIND("_",태깅기획site_code!F116)),LEFT(태깅기획site_code!F116,FIND("_",태깅기획site_code!F116)-1),태깅기획site_code!F116)),IF(COUNTIF(고객법인일정파일!$C$4:$C$200,태깅기획site_code!D116&amp;" ("&amp;PROPER(LEFT(태깅기획site_code!F116,FIND("_",태깅기획site_code!F116)-1))&amp;"_"&amp;UPPER(MID(태깅기획site_code!F116,FIND("_",태깅기획site_code!F116)+1,20))&amp;")")&gt;0,태깅기획site_code!D116&amp;" ("&amp;PROPER(LEFT(태깅기획site_code!F116,FIND("_",태깅기획site_code!F116)-1))&amp;"_"&amp;UPPER(MID(태깅기획site_code!F116,FIND("_",태깅기획site_code!F116)+1,20))&amp;")",IF(COUNTIF(고객법인일정파일!$C$4:$C$200,태깅기획site_code!D116)&gt;0,태깅기획site_code!D116,IF(ISNUMBER(FIND("_",태깅기획site_code!F116)),"",IFERROR(INDEX(고객법인일정파일!$C$4:$C$200,MATCH(태깅기획site_code!D116,$O$4:$O$200,0)),IF(ISNUMBER(FIND("-",태깅기획site_code!D116)),IFERROR(INDEX(고객법인일정파일!$C$4:$C$200,MATCH(LEFT(태깅기획site_code!D116,FIND("-",태깅기획site_code!D116)-1),고객법인일정파일!$C$4:$C$200,0)),""),IF(태깅기획site_code!D116="SCA",IF(RIGHT(태깅기획site_code!F116,3)="_fr",IFERROR(INDEX(고객법인일정파일!$C$4:$C$200,MATCH("SEWA (Africa_FR)",고객법인일정파일!$C$4:$C$200,0)),""),IF(RIGHT(태깅기획site_code!F116,3)="_en",IFERROR(INDEX(고객법인일정파일!$C$4:$C$200,MATCH("SEWA (Africa_EN)",고객법인일정파일!$C$4:$C$200,0)),""),"")),""))))))))</f>
        <v/>
      </c>
      <c r="Q116" s="11" t="str">
        <f>IF(LEN(TRIM(P116))=0,"",IFERROR(INDEX(고객법인일정파일!$E$4:$E$192,MATCH(P116,고객법인일정파일!$C$4:$C$192,0)),""))</f>
        <v/>
      </c>
      <c r="R116" s="12" t="str">
        <f>IF(OR(LEN(TRIM(P116))=0,Q116="X",Q116&lt;&gt;"O"),"",IFERROR(INDEX(고객법인일정파일!$F$4:$F$192,MATCH(P116,고객법인일정파일!$C$4:$C$192,0)),""))</f>
        <v/>
      </c>
      <c r="S116" s="12" t="str">
        <f>IF(OR(LEN(TRIM(P116))=0,Q116="X",Q116&lt;&gt;"O"),"",IFERROR(INDEX(고객법인일정파일!$H$4:$H$192,MATCH(P116,고객법인일정파일!$C$4:$C$192,0)),""))</f>
        <v/>
      </c>
    </row>
    <row r="117" spans="15:19">
      <c r="O117" s="11" t="str">
        <f>IF(IF(OR(NOT(ISBLANK(고객법인일정파일!B117)),ISBLANK(고객법인일정파일!C117),고객법인일정파일!C117="Total"),"",IF(ISNUMBER(FIND("-",고객법인일정파일!C117)),LEFT(고객법인일정파일!C117,FIND("-",고객법인일정파일!C117)-1),IF(ISNUMBER(FIND(" ",고객법인일정파일!C117)),LEFT(고객법인일정파일!C117,FIND(" ",고객법인일정파일!C117)-1),고객법인일정파일!C117)))="한총","sec",IF(OR(NOT(ISBLANK(고객법인일정파일!B117)),ISBLANK(고객법인일정파일!C117),고객법인일정파일!C117="Total"),"",IF(ISNUMBER(FIND("-",고객법인일정파일!C117)),LEFT(고객법인일정파일!C117,FIND("-",고객법인일정파일!C117)-1),IF(ISNUMBER(FIND(" ",고객법인일정파일!C117)),LEFT(고객법인일정파일!C117,FIND(" ",고객법인일정파일!C117)-1),고객법인일정파일!C117))))</f>
        <v/>
      </c>
      <c r="P117" s="11" t="str">
        <f>IF(ISBLANK(태깅기획site_code!F117),"",IF(COUNTIF(고객법인일정파일!$C$4:$C$200,태깅기획site_code!D117&amp;"-"&amp;UPPER(IF(ISNUMBER(FIND("_",태깅기획site_code!F117)),LEFT(태깅기획site_code!F117,FIND("_",태깅기획site_code!F117)-1),태깅기획site_code!F117)))&gt;0,태깅기획site_code!D117&amp;"-"&amp;UPPER(IF(ISNUMBER(FIND("_",태깅기획site_code!F117)),LEFT(태깅기획site_code!F117,FIND("_",태깅기획site_code!F117)-1),태깅기획site_code!F117)),IF(COUNTIF(고객법인일정파일!$C$4:$C$200,태깅기획site_code!D117&amp;" ("&amp;PROPER(LEFT(태깅기획site_code!F117,FIND("_",태깅기획site_code!F117)-1))&amp;"_"&amp;UPPER(MID(태깅기획site_code!F117,FIND("_",태깅기획site_code!F117)+1,20))&amp;")")&gt;0,태깅기획site_code!D117&amp;" ("&amp;PROPER(LEFT(태깅기획site_code!F117,FIND("_",태깅기획site_code!F117)-1))&amp;"_"&amp;UPPER(MID(태깅기획site_code!F117,FIND("_",태깅기획site_code!F117)+1,20))&amp;")",IF(COUNTIF(고객법인일정파일!$C$4:$C$200,태깅기획site_code!D117)&gt;0,태깅기획site_code!D117,IF(ISNUMBER(FIND("_",태깅기획site_code!F117)),"",IFERROR(INDEX(고객법인일정파일!$C$4:$C$200,MATCH(태깅기획site_code!D117,$O$4:$O$200,0)),IF(ISNUMBER(FIND("-",태깅기획site_code!D117)),IFERROR(INDEX(고객법인일정파일!$C$4:$C$200,MATCH(LEFT(태깅기획site_code!D117,FIND("-",태깅기획site_code!D117)-1),고객법인일정파일!$C$4:$C$200,0)),""),IF(태깅기획site_code!D117="SCA",IF(RIGHT(태깅기획site_code!F117,3)="_fr",IFERROR(INDEX(고객법인일정파일!$C$4:$C$200,MATCH("SEWA (Africa_FR)",고객법인일정파일!$C$4:$C$200,0)),""),IF(RIGHT(태깅기획site_code!F117,3)="_en",IFERROR(INDEX(고객법인일정파일!$C$4:$C$200,MATCH("SEWA (Africa_EN)",고객법인일정파일!$C$4:$C$200,0)),""),"")),""))))))))</f>
        <v/>
      </c>
      <c r="Q117" s="11" t="str">
        <f>IF(LEN(TRIM(P117))=0,"",IFERROR(INDEX(고객법인일정파일!$E$4:$E$192,MATCH(P117,고객법인일정파일!$C$4:$C$192,0)),""))</f>
        <v/>
      </c>
      <c r="R117" s="12" t="str">
        <f>IF(OR(LEN(TRIM(P117))=0,Q117="X",Q117&lt;&gt;"O"),"",IFERROR(INDEX(고객법인일정파일!$F$4:$F$192,MATCH(P117,고객법인일정파일!$C$4:$C$192,0)),""))</f>
        <v/>
      </c>
      <c r="S117" s="12" t="str">
        <f>IF(OR(LEN(TRIM(P117))=0,Q117="X",Q117&lt;&gt;"O"),"",IFERROR(INDEX(고객법인일정파일!$H$4:$H$192,MATCH(P117,고객법인일정파일!$C$4:$C$192,0)),""))</f>
        <v/>
      </c>
    </row>
    <row r="118" spans="15:19">
      <c r="O118" s="11" t="str">
        <f>IF(IF(OR(NOT(ISBLANK(고객법인일정파일!B118)),ISBLANK(고객법인일정파일!C118),고객법인일정파일!C118="Total"),"",IF(ISNUMBER(FIND("-",고객법인일정파일!C118)),LEFT(고객법인일정파일!C118,FIND("-",고객법인일정파일!C118)-1),IF(ISNUMBER(FIND(" ",고객법인일정파일!C118)),LEFT(고객법인일정파일!C118,FIND(" ",고객법인일정파일!C118)-1),고객법인일정파일!C118)))="한총","sec",IF(OR(NOT(ISBLANK(고객법인일정파일!B118)),ISBLANK(고객법인일정파일!C118),고객법인일정파일!C118="Total"),"",IF(ISNUMBER(FIND("-",고객법인일정파일!C118)),LEFT(고객법인일정파일!C118,FIND("-",고객법인일정파일!C118)-1),IF(ISNUMBER(FIND(" ",고객법인일정파일!C118)),LEFT(고객법인일정파일!C118,FIND(" ",고객법인일정파일!C118)-1),고객법인일정파일!C118))))</f>
        <v/>
      </c>
      <c r="P118" s="11" t="str">
        <f>IF(ISBLANK(태깅기획site_code!F118),"",IF(COUNTIF(고객법인일정파일!$C$4:$C$200,태깅기획site_code!D118&amp;"-"&amp;UPPER(IF(ISNUMBER(FIND("_",태깅기획site_code!F118)),LEFT(태깅기획site_code!F118,FIND("_",태깅기획site_code!F118)-1),태깅기획site_code!F118)))&gt;0,태깅기획site_code!D118&amp;"-"&amp;UPPER(IF(ISNUMBER(FIND("_",태깅기획site_code!F118)),LEFT(태깅기획site_code!F118,FIND("_",태깅기획site_code!F118)-1),태깅기획site_code!F118)),IF(COUNTIF(고객법인일정파일!$C$4:$C$200,태깅기획site_code!D118&amp;" ("&amp;PROPER(LEFT(태깅기획site_code!F118,FIND("_",태깅기획site_code!F118)-1))&amp;"_"&amp;UPPER(MID(태깅기획site_code!F118,FIND("_",태깅기획site_code!F118)+1,20))&amp;")")&gt;0,태깅기획site_code!D118&amp;" ("&amp;PROPER(LEFT(태깅기획site_code!F118,FIND("_",태깅기획site_code!F118)-1))&amp;"_"&amp;UPPER(MID(태깅기획site_code!F118,FIND("_",태깅기획site_code!F118)+1,20))&amp;")",IF(COUNTIF(고객법인일정파일!$C$4:$C$200,태깅기획site_code!D118)&gt;0,태깅기획site_code!D118,IF(ISNUMBER(FIND("_",태깅기획site_code!F118)),"",IFERROR(INDEX(고객법인일정파일!$C$4:$C$200,MATCH(태깅기획site_code!D118,$O$4:$O$200,0)),IF(ISNUMBER(FIND("-",태깅기획site_code!D118)),IFERROR(INDEX(고객법인일정파일!$C$4:$C$200,MATCH(LEFT(태깅기획site_code!D118,FIND("-",태깅기획site_code!D118)-1),고객법인일정파일!$C$4:$C$200,0)),""),IF(태깅기획site_code!D118="SCA",IF(RIGHT(태깅기획site_code!F118,3)="_fr",IFERROR(INDEX(고객법인일정파일!$C$4:$C$200,MATCH("SEWA (Africa_FR)",고객법인일정파일!$C$4:$C$200,0)),""),IF(RIGHT(태깅기획site_code!F118,3)="_en",IFERROR(INDEX(고객법인일정파일!$C$4:$C$200,MATCH("SEWA (Africa_EN)",고객법인일정파일!$C$4:$C$200,0)),""),"")),""))))))))</f>
        <v/>
      </c>
      <c r="Q118" s="11" t="str">
        <f>IF(LEN(TRIM(P118))=0,"",IFERROR(INDEX(고객법인일정파일!$E$4:$E$192,MATCH(P118,고객법인일정파일!$C$4:$C$192,0)),""))</f>
        <v/>
      </c>
      <c r="R118" s="12" t="str">
        <f>IF(OR(LEN(TRIM(P118))=0,Q118="X",Q118&lt;&gt;"O"),"",IFERROR(INDEX(고객법인일정파일!$F$4:$F$192,MATCH(P118,고객법인일정파일!$C$4:$C$192,0)),""))</f>
        <v/>
      </c>
      <c r="S118" s="12" t="str">
        <f>IF(OR(LEN(TRIM(P118))=0,Q118="X",Q118&lt;&gt;"O"),"",IFERROR(INDEX(고객법인일정파일!$H$4:$H$192,MATCH(P118,고객법인일정파일!$C$4:$C$192,0)),""))</f>
        <v/>
      </c>
    </row>
    <row r="119" spans="15:19">
      <c r="O119" s="11" t="str">
        <f>IF(IF(OR(NOT(ISBLANK(고객법인일정파일!B119)),ISBLANK(고객법인일정파일!C119),고객법인일정파일!C119="Total"),"",IF(ISNUMBER(FIND("-",고객법인일정파일!C119)),LEFT(고객법인일정파일!C119,FIND("-",고객법인일정파일!C119)-1),IF(ISNUMBER(FIND(" ",고객법인일정파일!C119)),LEFT(고객법인일정파일!C119,FIND(" ",고객법인일정파일!C119)-1),고객법인일정파일!C119)))="한총","sec",IF(OR(NOT(ISBLANK(고객법인일정파일!B119)),ISBLANK(고객법인일정파일!C119),고객법인일정파일!C119="Total"),"",IF(ISNUMBER(FIND("-",고객법인일정파일!C119)),LEFT(고객법인일정파일!C119,FIND("-",고객법인일정파일!C119)-1),IF(ISNUMBER(FIND(" ",고객법인일정파일!C119)),LEFT(고객법인일정파일!C119,FIND(" ",고객법인일정파일!C119)-1),고객법인일정파일!C119))))</f>
        <v/>
      </c>
      <c r="P119" s="11" t="str">
        <f>IF(ISBLANK(태깅기획site_code!F119),"",IF(COUNTIF(고객법인일정파일!$C$4:$C$200,태깅기획site_code!D119&amp;"-"&amp;UPPER(IF(ISNUMBER(FIND("_",태깅기획site_code!F119)),LEFT(태깅기획site_code!F119,FIND("_",태깅기획site_code!F119)-1),태깅기획site_code!F119)))&gt;0,태깅기획site_code!D119&amp;"-"&amp;UPPER(IF(ISNUMBER(FIND("_",태깅기획site_code!F119)),LEFT(태깅기획site_code!F119,FIND("_",태깅기획site_code!F119)-1),태깅기획site_code!F119)),IF(COUNTIF(고객법인일정파일!$C$4:$C$200,태깅기획site_code!D119&amp;" ("&amp;PROPER(LEFT(태깅기획site_code!F119,FIND("_",태깅기획site_code!F119)-1))&amp;"_"&amp;UPPER(MID(태깅기획site_code!F119,FIND("_",태깅기획site_code!F119)+1,20))&amp;")")&gt;0,태깅기획site_code!D119&amp;" ("&amp;PROPER(LEFT(태깅기획site_code!F119,FIND("_",태깅기획site_code!F119)-1))&amp;"_"&amp;UPPER(MID(태깅기획site_code!F119,FIND("_",태깅기획site_code!F119)+1,20))&amp;")",IF(COUNTIF(고객법인일정파일!$C$4:$C$200,태깅기획site_code!D119)&gt;0,태깅기획site_code!D119,IF(ISNUMBER(FIND("_",태깅기획site_code!F119)),"",IFERROR(INDEX(고객법인일정파일!$C$4:$C$200,MATCH(태깅기획site_code!D119,$O$4:$O$200,0)),IF(ISNUMBER(FIND("-",태깅기획site_code!D119)),IFERROR(INDEX(고객법인일정파일!$C$4:$C$200,MATCH(LEFT(태깅기획site_code!D119,FIND("-",태깅기획site_code!D119)-1),고객법인일정파일!$C$4:$C$200,0)),""),IF(태깅기획site_code!D119="SCA",IF(RIGHT(태깅기획site_code!F119,3)="_fr",IFERROR(INDEX(고객법인일정파일!$C$4:$C$200,MATCH("SEWA (Africa_FR)",고객법인일정파일!$C$4:$C$200,0)),""),IF(RIGHT(태깅기획site_code!F119,3)="_en",IFERROR(INDEX(고객법인일정파일!$C$4:$C$200,MATCH("SEWA (Africa_EN)",고객법인일정파일!$C$4:$C$200,0)),""),"")),""))))))))</f>
        <v/>
      </c>
      <c r="Q119" s="11" t="str">
        <f>IF(LEN(TRIM(P119))=0,"",IFERROR(INDEX(고객법인일정파일!$E$4:$E$192,MATCH(P119,고객법인일정파일!$C$4:$C$192,0)),""))</f>
        <v/>
      </c>
      <c r="R119" s="12" t="str">
        <f>IF(OR(LEN(TRIM(P119))=0,Q119="X",Q119&lt;&gt;"O"),"",IFERROR(INDEX(고객법인일정파일!$F$4:$F$192,MATCH(P119,고객법인일정파일!$C$4:$C$192,0)),""))</f>
        <v/>
      </c>
      <c r="S119" s="12" t="str">
        <f>IF(OR(LEN(TRIM(P119))=0,Q119="X",Q119&lt;&gt;"O"),"",IFERROR(INDEX(고객법인일정파일!$H$4:$H$192,MATCH(P119,고객법인일정파일!$C$4:$C$192,0)),""))</f>
        <v/>
      </c>
    </row>
    <row r="120" spans="15:19">
      <c r="O120" s="11" t="str">
        <f>IF(IF(OR(NOT(ISBLANK(고객법인일정파일!B120)),ISBLANK(고객법인일정파일!C120),고객법인일정파일!C120="Total"),"",IF(ISNUMBER(FIND("-",고객법인일정파일!C120)),LEFT(고객법인일정파일!C120,FIND("-",고객법인일정파일!C120)-1),IF(ISNUMBER(FIND(" ",고객법인일정파일!C120)),LEFT(고객법인일정파일!C120,FIND(" ",고객법인일정파일!C120)-1),고객법인일정파일!C120)))="한총","sec",IF(OR(NOT(ISBLANK(고객법인일정파일!B120)),ISBLANK(고객법인일정파일!C120),고객법인일정파일!C120="Total"),"",IF(ISNUMBER(FIND("-",고객법인일정파일!C120)),LEFT(고객법인일정파일!C120,FIND("-",고객법인일정파일!C120)-1),IF(ISNUMBER(FIND(" ",고객법인일정파일!C120)),LEFT(고객법인일정파일!C120,FIND(" ",고객법인일정파일!C120)-1),고객법인일정파일!C120))))</f>
        <v/>
      </c>
      <c r="P120" s="11" t="str">
        <f>IF(ISBLANK(태깅기획site_code!F120),"",IF(COUNTIF(고객법인일정파일!$C$4:$C$200,태깅기획site_code!D120&amp;"-"&amp;UPPER(IF(ISNUMBER(FIND("_",태깅기획site_code!F120)),LEFT(태깅기획site_code!F120,FIND("_",태깅기획site_code!F120)-1),태깅기획site_code!F120)))&gt;0,태깅기획site_code!D120&amp;"-"&amp;UPPER(IF(ISNUMBER(FIND("_",태깅기획site_code!F120)),LEFT(태깅기획site_code!F120,FIND("_",태깅기획site_code!F120)-1),태깅기획site_code!F120)),IF(COUNTIF(고객법인일정파일!$C$4:$C$200,태깅기획site_code!D120&amp;" ("&amp;PROPER(LEFT(태깅기획site_code!F120,FIND("_",태깅기획site_code!F120)-1))&amp;"_"&amp;UPPER(MID(태깅기획site_code!F120,FIND("_",태깅기획site_code!F120)+1,20))&amp;")")&gt;0,태깅기획site_code!D120&amp;" ("&amp;PROPER(LEFT(태깅기획site_code!F120,FIND("_",태깅기획site_code!F120)-1))&amp;"_"&amp;UPPER(MID(태깅기획site_code!F120,FIND("_",태깅기획site_code!F120)+1,20))&amp;")",IF(COUNTIF(고객법인일정파일!$C$4:$C$200,태깅기획site_code!D120)&gt;0,태깅기획site_code!D120,IF(ISNUMBER(FIND("_",태깅기획site_code!F120)),"",IFERROR(INDEX(고객법인일정파일!$C$4:$C$200,MATCH(태깅기획site_code!D120,$O$4:$O$200,0)),IF(ISNUMBER(FIND("-",태깅기획site_code!D120)),IFERROR(INDEX(고객법인일정파일!$C$4:$C$200,MATCH(LEFT(태깅기획site_code!D120,FIND("-",태깅기획site_code!D120)-1),고객법인일정파일!$C$4:$C$200,0)),""),IF(태깅기획site_code!D120="SCA",IF(RIGHT(태깅기획site_code!F120,3)="_fr",IFERROR(INDEX(고객법인일정파일!$C$4:$C$200,MATCH("SEWA (Africa_FR)",고객법인일정파일!$C$4:$C$200,0)),""),IF(RIGHT(태깅기획site_code!F120,3)="_en",IFERROR(INDEX(고객법인일정파일!$C$4:$C$200,MATCH("SEWA (Africa_EN)",고객법인일정파일!$C$4:$C$200,0)),""),"")),""))))))))</f>
        <v/>
      </c>
      <c r="Q120" s="11" t="str">
        <f>IF(LEN(TRIM(P120))=0,"",IFERROR(INDEX(고객법인일정파일!$E$4:$E$192,MATCH(P120,고객법인일정파일!$C$4:$C$192,0)),""))</f>
        <v/>
      </c>
      <c r="R120" s="12" t="str">
        <f>IF(OR(LEN(TRIM(P120))=0,Q120="X",Q120&lt;&gt;"O"),"",IFERROR(INDEX(고객법인일정파일!$F$4:$F$192,MATCH(P120,고객법인일정파일!$C$4:$C$192,0)),""))</f>
        <v/>
      </c>
      <c r="S120" s="12" t="str">
        <f>IF(OR(LEN(TRIM(P120))=0,Q120="X",Q120&lt;&gt;"O"),"",IFERROR(INDEX(고객법인일정파일!$H$4:$H$192,MATCH(P120,고객법인일정파일!$C$4:$C$192,0)),""))</f>
        <v/>
      </c>
    </row>
    <row r="121" spans="15:19">
      <c r="O121" s="11" t="str">
        <f>IF(IF(OR(NOT(ISBLANK(고객법인일정파일!B121)),ISBLANK(고객법인일정파일!C121),고객법인일정파일!C121="Total"),"",IF(ISNUMBER(FIND("-",고객법인일정파일!C121)),LEFT(고객법인일정파일!C121,FIND("-",고객법인일정파일!C121)-1),IF(ISNUMBER(FIND(" ",고객법인일정파일!C121)),LEFT(고객법인일정파일!C121,FIND(" ",고객법인일정파일!C121)-1),고객법인일정파일!C121)))="한총","sec",IF(OR(NOT(ISBLANK(고객법인일정파일!B121)),ISBLANK(고객법인일정파일!C121),고객법인일정파일!C121="Total"),"",IF(ISNUMBER(FIND("-",고객법인일정파일!C121)),LEFT(고객법인일정파일!C121,FIND("-",고객법인일정파일!C121)-1),IF(ISNUMBER(FIND(" ",고객법인일정파일!C121)),LEFT(고객법인일정파일!C121,FIND(" ",고객법인일정파일!C121)-1),고객법인일정파일!C121))))</f>
        <v/>
      </c>
      <c r="P121" s="11" t="str">
        <f>IF(ISBLANK(태깅기획site_code!F121),"",IF(COUNTIF(고객법인일정파일!$C$4:$C$200,태깅기획site_code!D121&amp;"-"&amp;UPPER(IF(ISNUMBER(FIND("_",태깅기획site_code!F121)),LEFT(태깅기획site_code!F121,FIND("_",태깅기획site_code!F121)-1),태깅기획site_code!F121)))&gt;0,태깅기획site_code!D121&amp;"-"&amp;UPPER(IF(ISNUMBER(FIND("_",태깅기획site_code!F121)),LEFT(태깅기획site_code!F121,FIND("_",태깅기획site_code!F121)-1),태깅기획site_code!F121)),IF(COUNTIF(고객법인일정파일!$C$4:$C$200,태깅기획site_code!D121&amp;" ("&amp;PROPER(LEFT(태깅기획site_code!F121,FIND("_",태깅기획site_code!F121)-1))&amp;"_"&amp;UPPER(MID(태깅기획site_code!F121,FIND("_",태깅기획site_code!F121)+1,20))&amp;")")&gt;0,태깅기획site_code!D121&amp;" ("&amp;PROPER(LEFT(태깅기획site_code!F121,FIND("_",태깅기획site_code!F121)-1))&amp;"_"&amp;UPPER(MID(태깅기획site_code!F121,FIND("_",태깅기획site_code!F121)+1,20))&amp;")",IF(COUNTIF(고객법인일정파일!$C$4:$C$200,태깅기획site_code!D121)&gt;0,태깅기획site_code!D121,IF(ISNUMBER(FIND("_",태깅기획site_code!F121)),"",IFERROR(INDEX(고객법인일정파일!$C$4:$C$200,MATCH(태깅기획site_code!D121,$O$4:$O$200,0)),IF(ISNUMBER(FIND("-",태깅기획site_code!D121)),IFERROR(INDEX(고객법인일정파일!$C$4:$C$200,MATCH(LEFT(태깅기획site_code!D121,FIND("-",태깅기획site_code!D121)-1),고객법인일정파일!$C$4:$C$200,0)),""),IF(태깅기획site_code!D121="SCA",IF(RIGHT(태깅기획site_code!F121,3)="_fr",IFERROR(INDEX(고객법인일정파일!$C$4:$C$200,MATCH("SEWA (Africa_FR)",고객법인일정파일!$C$4:$C$200,0)),""),IF(RIGHT(태깅기획site_code!F121,3)="_en",IFERROR(INDEX(고객법인일정파일!$C$4:$C$200,MATCH("SEWA (Africa_EN)",고객법인일정파일!$C$4:$C$200,0)),""),"")),""))))))))</f>
        <v/>
      </c>
      <c r="Q121" s="11" t="str">
        <f>IF(LEN(TRIM(P121))=0,"",IFERROR(INDEX(고객법인일정파일!$E$4:$E$192,MATCH(P121,고객법인일정파일!$C$4:$C$192,0)),""))</f>
        <v/>
      </c>
      <c r="R121" s="12" t="str">
        <f>IF(OR(LEN(TRIM(P121))=0,Q121="X",Q121&lt;&gt;"O"),"",IFERROR(INDEX(고객법인일정파일!$F$4:$F$192,MATCH(P121,고객법인일정파일!$C$4:$C$192,0)),""))</f>
        <v/>
      </c>
      <c r="S121" s="12" t="str">
        <f>IF(OR(LEN(TRIM(P121))=0,Q121="X",Q121&lt;&gt;"O"),"",IFERROR(INDEX(고객법인일정파일!$H$4:$H$192,MATCH(P121,고객법인일정파일!$C$4:$C$192,0)),""))</f>
        <v/>
      </c>
    </row>
    <row r="122" spans="15:19">
      <c r="O122" s="11" t="str">
        <f>IF(IF(OR(NOT(ISBLANK(고객법인일정파일!B122)),ISBLANK(고객법인일정파일!C122),고객법인일정파일!C122="Total"),"",IF(ISNUMBER(FIND("-",고객법인일정파일!C122)),LEFT(고객법인일정파일!C122,FIND("-",고객법인일정파일!C122)-1),IF(ISNUMBER(FIND(" ",고객법인일정파일!C122)),LEFT(고객법인일정파일!C122,FIND(" ",고객법인일정파일!C122)-1),고객법인일정파일!C122)))="한총","sec",IF(OR(NOT(ISBLANK(고객법인일정파일!B122)),ISBLANK(고객법인일정파일!C122),고객법인일정파일!C122="Total"),"",IF(ISNUMBER(FIND("-",고객법인일정파일!C122)),LEFT(고객법인일정파일!C122,FIND("-",고객법인일정파일!C122)-1),IF(ISNUMBER(FIND(" ",고객법인일정파일!C122)),LEFT(고객법인일정파일!C122,FIND(" ",고객법인일정파일!C122)-1),고객법인일정파일!C122))))</f>
        <v/>
      </c>
      <c r="P122" s="11" t="str">
        <f>IF(ISBLANK(태깅기획site_code!F122),"",IF(COUNTIF(고객법인일정파일!$C$4:$C$200,태깅기획site_code!D122&amp;"-"&amp;UPPER(IF(ISNUMBER(FIND("_",태깅기획site_code!F122)),LEFT(태깅기획site_code!F122,FIND("_",태깅기획site_code!F122)-1),태깅기획site_code!F122)))&gt;0,태깅기획site_code!D122&amp;"-"&amp;UPPER(IF(ISNUMBER(FIND("_",태깅기획site_code!F122)),LEFT(태깅기획site_code!F122,FIND("_",태깅기획site_code!F122)-1),태깅기획site_code!F122)),IF(COUNTIF(고객법인일정파일!$C$4:$C$200,태깅기획site_code!D122&amp;" ("&amp;PROPER(LEFT(태깅기획site_code!F122,FIND("_",태깅기획site_code!F122)-1))&amp;"_"&amp;UPPER(MID(태깅기획site_code!F122,FIND("_",태깅기획site_code!F122)+1,20))&amp;")")&gt;0,태깅기획site_code!D122&amp;" ("&amp;PROPER(LEFT(태깅기획site_code!F122,FIND("_",태깅기획site_code!F122)-1))&amp;"_"&amp;UPPER(MID(태깅기획site_code!F122,FIND("_",태깅기획site_code!F122)+1,20))&amp;")",IF(COUNTIF(고객법인일정파일!$C$4:$C$200,태깅기획site_code!D122)&gt;0,태깅기획site_code!D122,IF(ISNUMBER(FIND("_",태깅기획site_code!F122)),"",IFERROR(INDEX(고객법인일정파일!$C$4:$C$200,MATCH(태깅기획site_code!D122,$O$4:$O$200,0)),IF(ISNUMBER(FIND("-",태깅기획site_code!D122)),IFERROR(INDEX(고객법인일정파일!$C$4:$C$200,MATCH(LEFT(태깅기획site_code!D122,FIND("-",태깅기획site_code!D122)-1),고객법인일정파일!$C$4:$C$200,0)),""),IF(태깅기획site_code!D122="SCA",IF(RIGHT(태깅기획site_code!F122,3)="_fr",IFERROR(INDEX(고객법인일정파일!$C$4:$C$200,MATCH("SEWA (Africa_FR)",고객법인일정파일!$C$4:$C$200,0)),""),IF(RIGHT(태깅기획site_code!F122,3)="_en",IFERROR(INDEX(고객법인일정파일!$C$4:$C$200,MATCH("SEWA (Africa_EN)",고객법인일정파일!$C$4:$C$200,0)),""),"")),""))))))))</f>
        <v/>
      </c>
      <c r="Q122" s="11" t="str">
        <f>IF(LEN(TRIM(P122))=0,"",IFERROR(INDEX(고객법인일정파일!$E$4:$E$192,MATCH(P122,고객법인일정파일!$C$4:$C$192,0)),""))</f>
        <v/>
      </c>
      <c r="R122" s="12" t="str">
        <f>IF(OR(LEN(TRIM(P122))=0,Q122="X",Q122&lt;&gt;"O"),"",IFERROR(INDEX(고객법인일정파일!$F$4:$F$192,MATCH(P122,고객법인일정파일!$C$4:$C$192,0)),""))</f>
        <v/>
      </c>
      <c r="S122" s="12" t="str">
        <f>IF(OR(LEN(TRIM(P122))=0,Q122="X",Q122&lt;&gt;"O"),"",IFERROR(INDEX(고객법인일정파일!$H$4:$H$192,MATCH(P122,고객법인일정파일!$C$4:$C$192,0)),""))</f>
        <v/>
      </c>
    </row>
    <row r="123" spans="15:19">
      <c r="O123" s="11" t="str">
        <f>IF(IF(OR(NOT(ISBLANK(고객법인일정파일!B123)),ISBLANK(고객법인일정파일!C123),고객법인일정파일!C123="Total"),"",IF(ISNUMBER(FIND("-",고객법인일정파일!C123)),LEFT(고객법인일정파일!C123,FIND("-",고객법인일정파일!C123)-1),IF(ISNUMBER(FIND(" ",고객법인일정파일!C123)),LEFT(고객법인일정파일!C123,FIND(" ",고객법인일정파일!C123)-1),고객법인일정파일!C123)))="한총","sec",IF(OR(NOT(ISBLANK(고객법인일정파일!B123)),ISBLANK(고객법인일정파일!C123),고객법인일정파일!C123="Total"),"",IF(ISNUMBER(FIND("-",고객법인일정파일!C123)),LEFT(고객법인일정파일!C123,FIND("-",고객법인일정파일!C123)-1),IF(ISNUMBER(FIND(" ",고객법인일정파일!C123)),LEFT(고객법인일정파일!C123,FIND(" ",고객법인일정파일!C123)-1),고객법인일정파일!C123))))</f>
        <v/>
      </c>
      <c r="P123" s="11" t="str">
        <f>IF(ISBLANK(태깅기획site_code!F123),"",IF(COUNTIF(고객법인일정파일!$C$4:$C$200,태깅기획site_code!D123&amp;"-"&amp;UPPER(IF(ISNUMBER(FIND("_",태깅기획site_code!F123)),LEFT(태깅기획site_code!F123,FIND("_",태깅기획site_code!F123)-1),태깅기획site_code!F123)))&gt;0,태깅기획site_code!D123&amp;"-"&amp;UPPER(IF(ISNUMBER(FIND("_",태깅기획site_code!F123)),LEFT(태깅기획site_code!F123,FIND("_",태깅기획site_code!F123)-1),태깅기획site_code!F123)),IF(COUNTIF(고객법인일정파일!$C$4:$C$200,태깅기획site_code!D123&amp;" ("&amp;PROPER(LEFT(태깅기획site_code!F123,FIND("_",태깅기획site_code!F123)-1))&amp;"_"&amp;UPPER(MID(태깅기획site_code!F123,FIND("_",태깅기획site_code!F123)+1,20))&amp;")")&gt;0,태깅기획site_code!D123&amp;" ("&amp;PROPER(LEFT(태깅기획site_code!F123,FIND("_",태깅기획site_code!F123)-1))&amp;"_"&amp;UPPER(MID(태깅기획site_code!F123,FIND("_",태깅기획site_code!F123)+1,20))&amp;")",IF(COUNTIF(고객법인일정파일!$C$4:$C$200,태깅기획site_code!D123)&gt;0,태깅기획site_code!D123,IF(ISNUMBER(FIND("_",태깅기획site_code!F123)),"",IFERROR(INDEX(고객법인일정파일!$C$4:$C$200,MATCH(태깅기획site_code!D123,$O$4:$O$200,0)),IF(ISNUMBER(FIND("-",태깅기획site_code!D123)),IFERROR(INDEX(고객법인일정파일!$C$4:$C$200,MATCH(LEFT(태깅기획site_code!D123,FIND("-",태깅기획site_code!D123)-1),고객법인일정파일!$C$4:$C$200,0)),""),IF(태깅기획site_code!D123="SCA",IF(RIGHT(태깅기획site_code!F123,3)="_fr",IFERROR(INDEX(고객법인일정파일!$C$4:$C$200,MATCH("SEWA (Africa_FR)",고객법인일정파일!$C$4:$C$200,0)),""),IF(RIGHT(태깅기획site_code!F123,3)="_en",IFERROR(INDEX(고객법인일정파일!$C$4:$C$200,MATCH("SEWA (Africa_EN)",고객법인일정파일!$C$4:$C$200,0)),""),"")),""))))))))</f>
        <v/>
      </c>
      <c r="Q123" s="11" t="str">
        <f>IF(LEN(TRIM(P123))=0,"",IFERROR(INDEX(고객법인일정파일!$E$4:$E$192,MATCH(P123,고객법인일정파일!$C$4:$C$192,0)),""))</f>
        <v/>
      </c>
      <c r="R123" s="12" t="str">
        <f>IF(OR(LEN(TRIM(P123))=0,Q123="X",Q123&lt;&gt;"O"),"",IFERROR(INDEX(고객법인일정파일!$F$4:$F$192,MATCH(P123,고객법인일정파일!$C$4:$C$192,0)),""))</f>
        <v/>
      </c>
      <c r="S123" s="12" t="str">
        <f>IF(OR(LEN(TRIM(P123))=0,Q123="X",Q123&lt;&gt;"O"),"",IFERROR(INDEX(고객법인일정파일!$H$4:$H$192,MATCH(P123,고객법인일정파일!$C$4:$C$192,0)),""))</f>
        <v/>
      </c>
    </row>
    <row r="124" spans="15:19">
      <c r="O124" s="11" t="str">
        <f>IF(IF(OR(NOT(ISBLANK(고객법인일정파일!B124)),ISBLANK(고객법인일정파일!C124),고객법인일정파일!C124="Total"),"",IF(ISNUMBER(FIND("-",고객법인일정파일!C124)),LEFT(고객법인일정파일!C124,FIND("-",고객법인일정파일!C124)-1),IF(ISNUMBER(FIND(" ",고객법인일정파일!C124)),LEFT(고객법인일정파일!C124,FIND(" ",고객법인일정파일!C124)-1),고객법인일정파일!C124)))="한총","sec",IF(OR(NOT(ISBLANK(고객법인일정파일!B124)),ISBLANK(고객법인일정파일!C124),고객법인일정파일!C124="Total"),"",IF(ISNUMBER(FIND("-",고객법인일정파일!C124)),LEFT(고객법인일정파일!C124,FIND("-",고객법인일정파일!C124)-1),IF(ISNUMBER(FIND(" ",고객법인일정파일!C124)),LEFT(고객법인일정파일!C124,FIND(" ",고객법인일정파일!C124)-1),고객법인일정파일!C124))))</f>
        <v/>
      </c>
      <c r="P124" s="11" t="str">
        <f>IF(ISBLANK(태깅기획site_code!F124),"",IF(COUNTIF(고객법인일정파일!$C$4:$C$200,태깅기획site_code!D124&amp;"-"&amp;UPPER(IF(ISNUMBER(FIND("_",태깅기획site_code!F124)),LEFT(태깅기획site_code!F124,FIND("_",태깅기획site_code!F124)-1),태깅기획site_code!F124)))&gt;0,태깅기획site_code!D124&amp;"-"&amp;UPPER(IF(ISNUMBER(FIND("_",태깅기획site_code!F124)),LEFT(태깅기획site_code!F124,FIND("_",태깅기획site_code!F124)-1),태깅기획site_code!F124)),IF(COUNTIF(고객법인일정파일!$C$4:$C$200,태깅기획site_code!D124&amp;" ("&amp;PROPER(LEFT(태깅기획site_code!F124,FIND("_",태깅기획site_code!F124)-1))&amp;"_"&amp;UPPER(MID(태깅기획site_code!F124,FIND("_",태깅기획site_code!F124)+1,20))&amp;")")&gt;0,태깅기획site_code!D124&amp;" ("&amp;PROPER(LEFT(태깅기획site_code!F124,FIND("_",태깅기획site_code!F124)-1))&amp;"_"&amp;UPPER(MID(태깅기획site_code!F124,FIND("_",태깅기획site_code!F124)+1,20))&amp;")",IF(COUNTIF(고객법인일정파일!$C$4:$C$200,태깅기획site_code!D124)&gt;0,태깅기획site_code!D124,IF(ISNUMBER(FIND("_",태깅기획site_code!F124)),"",IFERROR(INDEX(고객법인일정파일!$C$4:$C$200,MATCH(태깅기획site_code!D124,$O$4:$O$200,0)),IF(ISNUMBER(FIND("-",태깅기획site_code!D124)),IFERROR(INDEX(고객법인일정파일!$C$4:$C$200,MATCH(LEFT(태깅기획site_code!D124,FIND("-",태깅기획site_code!D124)-1),고객법인일정파일!$C$4:$C$200,0)),""),IF(태깅기획site_code!D124="SCA",IF(RIGHT(태깅기획site_code!F124,3)="_fr",IFERROR(INDEX(고객법인일정파일!$C$4:$C$200,MATCH("SEWA (Africa_FR)",고객법인일정파일!$C$4:$C$200,0)),""),IF(RIGHT(태깅기획site_code!F124,3)="_en",IFERROR(INDEX(고객법인일정파일!$C$4:$C$200,MATCH("SEWA (Africa_EN)",고객법인일정파일!$C$4:$C$200,0)),""),"")),""))))))))</f>
        <v/>
      </c>
      <c r="Q124" s="11" t="str">
        <f>IF(LEN(TRIM(P124))=0,"",IFERROR(INDEX(고객법인일정파일!$E$4:$E$192,MATCH(P124,고객법인일정파일!$C$4:$C$192,0)),""))</f>
        <v/>
      </c>
      <c r="R124" s="12" t="str">
        <f>IF(OR(LEN(TRIM(P124))=0,Q124="X",Q124&lt;&gt;"O"),"",IFERROR(INDEX(고객법인일정파일!$F$4:$F$192,MATCH(P124,고객법인일정파일!$C$4:$C$192,0)),""))</f>
        <v/>
      </c>
      <c r="S124" s="12" t="str">
        <f>IF(OR(LEN(TRIM(P124))=0,Q124="X",Q124&lt;&gt;"O"),"",IFERROR(INDEX(고객법인일정파일!$H$4:$H$192,MATCH(P124,고객법인일정파일!$C$4:$C$192,0)),""))</f>
        <v/>
      </c>
    </row>
    <row r="125" spans="15:19">
      <c r="O125" s="11" t="str">
        <f>IF(IF(OR(NOT(ISBLANK(고객법인일정파일!B125)),ISBLANK(고객법인일정파일!C125),고객법인일정파일!C125="Total"),"",IF(ISNUMBER(FIND("-",고객법인일정파일!C125)),LEFT(고객법인일정파일!C125,FIND("-",고객법인일정파일!C125)-1),IF(ISNUMBER(FIND(" ",고객법인일정파일!C125)),LEFT(고객법인일정파일!C125,FIND(" ",고객법인일정파일!C125)-1),고객법인일정파일!C125)))="한총","sec",IF(OR(NOT(ISBLANK(고객법인일정파일!B125)),ISBLANK(고객법인일정파일!C125),고객법인일정파일!C125="Total"),"",IF(ISNUMBER(FIND("-",고객법인일정파일!C125)),LEFT(고객법인일정파일!C125,FIND("-",고객법인일정파일!C125)-1),IF(ISNUMBER(FIND(" ",고객법인일정파일!C125)),LEFT(고객법인일정파일!C125,FIND(" ",고객법인일정파일!C125)-1),고객법인일정파일!C125))))</f>
        <v/>
      </c>
      <c r="P125" s="11" t="str">
        <f>IF(ISBLANK(태깅기획site_code!F125),"",IF(COUNTIF(고객법인일정파일!$C$4:$C$200,태깅기획site_code!D125&amp;"-"&amp;UPPER(IF(ISNUMBER(FIND("_",태깅기획site_code!F125)),LEFT(태깅기획site_code!F125,FIND("_",태깅기획site_code!F125)-1),태깅기획site_code!F125)))&gt;0,태깅기획site_code!D125&amp;"-"&amp;UPPER(IF(ISNUMBER(FIND("_",태깅기획site_code!F125)),LEFT(태깅기획site_code!F125,FIND("_",태깅기획site_code!F125)-1),태깅기획site_code!F125)),IF(COUNTIF(고객법인일정파일!$C$4:$C$200,태깅기획site_code!D125&amp;" ("&amp;PROPER(LEFT(태깅기획site_code!F125,FIND("_",태깅기획site_code!F125)-1))&amp;"_"&amp;UPPER(MID(태깅기획site_code!F125,FIND("_",태깅기획site_code!F125)+1,20))&amp;")")&gt;0,태깅기획site_code!D125&amp;" ("&amp;PROPER(LEFT(태깅기획site_code!F125,FIND("_",태깅기획site_code!F125)-1))&amp;"_"&amp;UPPER(MID(태깅기획site_code!F125,FIND("_",태깅기획site_code!F125)+1,20))&amp;")",IF(COUNTIF(고객법인일정파일!$C$4:$C$200,태깅기획site_code!D125)&gt;0,태깅기획site_code!D125,IF(ISNUMBER(FIND("_",태깅기획site_code!F125)),"",IFERROR(INDEX(고객법인일정파일!$C$4:$C$200,MATCH(태깅기획site_code!D125,$O$4:$O$200,0)),IF(ISNUMBER(FIND("-",태깅기획site_code!D125)),IFERROR(INDEX(고객법인일정파일!$C$4:$C$200,MATCH(LEFT(태깅기획site_code!D125,FIND("-",태깅기획site_code!D125)-1),고객법인일정파일!$C$4:$C$200,0)),""),IF(태깅기획site_code!D125="SCA",IF(RIGHT(태깅기획site_code!F125,3)="_fr",IFERROR(INDEX(고객법인일정파일!$C$4:$C$200,MATCH("SEWA (Africa_FR)",고객법인일정파일!$C$4:$C$200,0)),""),IF(RIGHT(태깅기획site_code!F125,3)="_en",IFERROR(INDEX(고객법인일정파일!$C$4:$C$200,MATCH("SEWA (Africa_EN)",고객법인일정파일!$C$4:$C$200,0)),""),"")),""))))))))</f>
        <v/>
      </c>
      <c r="Q125" s="11" t="str">
        <f>IF(LEN(TRIM(P125))=0,"",IFERROR(INDEX(고객법인일정파일!$E$4:$E$192,MATCH(P125,고객법인일정파일!$C$4:$C$192,0)),""))</f>
        <v/>
      </c>
      <c r="R125" s="12" t="str">
        <f>IF(OR(LEN(TRIM(P125))=0,Q125="X",Q125&lt;&gt;"O"),"",IFERROR(INDEX(고객법인일정파일!$F$4:$F$192,MATCH(P125,고객법인일정파일!$C$4:$C$192,0)),""))</f>
        <v/>
      </c>
      <c r="S125" s="12" t="str">
        <f>IF(OR(LEN(TRIM(P125))=0,Q125="X",Q125&lt;&gt;"O"),"",IFERROR(INDEX(고객법인일정파일!$H$4:$H$192,MATCH(P125,고객법인일정파일!$C$4:$C$192,0)),""))</f>
        <v/>
      </c>
    </row>
    <row r="126" spans="15:19">
      <c r="O126" s="11" t="str">
        <f>IF(IF(OR(NOT(ISBLANK(고객법인일정파일!B126)),ISBLANK(고객법인일정파일!C126),고객법인일정파일!C126="Total"),"",IF(ISNUMBER(FIND("-",고객법인일정파일!C126)),LEFT(고객법인일정파일!C126,FIND("-",고객법인일정파일!C126)-1),IF(ISNUMBER(FIND(" ",고객법인일정파일!C126)),LEFT(고객법인일정파일!C126,FIND(" ",고객법인일정파일!C126)-1),고객법인일정파일!C126)))="한총","sec",IF(OR(NOT(ISBLANK(고객법인일정파일!B126)),ISBLANK(고객법인일정파일!C126),고객법인일정파일!C126="Total"),"",IF(ISNUMBER(FIND("-",고객법인일정파일!C126)),LEFT(고객법인일정파일!C126,FIND("-",고객법인일정파일!C126)-1),IF(ISNUMBER(FIND(" ",고객법인일정파일!C126)),LEFT(고객법인일정파일!C126,FIND(" ",고객법인일정파일!C126)-1),고객법인일정파일!C126))))</f>
        <v/>
      </c>
      <c r="P126" s="11" t="str">
        <f>IF(ISBLANK(태깅기획site_code!F126),"",IF(COUNTIF(고객법인일정파일!$C$4:$C$200,태깅기획site_code!D126&amp;"-"&amp;UPPER(IF(ISNUMBER(FIND("_",태깅기획site_code!F126)),LEFT(태깅기획site_code!F126,FIND("_",태깅기획site_code!F126)-1),태깅기획site_code!F126)))&gt;0,태깅기획site_code!D126&amp;"-"&amp;UPPER(IF(ISNUMBER(FIND("_",태깅기획site_code!F126)),LEFT(태깅기획site_code!F126,FIND("_",태깅기획site_code!F126)-1),태깅기획site_code!F126)),IF(COUNTIF(고객법인일정파일!$C$4:$C$200,태깅기획site_code!D126&amp;" ("&amp;PROPER(LEFT(태깅기획site_code!F126,FIND("_",태깅기획site_code!F126)-1))&amp;"_"&amp;UPPER(MID(태깅기획site_code!F126,FIND("_",태깅기획site_code!F126)+1,20))&amp;")")&gt;0,태깅기획site_code!D126&amp;" ("&amp;PROPER(LEFT(태깅기획site_code!F126,FIND("_",태깅기획site_code!F126)-1))&amp;"_"&amp;UPPER(MID(태깅기획site_code!F126,FIND("_",태깅기획site_code!F126)+1,20))&amp;")",IF(COUNTIF(고객법인일정파일!$C$4:$C$200,태깅기획site_code!D126)&gt;0,태깅기획site_code!D126,IF(ISNUMBER(FIND("_",태깅기획site_code!F126)),"",IFERROR(INDEX(고객법인일정파일!$C$4:$C$200,MATCH(태깅기획site_code!D126,$O$4:$O$200,0)),IF(ISNUMBER(FIND("-",태깅기획site_code!D126)),IFERROR(INDEX(고객법인일정파일!$C$4:$C$200,MATCH(LEFT(태깅기획site_code!D126,FIND("-",태깅기획site_code!D126)-1),고객법인일정파일!$C$4:$C$200,0)),""),IF(태깅기획site_code!D126="SCA",IF(RIGHT(태깅기획site_code!F126,3)="_fr",IFERROR(INDEX(고객법인일정파일!$C$4:$C$200,MATCH("SEWA (Africa_FR)",고객법인일정파일!$C$4:$C$200,0)),""),IF(RIGHT(태깅기획site_code!F126,3)="_en",IFERROR(INDEX(고객법인일정파일!$C$4:$C$200,MATCH("SEWA (Africa_EN)",고객법인일정파일!$C$4:$C$200,0)),""),"")),""))))))))</f>
        <v/>
      </c>
      <c r="Q126" s="11" t="str">
        <f>IF(LEN(TRIM(P126))=0,"",IFERROR(INDEX(고객법인일정파일!$E$4:$E$192,MATCH(P126,고객법인일정파일!$C$4:$C$192,0)),""))</f>
        <v/>
      </c>
      <c r="R126" s="12" t="str">
        <f>IF(OR(LEN(TRIM(P126))=0,Q126="X",Q126&lt;&gt;"O"),"",IFERROR(INDEX(고객법인일정파일!$F$4:$F$192,MATCH(P126,고객법인일정파일!$C$4:$C$192,0)),""))</f>
        <v/>
      </c>
      <c r="S126" s="12" t="str">
        <f>IF(OR(LEN(TRIM(P126))=0,Q126="X",Q126&lt;&gt;"O"),"",IFERROR(INDEX(고객법인일정파일!$H$4:$H$192,MATCH(P126,고객법인일정파일!$C$4:$C$192,0)),""))</f>
        <v/>
      </c>
    </row>
    <row r="127" spans="15:19">
      <c r="O127" s="11" t="str">
        <f>IF(IF(OR(NOT(ISBLANK(고객법인일정파일!B127)),ISBLANK(고객법인일정파일!C127),고객법인일정파일!C127="Total"),"",IF(ISNUMBER(FIND("-",고객법인일정파일!C127)),LEFT(고객법인일정파일!C127,FIND("-",고객법인일정파일!C127)-1),IF(ISNUMBER(FIND(" ",고객법인일정파일!C127)),LEFT(고객법인일정파일!C127,FIND(" ",고객법인일정파일!C127)-1),고객법인일정파일!C127)))="한총","sec",IF(OR(NOT(ISBLANK(고객법인일정파일!B127)),ISBLANK(고객법인일정파일!C127),고객법인일정파일!C127="Total"),"",IF(ISNUMBER(FIND("-",고객법인일정파일!C127)),LEFT(고객법인일정파일!C127,FIND("-",고객법인일정파일!C127)-1),IF(ISNUMBER(FIND(" ",고객법인일정파일!C127)),LEFT(고객법인일정파일!C127,FIND(" ",고객법인일정파일!C127)-1),고객법인일정파일!C127))))</f>
        <v/>
      </c>
      <c r="P127" s="11" t="str">
        <f>IF(ISBLANK(태깅기획site_code!F127),"",IF(COUNTIF(고객법인일정파일!$C$4:$C$200,태깅기획site_code!D127&amp;"-"&amp;UPPER(IF(ISNUMBER(FIND("_",태깅기획site_code!F127)),LEFT(태깅기획site_code!F127,FIND("_",태깅기획site_code!F127)-1),태깅기획site_code!F127)))&gt;0,태깅기획site_code!D127&amp;"-"&amp;UPPER(IF(ISNUMBER(FIND("_",태깅기획site_code!F127)),LEFT(태깅기획site_code!F127,FIND("_",태깅기획site_code!F127)-1),태깅기획site_code!F127)),IF(COUNTIF(고객법인일정파일!$C$4:$C$200,태깅기획site_code!D127&amp;" ("&amp;PROPER(LEFT(태깅기획site_code!F127,FIND("_",태깅기획site_code!F127)-1))&amp;"_"&amp;UPPER(MID(태깅기획site_code!F127,FIND("_",태깅기획site_code!F127)+1,20))&amp;")")&gt;0,태깅기획site_code!D127&amp;" ("&amp;PROPER(LEFT(태깅기획site_code!F127,FIND("_",태깅기획site_code!F127)-1))&amp;"_"&amp;UPPER(MID(태깅기획site_code!F127,FIND("_",태깅기획site_code!F127)+1,20))&amp;")",IF(COUNTIF(고객법인일정파일!$C$4:$C$200,태깅기획site_code!D127)&gt;0,태깅기획site_code!D127,IF(ISNUMBER(FIND("_",태깅기획site_code!F127)),"",IFERROR(INDEX(고객법인일정파일!$C$4:$C$200,MATCH(태깅기획site_code!D127,$O$4:$O$200,0)),IF(ISNUMBER(FIND("-",태깅기획site_code!D127)),IFERROR(INDEX(고객법인일정파일!$C$4:$C$200,MATCH(LEFT(태깅기획site_code!D127,FIND("-",태깅기획site_code!D127)-1),고객법인일정파일!$C$4:$C$200,0)),""),IF(태깅기획site_code!D127="SCA",IF(RIGHT(태깅기획site_code!F127,3)="_fr",IFERROR(INDEX(고객법인일정파일!$C$4:$C$200,MATCH("SEWA (Africa_FR)",고객법인일정파일!$C$4:$C$200,0)),""),IF(RIGHT(태깅기획site_code!F127,3)="_en",IFERROR(INDEX(고객법인일정파일!$C$4:$C$200,MATCH("SEWA (Africa_EN)",고객법인일정파일!$C$4:$C$200,0)),""),"")),""))))))))</f>
        <v/>
      </c>
      <c r="Q127" s="11" t="str">
        <f>IF(LEN(TRIM(P127))=0,"",IFERROR(INDEX(고객법인일정파일!$E$4:$E$192,MATCH(P127,고객법인일정파일!$C$4:$C$192,0)),""))</f>
        <v/>
      </c>
      <c r="R127" s="12" t="str">
        <f>IF(OR(LEN(TRIM(P127))=0,Q127="X",Q127&lt;&gt;"O"),"",IFERROR(INDEX(고객법인일정파일!$F$4:$F$192,MATCH(P127,고객법인일정파일!$C$4:$C$192,0)),""))</f>
        <v/>
      </c>
      <c r="S127" s="12" t="str">
        <f>IF(OR(LEN(TRIM(P127))=0,Q127="X",Q127&lt;&gt;"O"),"",IFERROR(INDEX(고객법인일정파일!$H$4:$H$192,MATCH(P127,고객법인일정파일!$C$4:$C$192,0)),""))</f>
        <v/>
      </c>
    </row>
    <row r="128" spans="15:19">
      <c r="O128" s="11" t="str">
        <f>IF(IF(OR(NOT(ISBLANK(고객법인일정파일!B128)),ISBLANK(고객법인일정파일!C128),고객법인일정파일!C128="Total"),"",IF(ISNUMBER(FIND("-",고객법인일정파일!C128)),LEFT(고객법인일정파일!C128,FIND("-",고객법인일정파일!C128)-1),IF(ISNUMBER(FIND(" ",고객법인일정파일!C128)),LEFT(고객법인일정파일!C128,FIND(" ",고객법인일정파일!C128)-1),고객법인일정파일!C128)))="한총","sec",IF(OR(NOT(ISBLANK(고객법인일정파일!B128)),ISBLANK(고객법인일정파일!C128),고객법인일정파일!C128="Total"),"",IF(ISNUMBER(FIND("-",고객법인일정파일!C128)),LEFT(고객법인일정파일!C128,FIND("-",고객법인일정파일!C128)-1),IF(ISNUMBER(FIND(" ",고객법인일정파일!C128)),LEFT(고객법인일정파일!C128,FIND(" ",고객법인일정파일!C128)-1),고객법인일정파일!C128))))</f>
        <v/>
      </c>
      <c r="P128" s="11" t="str">
        <f>IF(ISBLANK(태깅기획site_code!F128),"",IF(COUNTIF(고객법인일정파일!$C$4:$C$200,태깅기획site_code!D128&amp;"-"&amp;UPPER(IF(ISNUMBER(FIND("_",태깅기획site_code!F128)),LEFT(태깅기획site_code!F128,FIND("_",태깅기획site_code!F128)-1),태깅기획site_code!F128)))&gt;0,태깅기획site_code!D128&amp;"-"&amp;UPPER(IF(ISNUMBER(FIND("_",태깅기획site_code!F128)),LEFT(태깅기획site_code!F128,FIND("_",태깅기획site_code!F128)-1),태깅기획site_code!F128)),IF(COUNTIF(고객법인일정파일!$C$4:$C$200,태깅기획site_code!D128&amp;" ("&amp;PROPER(LEFT(태깅기획site_code!F128,FIND("_",태깅기획site_code!F128)-1))&amp;"_"&amp;UPPER(MID(태깅기획site_code!F128,FIND("_",태깅기획site_code!F128)+1,20))&amp;")")&gt;0,태깅기획site_code!D128&amp;" ("&amp;PROPER(LEFT(태깅기획site_code!F128,FIND("_",태깅기획site_code!F128)-1))&amp;"_"&amp;UPPER(MID(태깅기획site_code!F128,FIND("_",태깅기획site_code!F128)+1,20))&amp;")",IF(COUNTIF(고객법인일정파일!$C$4:$C$200,태깅기획site_code!D128)&gt;0,태깅기획site_code!D128,IF(ISNUMBER(FIND("_",태깅기획site_code!F128)),"",IFERROR(INDEX(고객법인일정파일!$C$4:$C$200,MATCH(태깅기획site_code!D128,$O$4:$O$200,0)),IF(ISNUMBER(FIND("-",태깅기획site_code!D128)),IFERROR(INDEX(고객법인일정파일!$C$4:$C$200,MATCH(LEFT(태깅기획site_code!D128,FIND("-",태깅기획site_code!D128)-1),고객법인일정파일!$C$4:$C$200,0)),""),IF(태깅기획site_code!D128="SCA",IF(RIGHT(태깅기획site_code!F128,3)="_fr",IFERROR(INDEX(고객법인일정파일!$C$4:$C$200,MATCH("SEWA (Africa_FR)",고객법인일정파일!$C$4:$C$200,0)),""),IF(RIGHT(태깅기획site_code!F128,3)="_en",IFERROR(INDEX(고객법인일정파일!$C$4:$C$200,MATCH("SEWA (Africa_EN)",고객법인일정파일!$C$4:$C$200,0)),""),"")),""))))))))</f>
        <v/>
      </c>
      <c r="Q128" s="11" t="str">
        <f>IF(LEN(TRIM(P128))=0,"",IFERROR(INDEX(고객법인일정파일!$E$4:$E$192,MATCH(P128,고객법인일정파일!$C$4:$C$192,0)),""))</f>
        <v/>
      </c>
      <c r="R128" s="12" t="str">
        <f>IF(OR(LEN(TRIM(P128))=0,Q128="X",Q128&lt;&gt;"O"),"",IFERROR(INDEX(고객법인일정파일!$F$4:$F$192,MATCH(P128,고객법인일정파일!$C$4:$C$192,0)),""))</f>
        <v/>
      </c>
      <c r="S128" s="12" t="str">
        <f>IF(OR(LEN(TRIM(P128))=0,Q128="X",Q128&lt;&gt;"O"),"",IFERROR(INDEX(고객법인일정파일!$H$4:$H$192,MATCH(P128,고객법인일정파일!$C$4:$C$192,0)),""))</f>
        <v/>
      </c>
    </row>
    <row r="129" spans="15:19">
      <c r="O129" s="11" t="str">
        <f>IF(IF(OR(NOT(ISBLANK(고객법인일정파일!B129)),ISBLANK(고객법인일정파일!C129),고객법인일정파일!C129="Total"),"",IF(ISNUMBER(FIND("-",고객법인일정파일!C129)),LEFT(고객법인일정파일!C129,FIND("-",고객법인일정파일!C129)-1),IF(ISNUMBER(FIND(" ",고객법인일정파일!C129)),LEFT(고객법인일정파일!C129,FIND(" ",고객법인일정파일!C129)-1),고객법인일정파일!C129)))="한총","sec",IF(OR(NOT(ISBLANK(고객법인일정파일!B129)),ISBLANK(고객법인일정파일!C129),고객법인일정파일!C129="Total"),"",IF(ISNUMBER(FIND("-",고객법인일정파일!C129)),LEFT(고객법인일정파일!C129,FIND("-",고객법인일정파일!C129)-1),IF(ISNUMBER(FIND(" ",고객법인일정파일!C129)),LEFT(고객법인일정파일!C129,FIND(" ",고객법인일정파일!C129)-1),고객법인일정파일!C129))))</f>
        <v/>
      </c>
      <c r="P129" s="11" t="str">
        <f>IF(ISBLANK(태깅기획site_code!F129),"",IF(COUNTIF(고객법인일정파일!$C$4:$C$200,태깅기획site_code!D129&amp;"-"&amp;UPPER(IF(ISNUMBER(FIND("_",태깅기획site_code!F129)),LEFT(태깅기획site_code!F129,FIND("_",태깅기획site_code!F129)-1),태깅기획site_code!F129)))&gt;0,태깅기획site_code!D129&amp;"-"&amp;UPPER(IF(ISNUMBER(FIND("_",태깅기획site_code!F129)),LEFT(태깅기획site_code!F129,FIND("_",태깅기획site_code!F129)-1),태깅기획site_code!F129)),IF(COUNTIF(고객법인일정파일!$C$4:$C$200,태깅기획site_code!D129&amp;" ("&amp;PROPER(LEFT(태깅기획site_code!F129,FIND("_",태깅기획site_code!F129)-1))&amp;"_"&amp;UPPER(MID(태깅기획site_code!F129,FIND("_",태깅기획site_code!F129)+1,20))&amp;")")&gt;0,태깅기획site_code!D129&amp;" ("&amp;PROPER(LEFT(태깅기획site_code!F129,FIND("_",태깅기획site_code!F129)-1))&amp;"_"&amp;UPPER(MID(태깅기획site_code!F129,FIND("_",태깅기획site_code!F129)+1,20))&amp;")",IF(COUNTIF(고객법인일정파일!$C$4:$C$200,태깅기획site_code!D129)&gt;0,태깅기획site_code!D129,IF(ISNUMBER(FIND("_",태깅기획site_code!F129)),"",IFERROR(INDEX(고객법인일정파일!$C$4:$C$200,MATCH(태깅기획site_code!D129,$O$4:$O$200,0)),IF(ISNUMBER(FIND("-",태깅기획site_code!D129)),IFERROR(INDEX(고객법인일정파일!$C$4:$C$200,MATCH(LEFT(태깅기획site_code!D129,FIND("-",태깅기획site_code!D129)-1),고객법인일정파일!$C$4:$C$200,0)),""),IF(태깅기획site_code!D129="SCA",IF(RIGHT(태깅기획site_code!F129,3)="_fr",IFERROR(INDEX(고객법인일정파일!$C$4:$C$200,MATCH("SEWA (Africa_FR)",고객법인일정파일!$C$4:$C$200,0)),""),IF(RIGHT(태깅기획site_code!F129,3)="_en",IFERROR(INDEX(고객법인일정파일!$C$4:$C$200,MATCH("SEWA (Africa_EN)",고객법인일정파일!$C$4:$C$200,0)),""),"")),""))))))))</f>
        <v/>
      </c>
      <c r="Q129" s="11" t="str">
        <f>IF(LEN(TRIM(P129))=0,"",IFERROR(INDEX(고객법인일정파일!$E$4:$E$192,MATCH(P129,고객법인일정파일!$C$4:$C$192,0)),""))</f>
        <v/>
      </c>
      <c r="R129" s="12" t="str">
        <f>IF(OR(LEN(TRIM(P129))=0,Q129="X",Q129&lt;&gt;"O"),"",IFERROR(INDEX(고객법인일정파일!$F$4:$F$192,MATCH(P129,고객법인일정파일!$C$4:$C$192,0)),""))</f>
        <v/>
      </c>
      <c r="S129" s="12" t="str">
        <f>IF(OR(LEN(TRIM(P129))=0,Q129="X",Q129&lt;&gt;"O"),"",IFERROR(INDEX(고객법인일정파일!$H$4:$H$192,MATCH(P129,고객법인일정파일!$C$4:$C$192,0)),""))</f>
        <v/>
      </c>
    </row>
    <row r="130" spans="15:19">
      <c r="O130" s="11" t="str">
        <f>IF(IF(OR(NOT(ISBLANK(고객법인일정파일!B130)),ISBLANK(고객법인일정파일!C130),고객법인일정파일!C130="Total"),"",IF(ISNUMBER(FIND("-",고객법인일정파일!C130)),LEFT(고객법인일정파일!C130,FIND("-",고객법인일정파일!C130)-1),IF(ISNUMBER(FIND(" ",고객법인일정파일!C130)),LEFT(고객법인일정파일!C130,FIND(" ",고객법인일정파일!C130)-1),고객법인일정파일!C130)))="한총","sec",IF(OR(NOT(ISBLANK(고객법인일정파일!B130)),ISBLANK(고객법인일정파일!C130),고객법인일정파일!C130="Total"),"",IF(ISNUMBER(FIND("-",고객법인일정파일!C130)),LEFT(고객법인일정파일!C130,FIND("-",고객법인일정파일!C130)-1),IF(ISNUMBER(FIND(" ",고객법인일정파일!C130)),LEFT(고객법인일정파일!C130,FIND(" ",고객법인일정파일!C130)-1),고객법인일정파일!C130))))</f>
        <v/>
      </c>
      <c r="P130" s="11" t="str">
        <f>IF(ISBLANK(태깅기획site_code!F130),"",IF(COUNTIF(고객법인일정파일!$C$4:$C$200,태깅기획site_code!D130&amp;"-"&amp;UPPER(IF(ISNUMBER(FIND("_",태깅기획site_code!F130)),LEFT(태깅기획site_code!F130,FIND("_",태깅기획site_code!F130)-1),태깅기획site_code!F130)))&gt;0,태깅기획site_code!D130&amp;"-"&amp;UPPER(IF(ISNUMBER(FIND("_",태깅기획site_code!F130)),LEFT(태깅기획site_code!F130,FIND("_",태깅기획site_code!F130)-1),태깅기획site_code!F130)),IF(COUNTIF(고객법인일정파일!$C$4:$C$200,태깅기획site_code!D130&amp;" ("&amp;PROPER(LEFT(태깅기획site_code!F130,FIND("_",태깅기획site_code!F130)-1))&amp;"_"&amp;UPPER(MID(태깅기획site_code!F130,FIND("_",태깅기획site_code!F130)+1,20))&amp;")")&gt;0,태깅기획site_code!D130&amp;" ("&amp;PROPER(LEFT(태깅기획site_code!F130,FIND("_",태깅기획site_code!F130)-1))&amp;"_"&amp;UPPER(MID(태깅기획site_code!F130,FIND("_",태깅기획site_code!F130)+1,20))&amp;")",IF(COUNTIF(고객법인일정파일!$C$4:$C$200,태깅기획site_code!D130)&gt;0,태깅기획site_code!D130,IF(ISNUMBER(FIND("_",태깅기획site_code!F130)),"",IFERROR(INDEX(고객법인일정파일!$C$4:$C$200,MATCH(태깅기획site_code!D130,$O$4:$O$200,0)),IF(ISNUMBER(FIND("-",태깅기획site_code!D130)),IFERROR(INDEX(고객법인일정파일!$C$4:$C$200,MATCH(LEFT(태깅기획site_code!D130,FIND("-",태깅기획site_code!D130)-1),고객법인일정파일!$C$4:$C$200,0)),""),IF(태깅기획site_code!D130="SCA",IF(RIGHT(태깅기획site_code!F130,3)="_fr",IFERROR(INDEX(고객법인일정파일!$C$4:$C$200,MATCH("SEWA (Africa_FR)",고객법인일정파일!$C$4:$C$200,0)),""),IF(RIGHT(태깅기획site_code!F130,3)="_en",IFERROR(INDEX(고객법인일정파일!$C$4:$C$200,MATCH("SEWA (Africa_EN)",고객법인일정파일!$C$4:$C$200,0)),""),"")),""))))))))</f>
        <v/>
      </c>
      <c r="Q130" s="11" t="str">
        <f>IF(LEN(TRIM(P130))=0,"",IFERROR(INDEX(고객법인일정파일!$E$4:$E$192,MATCH(P130,고객법인일정파일!$C$4:$C$192,0)),""))</f>
        <v/>
      </c>
      <c r="R130" s="12" t="str">
        <f>IF(OR(LEN(TRIM(P130))=0,Q130="X",Q130&lt;&gt;"O"),"",IFERROR(INDEX(고객법인일정파일!$F$4:$F$192,MATCH(P130,고객법인일정파일!$C$4:$C$192,0)),""))</f>
        <v/>
      </c>
      <c r="S130" s="12" t="str">
        <f>IF(OR(LEN(TRIM(P130))=0,Q130="X",Q130&lt;&gt;"O"),"",IFERROR(INDEX(고객법인일정파일!$H$4:$H$192,MATCH(P130,고객법인일정파일!$C$4:$C$192,0)),""))</f>
        <v/>
      </c>
    </row>
    <row r="131" spans="15:19">
      <c r="O131" s="11" t="str">
        <f>IF(IF(OR(NOT(ISBLANK(고객법인일정파일!B131)),ISBLANK(고객법인일정파일!C131),고객법인일정파일!C131="Total"),"",IF(ISNUMBER(FIND("-",고객법인일정파일!C131)),LEFT(고객법인일정파일!C131,FIND("-",고객법인일정파일!C131)-1),IF(ISNUMBER(FIND(" ",고객법인일정파일!C131)),LEFT(고객법인일정파일!C131,FIND(" ",고객법인일정파일!C131)-1),고객법인일정파일!C131)))="한총","sec",IF(OR(NOT(ISBLANK(고객법인일정파일!B131)),ISBLANK(고객법인일정파일!C131),고객법인일정파일!C131="Total"),"",IF(ISNUMBER(FIND("-",고객법인일정파일!C131)),LEFT(고객법인일정파일!C131,FIND("-",고객법인일정파일!C131)-1),IF(ISNUMBER(FIND(" ",고객법인일정파일!C131)),LEFT(고객법인일정파일!C131,FIND(" ",고객법인일정파일!C131)-1),고객법인일정파일!C131))))</f>
        <v/>
      </c>
      <c r="P131" s="11" t="str">
        <f>IF(ISBLANK(태깅기획site_code!F131),"",IF(COUNTIF(고객법인일정파일!$C$4:$C$200,태깅기획site_code!D131&amp;"-"&amp;UPPER(IF(ISNUMBER(FIND("_",태깅기획site_code!F131)),LEFT(태깅기획site_code!F131,FIND("_",태깅기획site_code!F131)-1),태깅기획site_code!F131)))&gt;0,태깅기획site_code!D131&amp;"-"&amp;UPPER(IF(ISNUMBER(FIND("_",태깅기획site_code!F131)),LEFT(태깅기획site_code!F131,FIND("_",태깅기획site_code!F131)-1),태깅기획site_code!F131)),IF(COUNTIF(고객법인일정파일!$C$4:$C$200,태깅기획site_code!D131&amp;" ("&amp;PROPER(LEFT(태깅기획site_code!F131,FIND("_",태깅기획site_code!F131)-1))&amp;"_"&amp;UPPER(MID(태깅기획site_code!F131,FIND("_",태깅기획site_code!F131)+1,20))&amp;")")&gt;0,태깅기획site_code!D131&amp;" ("&amp;PROPER(LEFT(태깅기획site_code!F131,FIND("_",태깅기획site_code!F131)-1))&amp;"_"&amp;UPPER(MID(태깅기획site_code!F131,FIND("_",태깅기획site_code!F131)+1,20))&amp;")",IF(COUNTIF(고객법인일정파일!$C$4:$C$200,태깅기획site_code!D131)&gt;0,태깅기획site_code!D131,IF(ISNUMBER(FIND("_",태깅기획site_code!F131)),"",IFERROR(INDEX(고객법인일정파일!$C$4:$C$200,MATCH(태깅기획site_code!D131,$O$4:$O$200,0)),IF(ISNUMBER(FIND("-",태깅기획site_code!D131)),IFERROR(INDEX(고객법인일정파일!$C$4:$C$200,MATCH(LEFT(태깅기획site_code!D131,FIND("-",태깅기획site_code!D131)-1),고객법인일정파일!$C$4:$C$200,0)),""),IF(태깅기획site_code!D131="SCA",IF(RIGHT(태깅기획site_code!F131,3)="_fr",IFERROR(INDEX(고객법인일정파일!$C$4:$C$200,MATCH("SEWA (Africa_FR)",고객법인일정파일!$C$4:$C$200,0)),""),IF(RIGHT(태깅기획site_code!F131,3)="_en",IFERROR(INDEX(고객법인일정파일!$C$4:$C$200,MATCH("SEWA (Africa_EN)",고객법인일정파일!$C$4:$C$200,0)),""),"")),""))))))))</f>
        <v/>
      </c>
      <c r="Q131" s="11" t="str">
        <f>IF(LEN(TRIM(P131))=0,"",IFERROR(INDEX(고객법인일정파일!$E$4:$E$192,MATCH(P131,고객법인일정파일!$C$4:$C$192,0)),""))</f>
        <v/>
      </c>
      <c r="R131" s="12" t="str">
        <f>IF(OR(LEN(TRIM(P131))=0,Q131="X",Q131&lt;&gt;"O"),"",IFERROR(INDEX(고객법인일정파일!$F$4:$F$192,MATCH(P131,고객법인일정파일!$C$4:$C$192,0)),""))</f>
        <v/>
      </c>
      <c r="S131" s="12" t="str">
        <f>IF(OR(LEN(TRIM(P131))=0,Q131="X",Q131&lt;&gt;"O"),"",IFERROR(INDEX(고객법인일정파일!$H$4:$H$192,MATCH(P131,고객법인일정파일!$C$4:$C$192,0)),""))</f>
        <v/>
      </c>
    </row>
    <row r="132" spans="15:19">
      <c r="O132" s="11" t="str">
        <f>IF(IF(OR(NOT(ISBLANK(고객법인일정파일!B132)),ISBLANK(고객법인일정파일!C132),고객법인일정파일!C132="Total"),"",IF(ISNUMBER(FIND("-",고객법인일정파일!C132)),LEFT(고객법인일정파일!C132,FIND("-",고객법인일정파일!C132)-1),IF(ISNUMBER(FIND(" ",고객법인일정파일!C132)),LEFT(고객법인일정파일!C132,FIND(" ",고객법인일정파일!C132)-1),고객법인일정파일!C132)))="한총","sec",IF(OR(NOT(ISBLANK(고객법인일정파일!B132)),ISBLANK(고객법인일정파일!C132),고객법인일정파일!C132="Total"),"",IF(ISNUMBER(FIND("-",고객법인일정파일!C132)),LEFT(고객법인일정파일!C132,FIND("-",고객법인일정파일!C132)-1),IF(ISNUMBER(FIND(" ",고객법인일정파일!C132)),LEFT(고객법인일정파일!C132,FIND(" ",고객법인일정파일!C132)-1),고객법인일정파일!C132))))</f>
        <v/>
      </c>
      <c r="P132" s="11" t="str">
        <f>IF(ISBLANK(태깅기획site_code!F132),"",IF(COUNTIF(고객법인일정파일!$C$4:$C$200,태깅기획site_code!D132&amp;"-"&amp;UPPER(IF(ISNUMBER(FIND("_",태깅기획site_code!F132)),LEFT(태깅기획site_code!F132,FIND("_",태깅기획site_code!F132)-1),태깅기획site_code!F132)))&gt;0,태깅기획site_code!D132&amp;"-"&amp;UPPER(IF(ISNUMBER(FIND("_",태깅기획site_code!F132)),LEFT(태깅기획site_code!F132,FIND("_",태깅기획site_code!F132)-1),태깅기획site_code!F132)),IF(COUNTIF(고객법인일정파일!$C$4:$C$200,태깅기획site_code!D132&amp;" ("&amp;PROPER(LEFT(태깅기획site_code!F132,FIND("_",태깅기획site_code!F132)-1))&amp;"_"&amp;UPPER(MID(태깅기획site_code!F132,FIND("_",태깅기획site_code!F132)+1,20))&amp;")")&gt;0,태깅기획site_code!D132&amp;" ("&amp;PROPER(LEFT(태깅기획site_code!F132,FIND("_",태깅기획site_code!F132)-1))&amp;"_"&amp;UPPER(MID(태깅기획site_code!F132,FIND("_",태깅기획site_code!F132)+1,20))&amp;")",IF(COUNTIF(고객법인일정파일!$C$4:$C$200,태깅기획site_code!D132)&gt;0,태깅기획site_code!D132,IF(ISNUMBER(FIND("_",태깅기획site_code!F132)),"",IFERROR(INDEX(고객법인일정파일!$C$4:$C$200,MATCH(태깅기획site_code!D132,$O$4:$O$200,0)),IF(ISNUMBER(FIND("-",태깅기획site_code!D132)),IFERROR(INDEX(고객법인일정파일!$C$4:$C$200,MATCH(LEFT(태깅기획site_code!D132,FIND("-",태깅기획site_code!D132)-1),고객법인일정파일!$C$4:$C$200,0)),""),IF(태깅기획site_code!D132="SCA",IF(RIGHT(태깅기획site_code!F132,3)="_fr",IFERROR(INDEX(고객법인일정파일!$C$4:$C$200,MATCH("SEWA (Africa_FR)",고객법인일정파일!$C$4:$C$200,0)),""),IF(RIGHT(태깅기획site_code!F132,3)="_en",IFERROR(INDEX(고객법인일정파일!$C$4:$C$200,MATCH("SEWA (Africa_EN)",고객법인일정파일!$C$4:$C$200,0)),""),"")),""))))))))</f>
        <v/>
      </c>
      <c r="Q132" s="11" t="str">
        <f>IF(LEN(TRIM(P132))=0,"",IFERROR(INDEX(고객법인일정파일!$E$4:$E$192,MATCH(P132,고객법인일정파일!$C$4:$C$192,0)),""))</f>
        <v/>
      </c>
      <c r="R132" s="12" t="str">
        <f>IF(OR(LEN(TRIM(P132))=0,Q132="X",Q132&lt;&gt;"O"),"",IFERROR(INDEX(고객법인일정파일!$F$4:$F$192,MATCH(P132,고객법인일정파일!$C$4:$C$192,0)),""))</f>
        <v/>
      </c>
      <c r="S132" s="12" t="str">
        <f>IF(OR(LEN(TRIM(P132))=0,Q132="X",Q132&lt;&gt;"O"),"",IFERROR(INDEX(고객법인일정파일!$H$4:$H$192,MATCH(P132,고객법인일정파일!$C$4:$C$192,0)),""))</f>
        <v/>
      </c>
    </row>
    <row r="133" spans="15:19">
      <c r="O133" s="11" t="str">
        <f>IF(IF(OR(NOT(ISBLANK(고객법인일정파일!B133)),ISBLANK(고객법인일정파일!C133),고객법인일정파일!C133="Total"),"",IF(ISNUMBER(FIND("-",고객법인일정파일!C133)),LEFT(고객법인일정파일!C133,FIND("-",고객법인일정파일!C133)-1),IF(ISNUMBER(FIND(" ",고객법인일정파일!C133)),LEFT(고객법인일정파일!C133,FIND(" ",고객법인일정파일!C133)-1),고객법인일정파일!C133)))="한총","sec",IF(OR(NOT(ISBLANK(고객법인일정파일!B133)),ISBLANK(고객법인일정파일!C133),고객법인일정파일!C133="Total"),"",IF(ISNUMBER(FIND("-",고객법인일정파일!C133)),LEFT(고객법인일정파일!C133,FIND("-",고객법인일정파일!C133)-1),IF(ISNUMBER(FIND(" ",고객법인일정파일!C133)),LEFT(고객법인일정파일!C133,FIND(" ",고객법인일정파일!C133)-1),고객법인일정파일!C133))))</f>
        <v/>
      </c>
      <c r="P133" s="11" t="str">
        <f>IF(ISBLANK(태깅기획site_code!F133),"",IF(COUNTIF(고객법인일정파일!$C$4:$C$200,태깅기획site_code!D133&amp;"-"&amp;UPPER(IF(ISNUMBER(FIND("_",태깅기획site_code!F133)),LEFT(태깅기획site_code!F133,FIND("_",태깅기획site_code!F133)-1),태깅기획site_code!F133)))&gt;0,태깅기획site_code!D133&amp;"-"&amp;UPPER(IF(ISNUMBER(FIND("_",태깅기획site_code!F133)),LEFT(태깅기획site_code!F133,FIND("_",태깅기획site_code!F133)-1),태깅기획site_code!F133)),IF(COUNTIF(고객법인일정파일!$C$4:$C$200,태깅기획site_code!D133&amp;" ("&amp;PROPER(LEFT(태깅기획site_code!F133,FIND("_",태깅기획site_code!F133)-1))&amp;"_"&amp;UPPER(MID(태깅기획site_code!F133,FIND("_",태깅기획site_code!F133)+1,20))&amp;")")&gt;0,태깅기획site_code!D133&amp;" ("&amp;PROPER(LEFT(태깅기획site_code!F133,FIND("_",태깅기획site_code!F133)-1))&amp;"_"&amp;UPPER(MID(태깅기획site_code!F133,FIND("_",태깅기획site_code!F133)+1,20))&amp;")",IF(COUNTIF(고객법인일정파일!$C$4:$C$200,태깅기획site_code!D133)&gt;0,태깅기획site_code!D133,IF(ISNUMBER(FIND("_",태깅기획site_code!F133)),"",IFERROR(INDEX(고객법인일정파일!$C$4:$C$200,MATCH(태깅기획site_code!D133,$O$4:$O$200,0)),IF(ISNUMBER(FIND("-",태깅기획site_code!D133)),IFERROR(INDEX(고객법인일정파일!$C$4:$C$200,MATCH(LEFT(태깅기획site_code!D133,FIND("-",태깅기획site_code!D133)-1),고객법인일정파일!$C$4:$C$200,0)),""),IF(태깅기획site_code!D133="SCA",IF(RIGHT(태깅기획site_code!F133,3)="_fr",IFERROR(INDEX(고객법인일정파일!$C$4:$C$200,MATCH("SEWA (Africa_FR)",고객법인일정파일!$C$4:$C$200,0)),""),IF(RIGHT(태깅기획site_code!F133,3)="_en",IFERROR(INDEX(고객법인일정파일!$C$4:$C$200,MATCH("SEWA (Africa_EN)",고객법인일정파일!$C$4:$C$200,0)),""),"")),""))))))))</f>
        <v/>
      </c>
      <c r="Q133" s="11" t="str">
        <f>IF(LEN(TRIM(P133))=0,"",IFERROR(INDEX(고객법인일정파일!$E$4:$E$192,MATCH(P133,고객법인일정파일!$C$4:$C$192,0)),""))</f>
        <v/>
      </c>
      <c r="R133" s="12" t="str">
        <f>IF(OR(LEN(TRIM(P133))=0,Q133="X",Q133&lt;&gt;"O"),"",IFERROR(INDEX(고객법인일정파일!$F$4:$F$192,MATCH(P133,고객법인일정파일!$C$4:$C$192,0)),""))</f>
        <v/>
      </c>
      <c r="S133" s="12" t="str">
        <f>IF(OR(LEN(TRIM(P133))=0,Q133="X",Q133&lt;&gt;"O"),"",IFERROR(INDEX(고객법인일정파일!$H$4:$H$192,MATCH(P133,고객법인일정파일!$C$4:$C$192,0)),""))</f>
        <v/>
      </c>
    </row>
    <row r="134" spans="15:19">
      <c r="O134" s="11" t="str">
        <f>IF(IF(OR(NOT(ISBLANK(고객법인일정파일!B134)),ISBLANK(고객법인일정파일!C134),고객법인일정파일!C134="Total"),"",IF(ISNUMBER(FIND("-",고객법인일정파일!C134)),LEFT(고객법인일정파일!C134,FIND("-",고객법인일정파일!C134)-1),IF(ISNUMBER(FIND(" ",고객법인일정파일!C134)),LEFT(고객법인일정파일!C134,FIND(" ",고객법인일정파일!C134)-1),고객법인일정파일!C134)))="한총","sec",IF(OR(NOT(ISBLANK(고객법인일정파일!B134)),ISBLANK(고객법인일정파일!C134),고객법인일정파일!C134="Total"),"",IF(ISNUMBER(FIND("-",고객법인일정파일!C134)),LEFT(고객법인일정파일!C134,FIND("-",고객법인일정파일!C134)-1),IF(ISNUMBER(FIND(" ",고객법인일정파일!C134)),LEFT(고객법인일정파일!C134,FIND(" ",고객법인일정파일!C134)-1),고객법인일정파일!C134))))</f>
        <v/>
      </c>
      <c r="P134" s="11" t="str">
        <f>IF(ISBLANK(태깅기획site_code!F134),"",IF(COUNTIF(고객법인일정파일!$C$4:$C$200,태깅기획site_code!D134&amp;"-"&amp;UPPER(IF(ISNUMBER(FIND("_",태깅기획site_code!F134)),LEFT(태깅기획site_code!F134,FIND("_",태깅기획site_code!F134)-1),태깅기획site_code!F134)))&gt;0,태깅기획site_code!D134&amp;"-"&amp;UPPER(IF(ISNUMBER(FIND("_",태깅기획site_code!F134)),LEFT(태깅기획site_code!F134,FIND("_",태깅기획site_code!F134)-1),태깅기획site_code!F134)),IF(COUNTIF(고객법인일정파일!$C$4:$C$200,태깅기획site_code!D134&amp;" ("&amp;PROPER(LEFT(태깅기획site_code!F134,FIND("_",태깅기획site_code!F134)-1))&amp;"_"&amp;UPPER(MID(태깅기획site_code!F134,FIND("_",태깅기획site_code!F134)+1,20))&amp;")")&gt;0,태깅기획site_code!D134&amp;" ("&amp;PROPER(LEFT(태깅기획site_code!F134,FIND("_",태깅기획site_code!F134)-1))&amp;"_"&amp;UPPER(MID(태깅기획site_code!F134,FIND("_",태깅기획site_code!F134)+1,20))&amp;")",IF(COUNTIF(고객법인일정파일!$C$4:$C$200,태깅기획site_code!D134)&gt;0,태깅기획site_code!D134,IF(ISNUMBER(FIND("_",태깅기획site_code!F134)),"",IFERROR(INDEX(고객법인일정파일!$C$4:$C$200,MATCH(태깅기획site_code!D134,$O$4:$O$200,0)),IF(ISNUMBER(FIND("-",태깅기획site_code!D134)),IFERROR(INDEX(고객법인일정파일!$C$4:$C$200,MATCH(LEFT(태깅기획site_code!D134,FIND("-",태깅기획site_code!D134)-1),고객법인일정파일!$C$4:$C$200,0)),""),IF(태깅기획site_code!D134="SCA",IF(RIGHT(태깅기획site_code!F134,3)="_fr",IFERROR(INDEX(고객법인일정파일!$C$4:$C$200,MATCH("SEWA (Africa_FR)",고객법인일정파일!$C$4:$C$200,0)),""),IF(RIGHT(태깅기획site_code!F134,3)="_en",IFERROR(INDEX(고객법인일정파일!$C$4:$C$200,MATCH("SEWA (Africa_EN)",고객법인일정파일!$C$4:$C$200,0)),""),"")),""))))))))</f>
        <v/>
      </c>
      <c r="Q134" s="11" t="str">
        <f>IF(LEN(TRIM(P134))=0,"",IFERROR(INDEX(고객법인일정파일!$E$4:$E$192,MATCH(P134,고객법인일정파일!$C$4:$C$192,0)),""))</f>
        <v/>
      </c>
      <c r="R134" s="12" t="str">
        <f>IF(OR(LEN(TRIM(P134))=0,Q134="X",Q134&lt;&gt;"O"),"",IFERROR(INDEX(고객법인일정파일!$F$4:$F$192,MATCH(P134,고객법인일정파일!$C$4:$C$192,0)),""))</f>
        <v/>
      </c>
      <c r="S134" s="12" t="str">
        <f>IF(OR(LEN(TRIM(P134))=0,Q134="X",Q134&lt;&gt;"O"),"",IFERROR(INDEX(고객법인일정파일!$H$4:$H$192,MATCH(P134,고객법인일정파일!$C$4:$C$192,0)),""))</f>
        <v/>
      </c>
    </row>
    <row r="135" spans="15:19">
      <c r="O135" s="11" t="str">
        <f>IF(IF(OR(NOT(ISBLANK(고객법인일정파일!B135)),ISBLANK(고객법인일정파일!C135),고객법인일정파일!C135="Total"),"",IF(ISNUMBER(FIND("-",고객법인일정파일!C135)),LEFT(고객법인일정파일!C135,FIND("-",고객법인일정파일!C135)-1),IF(ISNUMBER(FIND(" ",고객법인일정파일!C135)),LEFT(고객법인일정파일!C135,FIND(" ",고객법인일정파일!C135)-1),고객법인일정파일!C135)))="한총","sec",IF(OR(NOT(ISBLANK(고객법인일정파일!B135)),ISBLANK(고객법인일정파일!C135),고객법인일정파일!C135="Total"),"",IF(ISNUMBER(FIND("-",고객법인일정파일!C135)),LEFT(고객법인일정파일!C135,FIND("-",고객법인일정파일!C135)-1),IF(ISNUMBER(FIND(" ",고객법인일정파일!C135)),LEFT(고객법인일정파일!C135,FIND(" ",고객법인일정파일!C135)-1),고객법인일정파일!C135))))</f>
        <v/>
      </c>
      <c r="P135" s="11" t="str">
        <f>IF(ISBLANK(태깅기획site_code!F135),"",IF(COUNTIF(고객법인일정파일!$C$4:$C$200,태깅기획site_code!D135&amp;"-"&amp;UPPER(IF(ISNUMBER(FIND("_",태깅기획site_code!F135)),LEFT(태깅기획site_code!F135,FIND("_",태깅기획site_code!F135)-1),태깅기획site_code!F135)))&gt;0,태깅기획site_code!D135&amp;"-"&amp;UPPER(IF(ISNUMBER(FIND("_",태깅기획site_code!F135)),LEFT(태깅기획site_code!F135,FIND("_",태깅기획site_code!F135)-1),태깅기획site_code!F135)),IF(COUNTIF(고객법인일정파일!$C$4:$C$200,태깅기획site_code!D135&amp;" ("&amp;PROPER(LEFT(태깅기획site_code!F135,FIND("_",태깅기획site_code!F135)-1))&amp;"_"&amp;UPPER(MID(태깅기획site_code!F135,FIND("_",태깅기획site_code!F135)+1,20))&amp;")")&gt;0,태깅기획site_code!D135&amp;" ("&amp;PROPER(LEFT(태깅기획site_code!F135,FIND("_",태깅기획site_code!F135)-1))&amp;"_"&amp;UPPER(MID(태깅기획site_code!F135,FIND("_",태깅기획site_code!F135)+1,20))&amp;")",IF(COUNTIF(고객법인일정파일!$C$4:$C$200,태깅기획site_code!D135)&gt;0,태깅기획site_code!D135,IF(ISNUMBER(FIND("_",태깅기획site_code!F135)),"",IFERROR(INDEX(고객법인일정파일!$C$4:$C$200,MATCH(태깅기획site_code!D135,$O$4:$O$200,0)),IF(ISNUMBER(FIND("-",태깅기획site_code!D135)),IFERROR(INDEX(고객법인일정파일!$C$4:$C$200,MATCH(LEFT(태깅기획site_code!D135,FIND("-",태깅기획site_code!D135)-1),고객법인일정파일!$C$4:$C$200,0)),""),IF(태깅기획site_code!D135="SCA",IF(RIGHT(태깅기획site_code!F135,3)="_fr",IFERROR(INDEX(고객법인일정파일!$C$4:$C$200,MATCH("SEWA (Africa_FR)",고객법인일정파일!$C$4:$C$200,0)),""),IF(RIGHT(태깅기획site_code!F135,3)="_en",IFERROR(INDEX(고객법인일정파일!$C$4:$C$200,MATCH("SEWA (Africa_EN)",고객법인일정파일!$C$4:$C$200,0)),""),"")),""))))))))</f>
        <v/>
      </c>
      <c r="Q135" s="11" t="str">
        <f>IF(LEN(TRIM(P135))=0,"",IFERROR(INDEX(고객법인일정파일!$E$4:$E$192,MATCH(P135,고객법인일정파일!$C$4:$C$192,0)),""))</f>
        <v/>
      </c>
      <c r="R135" s="12" t="str">
        <f>IF(OR(LEN(TRIM(P135))=0,Q135="X",Q135&lt;&gt;"O"),"",IFERROR(INDEX(고객법인일정파일!$F$4:$F$192,MATCH(P135,고객법인일정파일!$C$4:$C$192,0)),""))</f>
        <v/>
      </c>
      <c r="S135" s="12" t="str">
        <f>IF(OR(LEN(TRIM(P135))=0,Q135="X",Q135&lt;&gt;"O"),"",IFERROR(INDEX(고객법인일정파일!$H$4:$H$192,MATCH(P135,고객법인일정파일!$C$4:$C$192,0)),""))</f>
        <v/>
      </c>
    </row>
    <row r="136" spans="15:19">
      <c r="O136" s="11" t="str">
        <f>IF(IF(OR(NOT(ISBLANK(고객법인일정파일!B136)),ISBLANK(고객법인일정파일!C136),고객법인일정파일!C136="Total"),"",IF(ISNUMBER(FIND("-",고객법인일정파일!C136)),LEFT(고객법인일정파일!C136,FIND("-",고객법인일정파일!C136)-1),IF(ISNUMBER(FIND(" ",고객법인일정파일!C136)),LEFT(고객법인일정파일!C136,FIND(" ",고객법인일정파일!C136)-1),고객법인일정파일!C136)))="한총","sec",IF(OR(NOT(ISBLANK(고객법인일정파일!B136)),ISBLANK(고객법인일정파일!C136),고객법인일정파일!C136="Total"),"",IF(ISNUMBER(FIND("-",고객법인일정파일!C136)),LEFT(고객법인일정파일!C136,FIND("-",고객법인일정파일!C136)-1),IF(ISNUMBER(FIND(" ",고객법인일정파일!C136)),LEFT(고객법인일정파일!C136,FIND(" ",고객법인일정파일!C136)-1),고객법인일정파일!C136))))</f>
        <v/>
      </c>
      <c r="P136" s="11" t="str">
        <f>IF(ISBLANK(태깅기획site_code!F136),"",IF(COUNTIF(고객법인일정파일!$C$4:$C$200,태깅기획site_code!D136&amp;"-"&amp;UPPER(IF(ISNUMBER(FIND("_",태깅기획site_code!F136)),LEFT(태깅기획site_code!F136,FIND("_",태깅기획site_code!F136)-1),태깅기획site_code!F136)))&gt;0,태깅기획site_code!D136&amp;"-"&amp;UPPER(IF(ISNUMBER(FIND("_",태깅기획site_code!F136)),LEFT(태깅기획site_code!F136,FIND("_",태깅기획site_code!F136)-1),태깅기획site_code!F136)),IF(COUNTIF(고객법인일정파일!$C$4:$C$200,태깅기획site_code!D136&amp;" ("&amp;PROPER(LEFT(태깅기획site_code!F136,FIND("_",태깅기획site_code!F136)-1))&amp;"_"&amp;UPPER(MID(태깅기획site_code!F136,FIND("_",태깅기획site_code!F136)+1,20))&amp;")")&gt;0,태깅기획site_code!D136&amp;" ("&amp;PROPER(LEFT(태깅기획site_code!F136,FIND("_",태깅기획site_code!F136)-1))&amp;"_"&amp;UPPER(MID(태깅기획site_code!F136,FIND("_",태깅기획site_code!F136)+1,20))&amp;")",IF(COUNTIF(고객법인일정파일!$C$4:$C$200,태깅기획site_code!D136)&gt;0,태깅기획site_code!D136,IF(ISNUMBER(FIND("_",태깅기획site_code!F136)),"",IFERROR(INDEX(고객법인일정파일!$C$4:$C$200,MATCH(태깅기획site_code!D136,$O$4:$O$200,0)),IF(ISNUMBER(FIND("-",태깅기획site_code!D136)),IFERROR(INDEX(고객법인일정파일!$C$4:$C$200,MATCH(LEFT(태깅기획site_code!D136,FIND("-",태깅기획site_code!D136)-1),고객법인일정파일!$C$4:$C$200,0)),""),IF(태깅기획site_code!D136="SCA",IF(RIGHT(태깅기획site_code!F136,3)="_fr",IFERROR(INDEX(고객법인일정파일!$C$4:$C$200,MATCH("SEWA (Africa_FR)",고객법인일정파일!$C$4:$C$200,0)),""),IF(RIGHT(태깅기획site_code!F136,3)="_en",IFERROR(INDEX(고객법인일정파일!$C$4:$C$200,MATCH("SEWA (Africa_EN)",고객법인일정파일!$C$4:$C$200,0)),""),"")),""))))))))</f>
        <v/>
      </c>
      <c r="Q136" s="11" t="str">
        <f>IF(LEN(TRIM(P136))=0,"",IFERROR(INDEX(고객법인일정파일!$E$4:$E$192,MATCH(P136,고객법인일정파일!$C$4:$C$192,0)),""))</f>
        <v/>
      </c>
      <c r="R136" s="12" t="str">
        <f>IF(OR(LEN(TRIM(P136))=0,Q136="X",Q136&lt;&gt;"O"),"",IFERROR(INDEX(고객법인일정파일!$F$4:$F$192,MATCH(P136,고객법인일정파일!$C$4:$C$192,0)),""))</f>
        <v/>
      </c>
      <c r="S136" s="12" t="str">
        <f>IF(OR(LEN(TRIM(P136))=0,Q136="X",Q136&lt;&gt;"O"),"",IFERROR(INDEX(고객법인일정파일!$H$4:$H$192,MATCH(P136,고객법인일정파일!$C$4:$C$192,0)),""))</f>
        <v/>
      </c>
    </row>
    <row r="137" spans="15:19">
      <c r="O137" s="11" t="str">
        <f>IF(IF(OR(NOT(ISBLANK(고객법인일정파일!B137)),ISBLANK(고객법인일정파일!C137),고객법인일정파일!C137="Total"),"",IF(ISNUMBER(FIND("-",고객법인일정파일!C137)),LEFT(고객법인일정파일!C137,FIND("-",고객법인일정파일!C137)-1),IF(ISNUMBER(FIND(" ",고객법인일정파일!C137)),LEFT(고객법인일정파일!C137,FIND(" ",고객법인일정파일!C137)-1),고객법인일정파일!C137)))="한총","sec",IF(OR(NOT(ISBLANK(고객법인일정파일!B137)),ISBLANK(고객법인일정파일!C137),고객법인일정파일!C137="Total"),"",IF(ISNUMBER(FIND("-",고객법인일정파일!C137)),LEFT(고객법인일정파일!C137,FIND("-",고객법인일정파일!C137)-1),IF(ISNUMBER(FIND(" ",고객법인일정파일!C137)),LEFT(고객법인일정파일!C137,FIND(" ",고객법인일정파일!C137)-1),고객법인일정파일!C137))))</f>
        <v/>
      </c>
      <c r="P137" s="11" t="str">
        <f>IF(ISBLANK(태깅기획site_code!F137),"",IF(COUNTIF(고객법인일정파일!$C$4:$C$200,태깅기획site_code!D137&amp;"-"&amp;UPPER(IF(ISNUMBER(FIND("_",태깅기획site_code!F137)),LEFT(태깅기획site_code!F137,FIND("_",태깅기획site_code!F137)-1),태깅기획site_code!F137)))&gt;0,태깅기획site_code!D137&amp;"-"&amp;UPPER(IF(ISNUMBER(FIND("_",태깅기획site_code!F137)),LEFT(태깅기획site_code!F137,FIND("_",태깅기획site_code!F137)-1),태깅기획site_code!F137)),IF(COUNTIF(고객법인일정파일!$C$4:$C$200,태깅기획site_code!D137&amp;" ("&amp;PROPER(LEFT(태깅기획site_code!F137,FIND("_",태깅기획site_code!F137)-1))&amp;"_"&amp;UPPER(MID(태깅기획site_code!F137,FIND("_",태깅기획site_code!F137)+1,20))&amp;")")&gt;0,태깅기획site_code!D137&amp;" ("&amp;PROPER(LEFT(태깅기획site_code!F137,FIND("_",태깅기획site_code!F137)-1))&amp;"_"&amp;UPPER(MID(태깅기획site_code!F137,FIND("_",태깅기획site_code!F137)+1,20))&amp;")",IF(COUNTIF(고객법인일정파일!$C$4:$C$200,태깅기획site_code!D137)&gt;0,태깅기획site_code!D137,IF(ISNUMBER(FIND("_",태깅기획site_code!F137)),"",IFERROR(INDEX(고객법인일정파일!$C$4:$C$200,MATCH(태깅기획site_code!D137,$O$4:$O$200,0)),IF(ISNUMBER(FIND("-",태깅기획site_code!D137)),IFERROR(INDEX(고객법인일정파일!$C$4:$C$200,MATCH(LEFT(태깅기획site_code!D137,FIND("-",태깅기획site_code!D137)-1),고객법인일정파일!$C$4:$C$200,0)),""),IF(태깅기획site_code!D137="SCA",IF(RIGHT(태깅기획site_code!F137,3)="_fr",IFERROR(INDEX(고객법인일정파일!$C$4:$C$200,MATCH("SEWA (Africa_FR)",고객법인일정파일!$C$4:$C$200,0)),""),IF(RIGHT(태깅기획site_code!F137,3)="_en",IFERROR(INDEX(고객법인일정파일!$C$4:$C$200,MATCH("SEWA (Africa_EN)",고객법인일정파일!$C$4:$C$200,0)),""),"")),""))))))))</f>
        <v/>
      </c>
      <c r="Q137" s="11" t="str">
        <f>IF(LEN(TRIM(P137))=0,"",IFERROR(INDEX(고객법인일정파일!$E$4:$E$192,MATCH(P137,고객법인일정파일!$C$4:$C$192,0)),""))</f>
        <v/>
      </c>
      <c r="R137" s="12" t="str">
        <f>IF(OR(LEN(TRIM(P137))=0,Q137="X",Q137&lt;&gt;"O"),"",IFERROR(INDEX(고객법인일정파일!$F$4:$F$192,MATCH(P137,고객법인일정파일!$C$4:$C$192,0)),""))</f>
        <v/>
      </c>
      <c r="S137" s="12" t="str">
        <f>IF(OR(LEN(TRIM(P137))=0,Q137="X",Q137&lt;&gt;"O"),"",IFERROR(INDEX(고객법인일정파일!$H$4:$H$192,MATCH(P137,고객법인일정파일!$C$4:$C$192,0)),""))</f>
        <v/>
      </c>
    </row>
    <row r="138" spans="15:19">
      <c r="O138" s="11" t="str">
        <f>IF(IF(OR(NOT(ISBLANK(고객법인일정파일!B138)),ISBLANK(고객법인일정파일!C138),고객법인일정파일!C138="Total"),"",IF(ISNUMBER(FIND("-",고객법인일정파일!C138)),LEFT(고객법인일정파일!C138,FIND("-",고객법인일정파일!C138)-1),IF(ISNUMBER(FIND(" ",고객법인일정파일!C138)),LEFT(고객법인일정파일!C138,FIND(" ",고객법인일정파일!C138)-1),고객법인일정파일!C138)))="한총","sec",IF(OR(NOT(ISBLANK(고객법인일정파일!B138)),ISBLANK(고객법인일정파일!C138),고객법인일정파일!C138="Total"),"",IF(ISNUMBER(FIND("-",고객법인일정파일!C138)),LEFT(고객법인일정파일!C138,FIND("-",고객법인일정파일!C138)-1),IF(ISNUMBER(FIND(" ",고객법인일정파일!C138)),LEFT(고객법인일정파일!C138,FIND(" ",고객법인일정파일!C138)-1),고객법인일정파일!C138))))</f>
        <v/>
      </c>
      <c r="P138" s="11" t="str">
        <f>IF(ISBLANK(태깅기획site_code!F138),"",IF(COUNTIF(고객법인일정파일!$C$4:$C$200,태깅기획site_code!D138&amp;"-"&amp;UPPER(IF(ISNUMBER(FIND("_",태깅기획site_code!F138)),LEFT(태깅기획site_code!F138,FIND("_",태깅기획site_code!F138)-1),태깅기획site_code!F138)))&gt;0,태깅기획site_code!D138&amp;"-"&amp;UPPER(IF(ISNUMBER(FIND("_",태깅기획site_code!F138)),LEFT(태깅기획site_code!F138,FIND("_",태깅기획site_code!F138)-1),태깅기획site_code!F138)),IF(COUNTIF(고객법인일정파일!$C$4:$C$200,태깅기획site_code!D138&amp;" ("&amp;PROPER(LEFT(태깅기획site_code!F138,FIND("_",태깅기획site_code!F138)-1))&amp;"_"&amp;UPPER(MID(태깅기획site_code!F138,FIND("_",태깅기획site_code!F138)+1,20))&amp;")")&gt;0,태깅기획site_code!D138&amp;" ("&amp;PROPER(LEFT(태깅기획site_code!F138,FIND("_",태깅기획site_code!F138)-1))&amp;"_"&amp;UPPER(MID(태깅기획site_code!F138,FIND("_",태깅기획site_code!F138)+1,20))&amp;")",IF(COUNTIF(고객법인일정파일!$C$4:$C$200,태깅기획site_code!D138)&gt;0,태깅기획site_code!D138,IF(ISNUMBER(FIND("_",태깅기획site_code!F138)),"",IFERROR(INDEX(고객법인일정파일!$C$4:$C$200,MATCH(태깅기획site_code!D138,$O$4:$O$200,0)),IF(ISNUMBER(FIND("-",태깅기획site_code!D138)),IFERROR(INDEX(고객법인일정파일!$C$4:$C$200,MATCH(LEFT(태깅기획site_code!D138,FIND("-",태깅기획site_code!D138)-1),고객법인일정파일!$C$4:$C$200,0)),""),IF(태깅기획site_code!D138="SCA",IF(RIGHT(태깅기획site_code!F138,3)="_fr",IFERROR(INDEX(고객법인일정파일!$C$4:$C$200,MATCH("SEWA (Africa_FR)",고객법인일정파일!$C$4:$C$200,0)),""),IF(RIGHT(태깅기획site_code!F138,3)="_en",IFERROR(INDEX(고객법인일정파일!$C$4:$C$200,MATCH("SEWA (Africa_EN)",고객법인일정파일!$C$4:$C$200,0)),""),"")),""))))))))</f>
        <v/>
      </c>
      <c r="Q138" s="11" t="str">
        <f>IF(LEN(TRIM(P138))=0,"",IFERROR(INDEX(고객법인일정파일!$E$4:$E$192,MATCH(P138,고객법인일정파일!$C$4:$C$192,0)),""))</f>
        <v/>
      </c>
      <c r="R138" s="12" t="str">
        <f>IF(OR(LEN(TRIM(P138))=0,Q138="X",Q138&lt;&gt;"O"),"",IFERROR(INDEX(고객법인일정파일!$F$4:$F$192,MATCH(P138,고객법인일정파일!$C$4:$C$192,0)),""))</f>
        <v/>
      </c>
      <c r="S138" s="12" t="str">
        <f>IF(OR(LEN(TRIM(P138))=0,Q138="X",Q138&lt;&gt;"O"),"",IFERROR(INDEX(고객법인일정파일!$H$4:$H$192,MATCH(P138,고객법인일정파일!$C$4:$C$192,0)),""))</f>
        <v/>
      </c>
    </row>
    <row r="139" spans="15:19">
      <c r="O139" s="11" t="str">
        <f>IF(IF(OR(NOT(ISBLANK(고객법인일정파일!B139)),ISBLANK(고객법인일정파일!C139),고객법인일정파일!C139="Total"),"",IF(ISNUMBER(FIND("-",고객법인일정파일!C139)),LEFT(고객법인일정파일!C139,FIND("-",고객법인일정파일!C139)-1),IF(ISNUMBER(FIND(" ",고객법인일정파일!C139)),LEFT(고객법인일정파일!C139,FIND(" ",고객법인일정파일!C139)-1),고객법인일정파일!C139)))="한총","sec",IF(OR(NOT(ISBLANK(고객법인일정파일!B139)),ISBLANK(고객법인일정파일!C139),고객법인일정파일!C139="Total"),"",IF(ISNUMBER(FIND("-",고객법인일정파일!C139)),LEFT(고객법인일정파일!C139,FIND("-",고객법인일정파일!C139)-1),IF(ISNUMBER(FIND(" ",고객법인일정파일!C139)),LEFT(고객법인일정파일!C139,FIND(" ",고객법인일정파일!C139)-1),고객법인일정파일!C139))))</f>
        <v/>
      </c>
      <c r="P139" s="11" t="str">
        <f>IF(ISBLANK(태깅기획site_code!F139),"",IF(COUNTIF(고객법인일정파일!$C$4:$C$200,태깅기획site_code!D139&amp;"-"&amp;UPPER(IF(ISNUMBER(FIND("_",태깅기획site_code!F139)),LEFT(태깅기획site_code!F139,FIND("_",태깅기획site_code!F139)-1),태깅기획site_code!F139)))&gt;0,태깅기획site_code!D139&amp;"-"&amp;UPPER(IF(ISNUMBER(FIND("_",태깅기획site_code!F139)),LEFT(태깅기획site_code!F139,FIND("_",태깅기획site_code!F139)-1),태깅기획site_code!F139)),IF(COUNTIF(고객법인일정파일!$C$4:$C$200,태깅기획site_code!D139&amp;" ("&amp;PROPER(LEFT(태깅기획site_code!F139,FIND("_",태깅기획site_code!F139)-1))&amp;"_"&amp;UPPER(MID(태깅기획site_code!F139,FIND("_",태깅기획site_code!F139)+1,20))&amp;")")&gt;0,태깅기획site_code!D139&amp;" ("&amp;PROPER(LEFT(태깅기획site_code!F139,FIND("_",태깅기획site_code!F139)-1))&amp;"_"&amp;UPPER(MID(태깅기획site_code!F139,FIND("_",태깅기획site_code!F139)+1,20))&amp;")",IF(COUNTIF(고객법인일정파일!$C$4:$C$200,태깅기획site_code!D139)&gt;0,태깅기획site_code!D139,IF(ISNUMBER(FIND("_",태깅기획site_code!F139)),"",IFERROR(INDEX(고객법인일정파일!$C$4:$C$200,MATCH(태깅기획site_code!D139,$O$4:$O$200,0)),IF(ISNUMBER(FIND("-",태깅기획site_code!D139)),IFERROR(INDEX(고객법인일정파일!$C$4:$C$200,MATCH(LEFT(태깅기획site_code!D139,FIND("-",태깅기획site_code!D139)-1),고객법인일정파일!$C$4:$C$200,0)),""),IF(태깅기획site_code!D139="SCA",IF(RIGHT(태깅기획site_code!F139,3)="_fr",IFERROR(INDEX(고객법인일정파일!$C$4:$C$200,MATCH("SEWA (Africa_FR)",고객법인일정파일!$C$4:$C$200,0)),""),IF(RIGHT(태깅기획site_code!F139,3)="_en",IFERROR(INDEX(고객법인일정파일!$C$4:$C$200,MATCH("SEWA (Africa_EN)",고객법인일정파일!$C$4:$C$200,0)),""),"")),""))))))))</f>
        <v/>
      </c>
      <c r="Q139" s="11" t="str">
        <f>IF(LEN(TRIM(P139))=0,"",IFERROR(INDEX(고객법인일정파일!$E$4:$E$192,MATCH(P139,고객법인일정파일!$C$4:$C$192,0)),""))</f>
        <v/>
      </c>
      <c r="R139" s="12" t="str">
        <f>IF(OR(LEN(TRIM(P139))=0,Q139="X",Q139&lt;&gt;"O"),"",IFERROR(INDEX(고객법인일정파일!$F$4:$F$192,MATCH(P139,고객법인일정파일!$C$4:$C$192,0)),""))</f>
        <v/>
      </c>
      <c r="S139" s="12" t="str">
        <f>IF(OR(LEN(TRIM(P139))=0,Q139="X",Q139&lt;&gt;"O"),"",IFERROR(INDEX(고객법인일정파일!$H$4:$H$192,MATCH(P139,고객법인일정파일!$C$4:$C$192,0)),""))</f>
        <v/>
      </c>
    </row>
    <row r="140" spans="15:19">
      <c r="O140" s="11" t="str">
        <f>IF(IF(OR(NOT(ISBLANK(고객법인일정파일!B140)),ISBLANK(고객법인일정파일!C140),고객법인일정파일!C140="Total"),"",IF(ISNUMBER(FIND("-",고객법인일정파일!C140)),LEFT(고객법인일정파일!C140,FIND("-",고객법인일정파일!C140)-1),IF(ISNUMBER(FIND(" ",고객법인일정파일!C140)),LEFT(고객법인일정파일!C140,FIND(" ",고객법인일정파일!C140)-1),고객법인일정파일!C140)))="한총","sec",IF(OR(NOT(ISBLANK(고객법인일정파일!B140)),ISBLANK(고객법인일정파일!C140),고객법인일정파일!C140="Total"),"",IF(ISNUMBER(FIND("-",고객법인일정파일!C140)),LEFT(고객법인일정파일!C140,FIND("-",고객법인일정파일!C140)-1),IF(ISNUMBER(FIND(" ",고객법인일정파일!C140)),LEFT(고객법인일정파일!C140,FIND(" ",고객법인일정파일!C140)-1),고객법인일정파일!C140))))</f>
        <v/>
      </c>
      <c r="P140" s="11" t="str">
        <f>IF(ISBLANK(태깅기획site_code!F140),"",IF(COUNTIF(고객법인일정파일!$C$4:$C$200,태깅기획site_code!D140&amp;"-"&amp;UPPER(IF(ISNUMBER(FIND("_",태깅기획site_code!F140)),LEFT(태깅기획site_code!F140,FIND("_",태깅기획site_code!F140)-1),태깅기획site_code!F140)))&gt;0,태깅기획site_code!D140&amp;"-"&amp;UPPER(IF(ISNUMBER(FIND("_",태깅기획site_code!F140)),LEFT(태깅기획site_code!F140,FIND("_",태깅기획site_code!F140)-1),태깅기획site_code!F140)),IF(COUNTIF(고객법인일정파일!$C$4:$C$200,태깅기획site_code!D140&amp;" ("&amp;PROPER(LEFT(태깅기획site_code!F140,FIND("_",태깅기획site_code!F140)-1))&amp;"_"&amp;UPPER(MID(태깅기획site_code!F140,FIND("_",태깅기획site_code!F140)+1,20))&amp;")")&gt;0,태깅기획site_code!D140&amp;" ("&amp;PROPER(LEFT(태깅기획site_code!F140,FIND("_",태깅기획site_code!F140)-1))&amp;"_"&amp;UPPER(MID(태깅기획site_code!F140,FIND("_",태깅기획site_code!F140)+1,20))&amp;")",IF(COUNTIF(고객법인일정파일!$C$4:$C$200,태깅기획site_code!D140)&gt;0,태깅기획site_code!D140,IF(ISNUMBER(FIND("_",태깅기획site_code!F140)),"",IFERROR(INDEX(고객법인일정파일!$C$4:$C$200,MATCH(태깅기획site_code!D140,$O$4:$O$200,0)),IF(ISNUMBER(FIND("-",태깅기획site_code!D140)),IFERROR(INDEX(고객법인일정파일!$C$4:$C$200,MATCH(LEFT(태깅기획site_code!D140,FIND("-",태깅기획site_code!D140)-1),고객법인일정파일!$C$4:$C$200,0)),""),IF(태깅기획site_code!D140="SCA",IF(RIGHT(태깅기획site_code!F140,3)="_fr",IFERROR(INDEX(고객법인일정파일!$C$4:$C$200,MATCH("SEWA (Africa_FR)",고객법인일정파일!$C$4:$C$200,0)),""),IF(RIGHT(태깅기획site_code!F140,3)="_en",IFERROR(INDEX(고객법인일정파일!$C$4:$C$200,MATCH("SEWA (Africa_EN)",고객법인일정파일!$C$4:$C$200,0)),""),"")),""))))))))</f>
        <v/>
      </c>
      <c r="Q140" s="11" t="str">
        <f>IF(LEN(TRIM(P140))=0,"",IFERROR(INDEX(고객법인일정파일!$E$4:$E$192,MATCH(P140,고객법인일정파일!$C$4:$C$192,0)),""))</f>
        <v/>
      </c>
      <c r="R140" s="12" t="str">
        <f>IF(OR(LEN(TRIM(P140))=0,Q140="X",Q140&lt;&gt;"O"),"",IFERROR(INDEX(고객법인일정파일!$F$4:$F$192,MATCH(P140,고객법인일정파일!$C$4:$C$192,0)),""))</f>
        <v/>
      </c>
      <c r="S140" s="12" t="str">
        <f>IF(OR(LEN(TRIM(P140))=0,Q140="X",Q140&lt;&gt;"O"),"",IFERROR(INDEX(고객법인일정파일!$H$4:$H$192,MATCH(P140,고객법인일정파일!$C$4:$C$192,0)),""))</f>
        <v/>
      </c>
    </row>
    <row r="141" spans="15:19">
      <c r="O141" s="11" t="str">
        <f>IF(IF(OR(NOT(ISBLANK(고객법인일정파일!B141)),ISBLANK(고객법인일정파일!C141),고객법인일정파일!C141="Total"),"",IF(ISNUMBER(FIND("-",고객법인일정파일!C141)),LEFT(고객법인일정파일!C141,FIND("-",고객법인일정파일!C141)-1),IF(ISNUMBER(FIND(" ",고객법인일정파일!C141)),LEFT(고객법인일정파일!C141,FIND(" ",고객법인일정파일!C141)-1),고객법인일정파일!C141)))="한총","sec",IF(OR(NOT(ISBLANK(고객법인일정파일!B141)),ISBLANK(고객법인일정파일!C141),고객법인일정파일!C141="Total"),"",IF(ISNUMBER(FIND("-",고객법인일정파일!C141)),LEFT(고객법인일정파일!C141,FIND("-",고객법인일정파일!C141)-1),IF(ISNUMBER(FIND(" ",고객법인일정파일!C141)),LEFT(고객법인일정파일!C141,FIND(" ",고객법인일정파일!C141)-1),고객법인일정파일!C141))))</f>
        <v/>
      </c>
      <c r="P141" s="11" t="str">
        <f>IF(ISBLANK(태깅기획site_code!F141),"",IF(COUNTIF(고객법인일정파일!$C$4:$C$200,태깅기획site_code!D141&amp;"-"&amp;UPPER(IF(ISNUMBER(FIND("_",태깅기획site_code!F141)),LEFT(태깅기획site_code!F141,FIND("_",태깅기획site_code!F141)-1),태깅기획site_code!F141)))&gt;0,태깅기획site_code!D141&amp;"-"&amp;UPPER(IF(ISNUMBER(FIND("_",태깅기획site_code!F141)),LEFT(태깅기획site_code!F141,FIND("_",태깅기획site_code!F141)-1),태깅기획site_code!F141)),IF(COUNTIF(고객법인일정파일!$C$4:$C$200,태깅기획site_code!D141&amp;" ("&amp;PROPER(LEFT(태깅기획site_code!F141,FIND("_",태깅기획site_code!F141)-1))&amp;"_"&amp;UPPER(MID(태깅기획site_code!F141,FIND("_",태깅기획site_code!F141)+1,20))&amp;")")&gt;0,태깅기획site_code!D141&amp;" ("&amp;PROPER(LEFT(태깅기획site_code!F141,FIND("_",태깅기획site_code!F141)-1))&amp;"_"&amp;UPPER(MID(태깅기획site_code!F141,FIND("_",태깅기획site_code!F141)+1,20))&amp;")",IF(COUNTIF(고객법인일정파일!$C$4:$C$200,태깅기획site_code!D141)&gt;0,태깅기획site_code!D141,IF(ISNUMBER(FIND("_",태깅기획site_code!F141)),"",IFERROR(INDEX(고객법인일정파일!$C$4:$C$200,MATCH(태깅기획site_code!D141,$O$4:$O$200,0)),IF(ISNUMBER(FIND("-",태깅기획site_code!D141)),IFERROR(INDEX(고객법인일정파일!$C$4:$C$200,MATCH(LEFT(태깅기획site_code!D141,FIND("-",태깅기획site_code!D141)-1),고객법인일정파일!$C$4:$C$200,0)),""),IF(태깅기획site_code!D141="SCA",IF(RIGHT(태깅기획site_code!F141,3)="_fr",IFERROR(INDEX(고객법인일정파일!$C$4:$C$200,MATCH("SEWA (Africa_FR)",고객법인일정파일!$C$4:$C$200,0)),""),IF(RIGHT(태깅기획site_code!F141,3)="_en",IFERROR(INDEX(고객법인일정파일!$C$4:$C$200,MATCH("SEWA (Africa_EN)",고객법인일정파일!$C$4:$C$200,0)),""),"")),""))))))))</f>
        <v/>
      </c>
      <c r="Q141" s="11" t="str">
        <f>IF(LEN(TRIM(P141))=0,"",IFERROR(INDEX(고객법인일정파일!$E$4:$E$192,MATCH(P141,고객법인일정파일!$C$4:$C$192,0)),""))</f>
        <v/>
      </c>
      <c r="R141" s="12" t="str">
        <f>IF(OR(LEN(TRIM(P141))=0,Q141="X",Q141&lt;&gt;"O"),"",IFERROR(INDEX(고객법인일정파일!$F$4:$F$192,MATCH(P141,고객법인일정파일!$C$4:$C$192,0)),""))</f>
        <v/>
      </c>
      <c r="S141" s="12" t="str">
        <f>IF(OR(LEN(TRIM(P141))=0,Q141="X",Q141&lt;&gt;"O"),"",IFERROR(INDEX(고객법인일정파일!$H$4:$H$192,MATCH(P141,고객법인일정파일!$C$4:$C$192,0)),""))</f>
        <v/>
      </c>
    </row>
    <row r="142" spans="15:19">
      <c r="O142" s="11" t="str">
        <f>IF(IF(OR(NOT(ISBLANK(고객법인일정파일!B142)),ISBLANK(고객법인일정파일!C142),고객법인일정파일!C142="Total"),"",IF(ISNUMBER(FIND("-",고객법인일정파일!C142)),LEFT(고객법인일정파일!C142,FIND("-",고객법인일정파일!C142)-1),IF(ISNUMBER(FIND(" ",고객법인일정파일!C142)),LEFT(고객법인일정파일!C142,FIND(" ",고객법인일정파일!C142)-1),고객법인일정파일!C142)))="한총","sec",IF(OR(NOT(ISBLANK(고객법인일정파일!B142)),ISBLANK(고객법인일정파일!C142),고객법인일정파일!C142="Total"),"",IF(ISNUMBER(FIND("-",고객법인일정파일!C142)),LEFT(고객법인일정파일!C142,FIND("-",고객법인일정파일!C142)-1),IF(ISNUMBER(FIND(" ",고객법인일정파일!C142)),LEFT(고객법인일정파일!C142,FIND(" ",고객법인일정파일!C142)-1),고객법인일정파일!C142))))</f>
        <v/>
      </c>
      <c r="P142" s="11" t="str">
        <f>IF(ISBLANK(태깅기획site_code!F142),"",IF(COUNTIF(고객법인일정파일!$C$4:$C$200,태깅기획site_code!D142&amp;"-"&amp;UPPER(IF(ISNUMBER(FIND("_",태깅기획site_code!F142)),LEFT(태깅기획site_code!F142,FIND("_",태깅기획site_code!F142)-1),태깅기획site_code!F142)))&gt;0,태깅기획site_code!D142&amp;"-"&amp;UPPER(IF(ISNUMBER(FIND("_",태깅기획site_code!F142)),LEFT(태깅기획site_code!F142,FIND("_",태깅기획site_code!F142)-1),태깅기획site_code!F142)),IF(COUNTIF(고객법인일정파일!$C$4:$C$200,태깅기획site_code!D142&amp;" ("&amp;PROPER(LEFT(태깅기획site_code!F142,FIND("_",태깅기획site_code!F142)-1))&amp;"_"&amp;UPPER(MID(태깅기획site_code!F142,FIND("_",태깅기획site_code!F142)+1,20))&amp;")")&gt;0,태깅기획site_code!D142&amp;" ("&amp;PROPER(LEFT(태깅기획site_code!F142,FIND("_",태깅기획site_code!F142)-1))&amp;"_"&amp;UPPER(MID(태깅기획site_code!F142,FIND("_",태깅기획site_code!F142)+1,20))&amp;")",IF(COUNTIF(고객법인일정파일!$C$4:$C$200,태깅기획site_code!D142)&gt;0,태깅기획site_code!D142,IF(ISNUMBER(FIND("_",태깅기획site_code!F142)),"",IFERROR(INDEX(고객법인일정파일!$C$4:$C$200,MATCH(태깅기획site_code!D142,$O$4:$O$200,0)),IF(ISNUMBER(FIND("-",태깅기획site_code!D142)),IFERROR(INDEX(고객법인일정파일!$C$4:$C$200,MATCH(LEFT(태깅기획site_code!D142,FIND("-",태깅기획site_code!D142)-1),고객법인일정파일!$C$4:$C$200,0)),""),IF(태깅기획site_code!D142="SCA",IF(RIGHT(태깅기획site_code!F142,3)="_fr",IFERROR(INDEX(고객법인일정파일!$C$4:$C$200,MATCH("SEWA (Africa_FR)",고객법인일정파일!$C$4:$C$200,0)),""),IF(RIGHT(태깅기획site_code!F142,3)="_en",IFERROR(INDEX(고객법인일정파일!$C$4:$C$200,MATCH("SEWA (Africa_EN)",고객법인일정파일!$C$4:$C$200,0)),""),"")),""))))))))</f>
        <v/>
      </c>
      <c r="Q142" s="11" t="str">
        <f>IF(LEN(TRIM(P142))=0,"",IFERROR(INDEX(고객법인일정파일!$E$4:$E$192,MATCH(P142,고객법인일정파일!$C$4:$C$192,0)),""))</f>
        <v/>
      </c>
      <c r="R142" s="12" t="str">
        <f>IF(OR(LEN(TRIM(P142))=0,Q142="X",Q142&lt;&gt;"O"),"",IFERROR(INDEX(고객법인일정파일!$F$4:$F$192,MATCH(P142,고객법인일정파일!$C$4:$C$192,0)),""))</f>
        <v/>
      </c>
      <c r="S142" s="12" t="str">
        <f>IF(OR(LEN(TRIM(P142))=0,Q142="X",Q142&lt;&gt;"O"),"",IFERROR(INDEX(고객법인일정파일!$H$4:$H$192,MATCH(P142,고객법인일정파일!$C$4:$C$192,0)),""))</f>
        <v/>
      </c>
    </row>
    <row r="143" spans="15:19">
      <c r="O143" s="11" t="str">
        <f>IF(IF(OR(NOT(ISBLANK(고객법인일정파일!B143)),ISBLANK(고객법인일정파일!C143),고객법인일정파일!C143="Total"),"",IF(ISNUMBER(FIND("-",고객법인일정파일!C143)),LEFT(고객법인일정파일!C143,FIND("-",고객법인일정파일!C143)-1),IF(ISNUMBER(FIND(" ",고객법인일정파일!C143)),LEFT(고객법인일정파일!C143,FIND(" ",고객법인일정파일!C143)-1),고객법인일정파일!C143)))="한총","sec",IF(OR(NOT(ISBLANK(고객법인일정파일!B143)),ISBLANK(고객법인일정파일!C143),고객법인일정파일!C143="Total"),"",IF(ISNUMBER(FIND("-",고객법인일정파일!C143)),LEFT(고객법인일정파일!C143,FIND("-",고객법인일정파일!C143)-1),IF(ISNUMBER(FIND(" ",고객법인일정파일!C143)),LEFT(고객법인일정파일!C143,FIND(" ",고객법인일정파일!C143)-1),고객법인일정파일!C143))))</f>
        <v/>
      </c>
      <c r="P143" s="11" t="str">
        <f>IF(ISBLANK(태깅기획site_code!F143),"",IF(COUNTIF(고객법인일정파일!$C$4:$C$200,태깅기획site_code!D143&amp;"-"&amp;UPPER(IF(ISNUMBER(FIND("_",태깅기획site_code!F143)),LEFT(태깅기획site_code!F143,FIND("_",태깅기획site_code!F143)-1),태깅기획site_code!F143)))&gt;0,태깅기획site_code!D143&amp;"-"&amp;UPPER(IF(ISNUMBER(FIND("_",태깅기획site_code!F143)),LEFT(태깅기획site_code!F143,FIND("_",태깅기획site_code!F143)-1),태깅기획site_code!F143)),IF(COUNTIF(고객법인일정파일!$C$4:$C$200,태깅기획site_code!D143&amp;" ("&amp;PROPER(LEFT(태깅기획site_code!F143,FIND("_",태깅기획site_code!F143)-1))&amp;"_"&amp;UPPER(MID(태깅기획site_code!F143,FIND("_",태깅기획site_code!F143)+1,20))&amp;")")&gt;0,태깅기획site_code!D143&amp;" ("&amp;PROPER(LEFT(태깅기획site_code!F143,FIND("_",태깅기획site_code!F143)-1))&amp;"_"&amp;UPPER(MID(태깅기획site_code!F143,FIND("_",태깅기획site_code!F143)+1,20))&amp;")",IF(COUNTIF(고객법인일정파일!$C$4:$C$200,태깅기획site_code!D143)&gt;0,태깅기획site_code!D143,IF(ISNUMBER(FIND("_",태깅기획site_code!F143)),"",IFERROR(INDEX(고객법인일정파일!$C$4:$C$200,MATCH(태깅기획site_code!D143,$O$4:$O$200,0)),IF(ISNUMBER(FIND("-",태깅기획site_code!D143)),IFERROR(INDEX(고객법인일정파일!$C$4:$C$200,MATCH(LEFT(태깅기획site_code!D143,FIND("-",태깅기획site_code!D143)-1),고객법인일정파일!$C$4:$C$200,0)),""),IF(태깅기획site_code!D143="SCA",IF(RIGHT(태깅기획site_code!F143,3)="_fr",IFERROR(INDEX(고객법인일정파일!$C$4:$C$200,MATCH("SEWA (Africa_FR)",고객법인일정파일!$C$4:$C$200,0)),""),IF(RIGHT(태깅기획site_code!F143,3)="_en",IFERROR(INDEX(고객법인일정파일!$C$4:$C$200,MATCH("SEWA (Africa_EN)",고객법인일정파일!$C$4:$C$200,0)),""),"")),""))))))))</f>
        <v/>
      </c>
      <c r="Q143" s="11" t="str">
        <f>IF(LEN(TRIM(P143))=0,"",IFERROR(INDEX(고객법인일정파일!$E$4:$E$192,MATCH(P143,고객법인일정파일!$C$4:$C$192,0)),""))</f>
        <v/>
      </c>
      <c r="R143" s="12" t="str">
        <f>IF(OR(LEN(TRIM(P143))=0,Q143="X",Q143&lt;&gt;"O"),"",IFERROR(INDEX(고객법인일정파일!$F$4:$F$192,MATCH(P143,고객법인일정파일!$C$4:$C$192,0)),""))</f>
        <v/>
      </c>
      <c r="S143" s="12" t="str">
        <f>IF(OR(LEN(TRIM(P143))=0,Q143="X",Q143&lt;&gt;"O"),"",IFERROR(INDEX(고객법인일정파일!$H$4:$H$192,MATCH(P143,고객법인일정파일!$C$4:$C$192,0)),""))</f>
        <v/>
      </c>
    </row>
    <row r="144" spans="15:19">
      <c r="O144" s="11" t="str">
        <f>IF(IF(OR(NOT(ISBLANK(고객법인일정파일!B144)),ISBLANK(고객법인일정파일!C144),고객법인일정파일!C144="Total"),"",IF(ISNUMBER(FIND("-",고객법인일정파일!C144)),LEFT(고객법인일정파일!C144,FIND("-",고객법인일정파일!C144)-1),IF(ISNUMBER(FIND(" ",고객법인일정파일!C144)),LEFT(고객법인일정파일!C144,FIND(" ",고객법인일정파일!C144)-1),고객법인일정파일!C144)))="한총","sec",IF(OR(NOT(ISBLANK(고객법인일정파일!B144)),ISBLANK(고객법인일정파일!C144),고객법인일정파일!C144="Total"),"",IF(ISNUMBER(FIND("-",고객법인일정파일!C144)),LEFT(고객법인일정파일!C144,FIND("-",고객법인일정파일!C144)-1),IF(ISNUMBER(FIND(" ",고객법인일정파일!C144)),LEFT(고객법인일정파일!C144,FIND(" ",고객법인일정파일!C144)-1),고객법인일정파일!C144))))</f>
        <v/>
      </c>
      <c r="P144" s="11" t="str">
        <f>IF(ISBLANK(태깅기획site_code!F144),"",IF(COUNTIF(고객법인일정파일!$C$4:$C$200,태깅기획site_code!D144&amp;"-"&amp;UPPER(IF(ISNUMBER(FIND("_",태깅기획site_code!F144)),LEFT(태깅기획site_code!F144,FIND("_",태깅기획site_code!F144)-1),태깅기획site_code!F144)))&gt;0,태깅기획site_code!D144&amp;"-"&amp;UPPER(IF(ISNUMBER(FIND("_",태깅기획site_code!F144)),LEFT(태깅기획site_code!F144,FIND("_",태깅기획site_code!F144)-1),태깅기획site_code!F144)),IF(COUNTIF(고객법인일정파일!$C$4:$C$200,태깅기획site_code!D144&amp;" ("&amp;PROPER(LEFT(태깅기획site_code!F144,FIND("_",태깅기획site_code!F144)-1))&amp;"_"&amp;UPPER(MID(태깅기획site_code!F144,FIND("_",태깅기획site_code!F144)+1,20))&amp;")")&gt;0,태깅기획site_code!D144&amp;" ("&amp;PROPER(LEFT(태깅기획site_code!F144,FIND("_",태깅기획site_code!F144)-1))&amp;"_"&amp;UPPER(MID(태깅기획site_code!F144,FIND("_",태깅기획site_code!F144)+1,20))&amp;")",IF(COUNTIF(고객법인일정파일!$C$4:$C$200,태깅기획site_code!D144)&gt;0,태깅기획site_code!D144,IF(ISNUMBER(FIND("_",태깅기획site_code!F144)),"",IFERROR(INDEX(고객법인일정파일!$C$4:$C$200,MATCH(태깅기획site_code!D144,$O$4:$O$200,0)),IF(ISNUMBER(FIND("-",태깅기획site_code!D144)),IFERROR(INDEX(고객법인일정파일!$C$4:$C$200,MATCH(LEFT(태깅기획site_code!D144,FIND("-",태깅기획site_code!D144)-1),고객법인일정파일!$C$4:$C$200,0)),""),IF(태깅기획site_code!D144="SCA",IF(RIGHT(태깅기획site_code!F144,3)="_fr",IFERROR(INDEX(고객법인일정파일!$C$4:$C$200,MATCH("SEWA (Africa_FR)",고객법인일정파일!$C$4:$C$200,0)),""),IF(RIGHT(태깅기획site_code!F144,3)="_en",IFERROR(INDEX(고객법인일정파일!$C$4:$C$200,MATCH("SEWA (Africa_EN)",고객법인일정파일!$C$4:$C$200,0)),""),"")),""))))))))</f>
        <v/>
      </c>
      <c r="Q144" s="11" t="str">
        <f>IF(LEN(TRIM(P144))=0,"",IFERROR(INDEX(고객법인일정파일!$E$4:$E$192,MATCH(P144,고객법인일정파일!$C$4:$C$192,0)),""))</f>
        <v/>
      </c>
      <c r="R144" s="12" t="str">
        <f>IF(OR(LEN(TRIM(P144))=0,Q144="X",Q144&lt;&gt;"O"),"",IFERROR(INDEX(고객법인일정파일!$F$4:$F$192,MATCH(P144,고객법인일정파일!$C$4:$C$192,0)),""))</f>
        <v/>
      </c>
      <c r="S144" s="12" t="str">
        <f>IF(OR(LEN(TRIM(P144))=0,Q144="X",Q144&lt;&gt;"O"),"",IFERROR(INDEX(고객법인일정파일!$H$4:$H$192,MATCH(P144,고객법인일정파일!$C$4:$C$192,0)),""))</f>
        <v/>
      </c>
    </row>
    <row r="145" spans="15:19">
      <c r="O145" s="11" t="str">
        <f>IF(IF(OR(NOT(ISBLANK(고객법인일정파일!B145)),ISBLANK(고객법인일정파일!C145),고객법인일정파일!C145="Total"),"",IF(ISNUMBER(FIND("-",고객법인일정파일!C145)),LEFT(고객법인일정파일!C145,FIND("-",고객법인일정파일!C145)-1),IF(ISNUMBER(FIND(" ",고객법인일정파일!C145)),LEFT(고객법인일정파일!C145,FIND(" ",고객법인일정파일!C145)-1),고객법인일정파일!C145)))="한총","sec",IF(OR(NOT(ISBLANK(고객법인일정파일!B145)),ISBLANK(고객법인일정파일!C145),고객법인일정파일!C145="Total"),"",IF(ISNUMBER(FIND("-",고객법인일정파일!C145)),LEFT(고객법인일정파일!C145,FIND("-",고객법인일정파일!C145)-1),IF(ISNUMBER(FIND(" ",고객법인일정파일!C145)),LEFT(고객법인일정파일!C145,FIND(" ",고객법인일정파일!C145)-1),고객법인일정파일!C145))))</f>
        <v/>
      </c>
      <c r="P145" s="11" t="str">
        <f>IF(ISBLANK(태깅기획site_code!F145),"",IF(COUNTIF(고객법인일정파일!$C$4:$C$200,태깅기획site_code!D145&amp;"-"&amp;UPPER(IF(ISNUMBER(FIND("_",태깅기획site_code!F145)),LEFT(태깅기획site_code!F145,FIND("_",태깅기획site_code!F145)-1),태깅기획site_code!F145)))&gt;0,태깅기획site_code!D145&amp;"-"&amp;UPPER(IF(ISNUMBER(FIND("_",태깅기획site_code!F145)),LEFT(태깅기획site_code!F145,FIND("_",태깅기획site_code!F145)-1),태깅기획site_code!F145)),IF(COUNTIF(고객법인일정파일!$C$4:$C$200,태깅기획site_code!D145&amp;" ("&amp;PROPER(LEFT(태깅기획site_code!F145,FIND("_",태깅기획site_code!F145)-1))&amp;"_"&amp;UPPER(MID(태깅기획site_code!F145,FIND("_",태깅기획site_code!F145)+1,20))&amp;")")&gt;0,태깅기획site_code!D145&amp;" ("&amp;PROPER(LEFT(태깅기획site_code!F145,FIND("_",태깅기획site_code!F145)-1))&amp;"_"&amp;UPPER(MID(태깅기획site_code!F145,FIND("_",태깅기획site_code!F145)+1,20))&amp;")",IF(COUNTIF(고객법인일정파일!$C$4:$C$200,태깅기획site_code!D145)&gt;0,태깅기획site_code!D145,IF(ISNUMBER(FIND("_",태깅기획site_code!F145)),"",IFERROR(INDEX(고객법인일정파일!$C$4:$C$200,MATCH(태깅기획site_code!D145,$O$4:$O$200,0)),IF(ISNUMBER(FIND("-",태깅기획site_code!D145)),IFERROR(INDEX(고객법인일정파일!$C$4:$C$200,MATCH(LEFT(태깅기획site_code!D145,FIND("-",태깅기획site_code!D145)-1),고객법인일정파일!$C$4:$C$200,0)),""),IF(태깅기획site_code!D145="SCA",IF(RIGHT(태깅기획site_code!F145,3)="_fr",IFERROR(INDEX(고객법인일정파일!$C$4:$C$200,MATCH("SEWA (Africa_FR)",고객법인일정파일!$C$4:$C$200,0)),""),IF(RIGHT(태깅기획site_code!F145,3)="_en",IFERROR(INDEX(고객법인일정파일!$C$4:$C$200,MATCH("SEWA (Africa_EN)",고객법인일정파일!$C$4:$C$200,0)),""),"")),""))))))))</f>
        <v/>
      </c>
      <c r="Q145" s="11" t="str">
        <f>IF(LEN(TRIM(P145))=0,"",IFERROR(INDEX(고객법인일정파일!$E$4:$E$192,MATCH(P145,고객법인일정파일!$C$4:$C$192,0)),""))</f>
        <v/>
      </c>
      <c r="R145" s="12" t="str">
        <f>IF(OR(LEN(TRIM(P145))=0,Q145="X",Q145&lt;&gt;"O"),"",IFERROR(INDEX(고객법인일정파일!$F$4:$F$192,MATCH(P145,고객법인일정파일!$C$4:$C$192,0)),""))</f>
        <v/>
      </c>
      <c r="S145" s="12" t="str">
        <f>IF(OR(LEN(TRIM(P145))=0,Q145="X",Q145&lt;&gt;"O"),"",IFERROR(INDEX(고객법인일정파일!$H$4:$H$192,MATCH(P145,고객법인일정파일!$C$4:$C$192,0)),""))</f>
        <v/>
      </c>
    </row>
    <row r="146" spans="15:19">
      <c r="O146" s="11" t="str">
        <f>IF(IF(OR(NOT(ISBLANK(고객법인일정파일!B146)),ISBLANK(고객법인일정파일!C146),고객법인일정파일!C146="Total"),"",IF(ISNUMBER(FIND("-",고객법인일정파일!C146)),LEFT(고객법인일정파일!C146,FIND("-",고객법인일정파일!C146)-1),IF(ISNUMBER(FIND(" ",고객법인일정파일!C146)),LEFT(고객법인일정파일!C146,FIND(" ",고객법인일정파일!C146)-1),고객법인일정파일!C146)))="한총","sec",IF(OR(NOT(ISBLANK(고객법인일정파일!B146)),ISBLANK(고객법인일정파일!C146),고객법인일정파일!C146="Total"),"",IF(ISNUMBER(FIND("-",고객법인일정파일!C146)),LEFT(고객법인일정파일!C146,FIND("-",고객법인일정파일!C146)-1),IF(ISNUMBER(FIND(" ",고객법인일정파일!C146)),LEFT(고객법인일정파일!C146,FIND(" ",고객법인일정파일!C146)-1),고객법인일정파일!C146))))</f>
        <v/>
      </c>
      <c r="P146" s="11" t="str">
        <f>IF(ISBLANK(태깅기획site_code!F146),"",IF(COUNTIF(고객법인일정파일!$C$4:$C$200,태깅기획site_code!D146&amp;"-"&amp;UPPER(IF(ISNUMBER(FIND("_",태깅기획site_code!F146)),LEFT(태깅기획site_code!F146,FIND("_",태깅기획site_code!F146)-1),태깅기획site_code!F146)))&gt;0,태깅기획site_code!D146&amp;"-"&amp;UPPER(IF(ISNUMBER(FIND("_",태깅기획site_code!F146)),LEFT(태깅기획site_code!F146,FIND("_",태깅기획site_code!F146)-1),태깅기획site_code!F146)),IF(COUNTIF(고객법인일정파일!$C$4:$C$200,태깅기획site_code!D146&amp;" ("&amp;PROPER(LEFT(태깅기획site_code!F146,FIND("_",태깅기획site_code!F146)-1))&amp;"_"&amp;UPPER(MID(태깅기획site_code!F146,FIND("_",태깅기획site_code!F146)+1,20))&amp;")")&gt;0,태깅기획site_code!D146&amp;" ("&amp;PROPER(LEFT(태깅기획site_code!F146,FIND("_",태깅기획site_code!F146)-1))&amp;"_"&amp;UPPER(MID(태깅기획site_code!F146,FIND("_",태깅기획site_code!F146)+1,20))&amp;")",IF(COUNTIF(고객법인일정파일!$C$4:$C$200,태깅기획site_code!D146)&gt;0,태깅기획site_code!D146,IF(ISNUMBER(FIND("_",태깅기획site_code!F146)),"",IFERROR(INDEX(고객법인일정파일!$C$4:$C$200,MATCH(태깅기획site_code!D146,$O$4:$O$200,0)),IF(ISNUMBER(FIND("-",태깅기획site_code!D146)),IFERROR(INDEX(고객법인일정파일!$C$4:$C$200,MATCH(LEFT(태깅기획site_code!D146,FIND("-",태깅기획site_code!D146)-1),고객법인일정파일!$C$4:$C$200,0)),""),IF(태깅기획site_code!D146="SCA",IF(RIGHT(태깅기획site_code!F146,3)="_fr",IFERROR(INDEX(고객법인일정파일!$C$4:$C$200,MATCH("SEWA (Africa_FR)",고객법인일정파일!$C$4:$C$200,0)),""),IF(RIGHT(태깅기획site_code!F146,3)="_en",IFERROR(INDEX(고객법인일정파일!$C$4:$C$200,MATCH("SEWA (Africa_EN)",고객법인일정파일!$C$4:$C$200,0)),""),"")),""))))))))</f>
        <v/>
      </c>
      <c r="Q146" s="11" t="str">
        <f>IF(LEN(TRIM(P146))=0,"",IFERROR(INDEX(고객법인일정파일!$E$4:$E$192,MATCH(P146,고객법인일정파일!$C$4:$C$192,0)),""))</f>
        <v/>
      </c>
      <c r="R146" s="12" t="str">
        <f>IF(OR(LEN(TRIM(P146))=0,Q146="X",Q146&lt;&gt;"O"),"",IFERROR(INDEX(고객법인일정파일!$F$4:$F$192,MATCH(P146,고객법인일정파일!$C$4:$C$192,0)),""))</f>
        <v/>
      </c>
      <c r="S146" s="12" t="str">
        <f>IF(OR(LEN(TRIM(P146))=0,Q146="X",Q146&lt;&gt;"O"),"",IFERROR(INDEX(고객법인일정파일!$H$4:$H$192,MATCH(P146,고객법인일정파일!$C$4:$C$192,0)),""))</f>
        <v/>
      </c>
    </row>
    <row r="147" spans="15:19">
      <c r="O147" s="11" t="str">
        <f>IF(IF(OR(NOT(ISBLANK(고객법인일정파일!B147)),ISBLANK(고객법인일정파일!C147),고객법인일정파일!C147="Total"),"",IF(ISNUMBER(FIND("-",고객법인일정파일!C147)),LEFT(고객법인일정파일!C147,FIND("-",고객법인일정파일!C147)-1),IF(ISNUMBER(FIND(" ",고객법인일정파일!C147)),LEFT(고객법인일정파일!C147,FIND(" ",고객법인일정파일!C147)-1),고객법인일정파일!C147)))="한총","sec",IF(OR(NOT(ISBLANK(고객법인일정파일!B147)),ISBLANK(고객법인일정파일!C147),고객법인일정파일!C147="Total"),"",IF(ISNUMBER(FIND("-",고객법인일정파일!C147)),LEFT(고객법인일정파일!C147,FIND("-",고객법인일정파일!C147)-1),IF(ISNUMBER(FIND(" ",고객법인일정파일!C147)),LEFT(고객법인일정파일!C147,FIND(" ",고객법인일정파일!C147)-1),고객법인일정파일!C147))))</f>
        <v/>
      </c>
      <c r="P147" s="11" t="str">
        <f>IF(ISBLANK(태깅기획site_code!F147),"",IF(COUNTIF(고객법인일정파일!$C$4:$C$200,태깅기획site_code!D147&amp;"-"&amp;UPPER(IF(ISNUMBER(FIND("_",태깅기획site_code!F147)),LEFT(태깅기획site_code!F147,FIND("_",태깅기획site_code!F147)-1),태깅기획site_code!F147)))&gt;0,태깅기획site_code!D147&amp;"-"&amp;UPPER(IF(ISNUMBER(FIND("_",태깅기획site_code!F147)),LEFT(태깅기획site_code!F147,FIND("_",태깅기획site_code!F147)-1),태깅기획site_code!F147)),IF(COUNTIF(고객법인일정파일!$C$4:$C$200,태깅기획site_code!D147&amp;" ("&amp;PROPER(LEFT(태깅기획site_code!F147,FIND("_",태깅기획site_code!F147)-1))&amp;"_"&amp;UPPER(MID(태깅기획site_code!F147,FIND("_",태깅기획site_code!F147)+1,20))&amp;")")&gt;0,태깅기획site_code!D147&amp;" ("&amp;PROPER(LEFT(태깅기획site_code!F147,FIND("_",태깅기획site_code!F147)-1))&amp;"_"&amp;UPPER(MID(태깅기획site_code!F147,FIND("_",태깅기획site_code!F147)+1,20))&amp;")",IF(COUNTIF(고객법인일정파일!$C$4:$C$200,태깅기획site_code!D147)&gt;0,태깅기획site_code!D147,IF(ISNUMBER(FIND("_",태깅기획site_code!F147)),"",IFERROR(INDEX(고객법인일정파일!$C$4:$C$200,MATCH(태깅기획site_code!D147,$O$4:$O$200,0)),IF(ISNUMBER(FIND("-",태깅기획site_code!D147)),IFERROR(INDEX(고객법인일정파일!$C$4:$C$200,MATCH(LEFT(태깅기획site_code!D147,FIND("-",태깅기획site_code!D147)-1),고객법인일정파일!$C$4:$C$200,0)),""),IF(태깅기획site_code!D147="SCA",IF(RIGHT(태깅기획site_code!F147,3)="_fr",IFERROR(INDEX(고객법인일정파일!$C$4:$C$200,MATCH("SEWA (Africa_FR)",고객법인일정파일!$C$4:$C$200,0)),""),IF(RIGHT(태깅기획site_code!F147,3)="_en",IFERROR(INDEX(고객법인일정파일!$C$4:$C$200,MATCH("SEWA (Africa_EN)",고객법인일정파일!$C$4:$C$200,0)),""),"")),""))))))))</f>
        <v/>
      </c>
      <c r="Q147" s="11" t="str">
        <f>IF(LEN(TRIM(P147))=0,"",IFERROR(INDEX(고객법인일정파일!$E$4:$E$192,MATCH(P147,고객법인일정파일!$C$4:$C$192,0)),""))</f>
        <v/>
      </c>
      <c r="R147" s="12" t="str">
        <f>IF(OR(LEN(TRIM(P147))=0,Q147="X",Q147&lt;&gt;"O"),"",IFERROR(INDEX(고객법인일정파일!$F$4:$F$192,MATCH(P147,고객법인일정파일!$C$4:$C$192,0)),""))</f>
        <v/>
      </c>
      <c r="S147" s="12" t="str">
        <f>IF(OR(LEN(TRIM(P147))=0,Q147="X",Q147&lt;&gt;"O"),"",IFERROR(INDEX(고객법인일정파일!$H$4:$H$192,MATCH(P147,고객법인일정파일!$C$4:$C$192,0)),""))</f>
        <v/>
      </c>
    </row>
    <row r="148" spans="15:19">
      <c r="O148" s="11" t="str">
        <f>IF(IF(OR(NOT(ISBLANK(고객법인일정파일!B148)),ISBLANK(고객법인일정파일!C148),고객법인일정파일!C148="Total"),"",IF(ISNUMBER(FIND("-",고객법인일정파일!C148)),LEFT(고객법인일정파일!C148,FIND("-",고객법인일정파일!C148)-1),IF(ISNUMBER(FIND(" ",고객법인일정파일!C148)),LEFT(고객법인일정파일!C148,FIND(" ",고객법인일정파일!C148)-1),고객법인일정파일!C148)))="한총","sec",IF(OR(NOT(ISBLANK(고객법인일정파일!B148)),ISBLANK(고객법인일정파일!C148),고객법인일정파일!C148="Total"),"",IF(ISNUMBER(FIND("-",고객법인일정파일!C148)),LEFT(고객법인일정파일!C148,FIND("-",고객법인일정파일!C148)-1),IF(ISNUMBER(FIND(" ",고객법인일정파일!C148)),LEFT(고객법인일정파일!C148,FIND(" ",고객법인일정파일!C148)-1),고객법인일정파일!C148))))</f>
        <v/>
      </c>
      <c r="P148" s="11" t="str">
        <f>IF(ISBLANK(태깅기획site_code!F148),"",IF(COUNTIF(고객법인일정파일!$C$4:$C$200,태깅기획site_code!D148&amp;"-"&amp;UPPER(IF(ISNUMBER(FIND("_",태깅기획site_code!F148)),LEFT(태깅기획site_code!F148,FIND("_",태깅기획site_code!F148)-1),태깅기획site_code!F148)))&gt;0,태깅기획site_code!D148&amp;"-"&amp;UPPER(IF(ISNUMBER(FIND("_",태깅기획site_code!F148)),LEFT(태깅기획site_code!F148,FIND("_",태깅기획site_code!F148)-1),태깅기획site_code!F148)),IF(COUNTIF(고객법인일정파일!$C$4:$C$200,태깅기획site_code!D148&amp;" ("&amp;PROPER(LEFT(태깅기획site_code!F148,FIND("_",태깅기획site_code!F148)-1))&amp;"_"&amp;UPPER(MID(태깅기획site_code!F148,FIND("_",태깅기획site_code!F148)+1,20))&amp;")")&gt;0,태깅기획site_code!D148&amp;" ("&amp;PROPER(LEFT(태깅기획site_code!F148,FIND("_",태깅기획site_code!F148)-1))&amp;"_"&amp;UPPER(MID(태깅기획site_code!F148,FIND("_",태깅기획site_code!F148)+1,20))&amp;")",IF(COUNTIF(고객법인일정파일!$C$4:$C$200,태깅기획site_code!D148)&gt;0,태깅기획site_code!D148,IF(ISNUMBER(FIND("_",태깅기획site_code!F148)),"",IFERROR(INDEX(고객법인일정파일!$C$4:$C$200,MATCH(태깅기획site_code!D148,$O$4:$O$200,0)),IF(ISNUMBER(FIND("-",태깅기획site_code!D148)),IFERROR(INDEX(고객법인일정파일!$C$4:$C$200,MATCH(LEFT(태깅기획site_code!D148,FIND("-",태깅기획site_code!D148)-1),고객법인일정파일!$C$4:$C$200,0)),""),IF(태깅기획site_code!D148="SCA",IF(RIGHT(태깅기획site_code!F148,3)="_fr",IFERROR(INDEX(고객법인일정파일!$C$4:$C$200,MATCH("SEWA (Africa_FR)",고객법인일정파일!$C$4:$C$200,0)),""),IF(RIGHT(태깅기획site_code!F148,3)="_en",IFERROR(INDEX(고객법인일정파일!$C$4:$C$200,MATCH("SEWA (Africa_EN)",고객법인일정파일!$C$4:$C$200,0)),""),"")),""))))))))</f>
        <v/>
      </c>
      <c r="Q148" s="11" t="str">
        <f>IF(LEN(TRIM(P148))=0,"",IFERROR(INDEX(고객법인일정파일!$E$4:$E$192,MATCH(P148,고객법인일정파일!$C$4:$C$192,0)),""))</f>
        <v/>
      </c>
      <c r="R148" s="12" t="str">
        <f>IF(OR(LEN(TRIM(P148))=0,Q148="X",Q148&lt;&gt;"O"),"",IFERROR(INDEX(고객법인일정파일!$F$4:$F$192,MATCH(P148,고객법인일정파일!$C$4:$C$192,0)),""))</f>
        <v/>
      </c>
      <c r="S148" s="12" t="str">
        <f>IF(OR(LEN(TRIM(P148))=0,Q148="X",Q148&lt;&gt;"O"),"",IFERROR(INDEX(고객법인일정파일!$H$4:$H$192,MATCH(P148,고객법인일정파일!$C$4:$C$192,0)),""))</f>
        <v/>
      </c>
    </row>
    <row r="149" spans="15:19">
      <c r="O149" s="11" t="str">
        <f>IF(IF(OR(NOT(ISBLANK(고객법인일정파일!B149)),ISBLANK(고객법인일정파일!C149),고객법인일정파일!C149="Total"),"",IF(ISNUMBER(FIND("-",고객법인일정파일!C149)),LEFT(고객법인일정파일!C149,FIND("-",고객법인일정파일!C149)-1),IF(ISNUMBER(FIND(" ",고객법인일정파일!C149)),LEFT(고객법인일정파일!C149,FIND(" ",고객법인일정파일!C149)-1),고객법인일정파일!C149)))="한총","sec",IF(OR(NOT(ISBLANK(고객법인일정파일!B149)),ISBLANK(고객법인일정파일!C149),고객법인일정파일!C149="Total"),"",IF(ISNUMBER(FIND("-",고객법인일정파일!C149)),LEFT(고객법인일정파일!C149,FIND("-",고객법인일정파일!C149)-1),IF(ISNUMBER(FIND(" ",고객법인일정파일!C149)),LEFT(고객법인일정파일!C149,FIND(" ",고객법인일정파일!C149)-1),고객법인일정파일!C149))))</f>
        <v/>
      </c>
      <c r="P149" s="11" t="str">
        <f>IF(ISBLANK(태깅기획site_code!F149),"",IF(COUNTIF(고객법인일정파일!$C$4:$C$200,태깅기획site_code!D149&amp;"-"&amp;UPPER(IF(ISNUMBER(FIND("_",태깅기획site_code!F149)),LEFT(태깅기획site_code!F149,FIND("_",태깅기획site_code!F149)-1),태깅기획site_code!F149)))&gt;0,태깅기획site_code!D149&amp;"-"&amp;UPPER(IF(ISNUMBER(FIND("_",태깅기획site_code!F149)),LEFT(태깅기획site_code!F149,FIND("_",태깅기획site_code!F149)-1),태깅기획site_code!F149)),IF(COUNTIF(고객법인일정파일!$C$4:$C$200,태깅기획site_code!D149&amp;" ("&amp;PROPER(LEFT(태깅기획site_code!F149,FIND("_",태깅기획site_code!F149)-1))&amp;"_"&amp;UPPER(MID(태깅기획site_code!F149,FIND("_",태깅기획site_code!F149)+1,20))&amp;")")&gt;0,태깅기획site_code!D149&amp;" ("&amp;PROPER(LEFT(태깅기획site_code!F149,FIND("_",태깅기획site_code!F149)-1))&amp;"_"&amp;UPPER(MID(태깅기획site_code!F149,FIND("_",태깅기획site_code!F149)+1,20))&amp;")",IF(COUNTIF(고객법인일정파일!$C$4:$C$200,태깅기획site_code!D149)&gt;0,태깅기획site_code!D149,IF(ISNUMBER(FIND("_",태깅기획site_code!F149)),"",IFERROR(INDEX(고객법인일정파일!$C$4:$C$200,MATCH(태깅기획site_code!D149,$O$4:$O$200,0)),IF(ISNUMBER(FIND("-",태깅기획site_code!D149)),IFERROR(INDEX(고객법인일정파일!$C$4:$C$200,MATCH(LEFT(태깅기획site_code!D149,FIND("-",태깅기획site_code!D149)-1),고객법인일정파일!$C$4:$C$200,0)),""),IF(태깅기획site_code!D149="SCA",IF(RIGHT(태깅기획site_code!F149,3)="_fr",IFERROR(INDEX(고객법인일정파일!$C$4:$C$200,MATCH("SEWA (Africa_FR)",고객법인일정파일!$C$4:$C$200,0)),""),IF(RIGHT(태깅기획site_code!F149,3)="_en",IFERROR(INDEX(고객법인일정파일!$C$4:$C$200,MATCH("SEWA (Africa_EN)",고객법인일정파일!$C$4:$C$200,0)),""),"")),""))))))))</f>
        <v/>
      </c>
      <c r="Q149" s="11" t="str">
        <f>IF(LEN(TRIM(P149))=0,"",IFERROR(INDEX(고객법인일정파일!$E$4:$E$192,MATCH(P149,고객법인일정파일!$C$4:$C$192,0)),""))</f>
        <v/>
      </c>
      <c r="R149" s="12" t="str">
        <f>IF(OR(LEN(TRIM(P149))=0,Q149="X",Q149&lt;&gt;"O"),"",IFERROR(INDEX(고객법인일정파일!$F$4:$F$192,MATCH(P149,고객법인일정파일!$C$4:$C$192,0)),""))</f>
        <v/>
      </c>
      <c r="S149" s="12" t="str">
        <f>IF(OR(LEN(TRIM(P149))=0,Q149="X",Q149&lt;&gt;"O"),"",IFERROR(INDEX(고객법인일정파일!$H$4:$H$192,MATCH(P149,고객법인일정파일!$C$4:$C$192,0)),""))</f>
        <v/>
      </c>
    </row>
    <row r="150" spans="15:19">
      <c r="O150" s="11" t="str">
        <f>IF(IF(OR(NOT(ISBLANK(고객법인일정파일!B150)),ISBLANK(고객법인일정파일!C150),고객법인일정파일!C150="Total"),"",IF(ISNUMBER(FIND("-",고객법인일정파일!C150)),LEFT(고객법인일정파일!C150,FIND("-",고객법인일정파일!C150)-1),IF(ISNUMBER(FIND(" ",고객법인일정파일!C150)),LEFT(고객법인일정파일!C150,FIND(" ",고객법인일정파일!C150)-1),고객법인일정파일!C150)))="한총","sec",IF(OR(NOT(ISBLANK(고객법인일정파일!B150)),ISBLANK(고객법인일정파일!C150),고객법인일정파일!C150="Total"),"",IF(ISNUMBER(FIND("-",고객법인일정파일!C150)),LEFT(고객법인일정파일!C150,FIND("-",고객법인일정파일!C150)-1),IF(ISNUMBER(FIND(" ",고객법인일정파일!C150)),LEFT(고객법인일정파일!C150,FIND(" ",고객법인일정파일!C150)-1),고객법인일정파일!C150))))</f>
        <v/>
      </c>
      <c r="P150" s="11" t="str">
        <f>IF(ISBLANK(태깅기획site_code!F150),"",IF(COUNTIF(고객법인일정파일!$C$4:$C$200,태깅기획site_code!D150&amp;"-"&amp;UPPER(IF(ISNUMBER(FIND("_",태깅기획site_code!F150)),LEFT(태깅기획site_code!F150,FIND("_",태깅기획site_code!F150)-1),태깅기획site_code!F150)))&gt;0,태깅기획site_code!D150&amp;"-"&amp;UPPER(IF(ISNUMBER(FIND("_",태깅기획site_code!F150)),LEFT(태깅기획site_code!F150,FIND("_",태깅기획site_code!F150)-1),태깅기획site_code!F150)),IF(COUNTIF(고객법인일정파일!$C$4:$C$200,태깅기획site_code!D150&amp;" ("&amp;PROPER(LEFT(태깅기획site_code!F150,FIND("_",태깅기획site_code!F150)-1))&amp;"_"&amp;UPPER(MID(태깅기획site_code!F150,FIND("_",태깅기획site_code!F150)+1,20))&amp;")")&gt;0,태깅기획site_code!D150&amp;" ("&amp;PROPER(LEFT(태깅기획site_code!F150,FIND("_",태깅기획site_code!F150)-1))&amp;"_"&amp;UPPER(MID(태깅기획site_code!F150,FIND("_",태깅기획site_code!F150)+1,20))&amp;")",IF(COUNTIF(고객법인일정파일!$C$4:$C$200,태깅기획site_code!D150)&gt;0,태깅기획site_code!D150,IF(ISNUMBER(FIND("_",태깅기획site_code!F150)),"",IFERROR(INDEX(고객법인일정파일!$C$4:$C$200,MATCH(태깅기획site_code!D150,$O$4:$O$200,0)),IF(ISNUMBER(FIND("-",태깅기획site_code!D150)),IFERROR(INDEX(고객법인일정파일!$C$4:$C$200,MATCH(LEFT(태깅기획site_code!D150,FIND("-",태깅기획site_code!D150)-1),고객법인일정파일!$C$4:$C$200,0)),""),IF(태깅기획site_code!D150="SCA",IF(RIGHT(태깅기획site_code!F150,3)="_fr",IFERROR(INDEX(고객법인일정파일!$C$4:$C$200,MATCH("SEWA (Africa_FR)",고객법인일정파일!$C$4:$C$200,0)),""),IF(RIGHT(태깅기획site_code!F150,3)="_en",IFERROR(INDEX(고객법인일정파일!$C$4:$C$200,MATCH("SEWA (Africa_EN)",고객법인일정파일!$C$4:$C$200,0)),""),"")),""))))))))</f>
        <v/>
      </c>
      <c r="Q150" s="11" t="str">
        <f>IF(LEN(TRIM(P150))=0,"",IFERROR(INDEX(고객법인일정파일!$E$4:$E$192,MATCH(P150,고객법인일정파일!$C$4:$C$192,0)),""))</f>
        <v/>
      </c>
      <c r="R150" s="12" t="str">
        <f>IF(OR(LEN(TRIM(P150))=0,Q150="X",Q150&lt;&gt;"O"),"",IFERROR(INDEX(고객법인일정파일!$F$4:$F$192,MATCH(P150,고객법인일정파일!$C$4:$C$192,0)),""))</f>
        <v/>
      </c>
      <c r="S150" s="12" t="str">
        <f>IF(OR(LEN(TRIM(P150))=0,Q150="X",Q150&lt;&gt;"O"),"",IFERROR(INDEX(고객법인일정파일!$H$4:$H$192,MATCH(P150,고객법인일정파일!$C$4:$C$192,0)),""))</f>
        <v/>
      </c>
    </row>
    <row r="151" spans="15:19">
      <c r="O151" s="11" t="str">
        <f>IF(IF(OR(NOT(ISBLANK(고객법인일정파일!B151)),ISBLANK(고객법인일정파일!C151),고객법인일정파일!C151="Total"),"",IF(ISNUMBER(FIND("-",고객법인일정파일!C151)),LEFT(고객법인일정파일!C151,FIND("-",고객법인일정파일!C151)-1),IF(ISNUMBER(FIND(" ",고객법인일정파일!C151)),LEFT(고객법인일정파일!C151,FIND(" ",고객법인일정파일!C151)-1),고객법인일정파일!C151)))="한총","sec",IF(OR(NOT(ISBLANK(고객법인일정파일!B151)),ISBLANK(고객법인일정파일!C151),고객법인일정파일!C151="Total"),"",IF(ISNUMBER(FIND("-",고객법인일정파일!C151)),LEFT(고객법인일정파일!C151,FIND("-",고객법인일정파일!C151)-1),IF(ISNUMBER(FIND(" ",고객법인일정파일!C151)),LEFT(고객법인일정파일!C151,FIND(" ",고객법인일정파일!C151)-1),고객법인일정파일!C151))))</f>
        <v/>
      </c>
      <c r="P151" s="11" t="str">
        <f>IF(ISBLANK(태깅기획site_code!F151),"",IF(COUNTIF(고객법인일정파일!$C$4:$C$200,태깅기획site_code!D151&amp;"-"&amp;UPPER(IF(ISNUMBER(FIND("_",태깅기획site_code!F151)),LEFT(태깅기획site_code!F151,FIND("_",태깅기획site_code!F151)-1),태깅기획site_code!F151)))&gt;0,태깅기획site_code!D151&amp;"-"&amp;UPPER(IF(ISNUMBER(FIND("_",태깅기획site_code!F151)),LEFT(태깅기획site_code!F151,FIND("_",태깅기획site_code!F151)-1),태깅기획site_code!F151)),IF(COUNTIF(고객법인일정파일!$C$4:$C$200,태깅기획site_code!D151&amp;" ("&amp;PROPER(LEFT(태깅기획site_code!F151,FIND("_",태깅기획site_code!F151)-1))&amp;"_"&amp;UPPER(MID(태깅기획site_code!F151,FIND("_",태깅기획site_code!F151)+1,20))&amp;")")&gt;0,태깅기획site_code!D151&amp;" ("&amp;PROPER(LEFT(태깅기획site_code!F151,FIND("_",태깅기획site_code!F151)-1))&amp;"_"&amp;UPPER(MID(태깅기획site_code!F151,FIND("_",태깅기획site_code!F151)+1,20))&amp;")",IF(COUNTIF(고객법인일정파일!$C$4:$C$200,태깅기획site_code!D151)&gt;0,태깅기획site_code!D151,IF(ISNUMBER(FIND("_",태깅기획site_code!F151)),"",IFERROR(INDEX(고객법인일정파일!$C$4:$C$200,MATCH(태깅기획site_code!D151,$O$4:$O$200,0)),IF(ISNUMBER(FIND("-",태깅기획site_code!D151)),IFERROR(INDEX(고객법인일정파일!$C$4:$C$200,MATCH(LEFT(태깅기획site_code!D151,FIND("-",태깅기획site_code!D151)-1),고객법인일정파일!$C$4:$C$200,0)),""),IF(태깅기획site_code!D151="SCA",IF(RIGHT(태깅기획site_code!F151,3)="_fr",IFERROR(INDEX(고객법인일정파일!$C$4:$C$200,MATCH("SEWA (Africa_FR)",고객법인일정파일!$C$4:$C$200,0)),""),IF(RIGHT(태깅기획site_code!F151,3)="_en",IFERROR(INDEX(고객법인일정파일!$C$4:$C$200,MATCH("SEWA (Africa_EN)",고객법인일정파일!$C$4:$C$200,0)),""),"")),""))))))))</f>
        <v/>
      </c>
      <c r="Q151" s="11" t="str">
        <f>IF(LEN(TRIM(P151))=0,"",IFERROR(INDEX(고객법인일정파일!$E$4:$E$192,MATCH(P151,고객법인일정파일!$C$4:$C$192,0)),""))</f>
        <v/>
      </c>
      <c r="R151" s="12" t="str">
        <f>IF(OR(LEN(TRIM(P151))=0,Q151="X",Q151&lt;&gt;"O"),"",IFERROR(INDEX(고객법인일정파일!$F$4:$F$192,MATCH(P151,고객법인일정파일!$C$4:$C$192,0)),""))</f>
        <v/>
      </c>
      <c r="S151" s="12" t="str">
        <f>IF(OR(LEN(TRIM(P151))=0,Q151="X",Q151&lt;&gt;"O"),"",IFERROR(INDEX(고객법인일정파일!$H$4:$H$192,MATCH(P151,고객법인일정파일!$C$4:$C$192,0)),""))</f>
        <v/>
      </c>
    </row>
    <row r="152" spans="15:19">
      <c r="O152" s="11" t="str">
        <f>IF(IF(OR(NOT(ISBLANK(고객법인일정파일!B152)),ISBLANK(고객법인일정파일!C152),고객법인일정파일!C152="Total"),"",IF(ISNUMBER(FIND("-",고객법인일정파일!C152)),LEFT(고객법인일정파일!C152,FIND("-",고객법인일정파일!C152)-1),IF(ISNUMBER(FIND(" ",고객법인일정파일!C152)),LEFT(고객법인일정파일!C152,FIND(" ",고객법인일정파일!C152)-1),고객법인일정파일!C152)))="한총","sec",IF(OR(NOT(ISBLANK(고객법인일정파일!B152)),ISBLANK(고객법인일정파일!C152),고객법인일정파일!C152="Total"),"",IF(ISNUMBER(FIND("-",고객법인일정파일!C152)),LEFT(고객법인일정파일!C152,FIND("-",고객법인일정파일!C152)-1),IF(ISNUMBER(FIND(" ",고객법인일정파일!C152)),LEFT(고객법인일정파일!C152,FIND(" ",고객법인일정파일!C152)-1),고객법인일정파일!C152))))</f>
        <v/>
      </c>
      <c r="P152" s="11" t="str">
        <f>IF(ISBLANK(태깅기획site_code!F152),"",IF(COUNTIF(고객법인일정파일!$C$4:$C$200,태깅기획site_code!D152&amp;"-"&amp;UPPER(IF(ISNUMBER(FIND("_",태깅기획site_code!F152)),LEFT(태깅기획site_code!F152,FIND("_",태깅기획site_code!F152)-1),태깅기획site_code!F152)))&gt;0,태깅기획site_code!D152&amp;"-"&amp;UPPER(IF(ISNUMBER(FIND("_",태깅기획site_code!F152)),LEFT(태깅기획site_code!F152,FIND("_",태깅기획site_code!F152)-1),태깅기획site_code!F152)),IF(COUNTIF(고객법인일정파일!$C$4:$C$200,태깅기획site_code!D152&amp;" ("&amp;PROPER(LEFT(태깅기획site_code!F152,FIND("_",태깅기획site_code!F152)-1))&amp;"_"&amp;UPPER(MID(태깅기획site_code!F152,FIND("_",태깅기획site_code!F152)+1,20))&amp;")")&gt;0,태깅기획site_code!D152&amp;" ("&amp;PROPER(LEFT(태깅기획site_code!F152,FIND("_",태깅기획site_code!F152)-1))&amp;"_"&amp;UPPER(MID(태깅기획site_code!F152,FIND("_",태깅기획site_code!F152)+1,20))&amp;")",IF(COUNTIF(고객법인일정파일!$C$4:$C$200,태깅기획site_code!D152)&gt;0,태깅기획site_code!D152,IF(ISNUMBER(FIND("_",태깅기획site_code!F152)),"",IFERROR(INDEX(고객법인일정파일!$C$4:$C$200,MATCH(태깅기획site_code!D152,$O$4:$O$200,0)),IF(ISNUMBER(FIND("-",태깅기획site_code!D152)),IFERROR(INDEX(고객법인일정파일!$C$4:$C$200,MATCH(LEFT(태깅기획site_code!D152,FIND("-",태깅기획site_code!D152)-1),고객법인일정파일!$C$4:$C$200,0)),""),IF(태깅기획site_code!D152="SCA",IF(RIGHT(태깅기획site_code!F152,3)="_fr",IFERROR(INDEX(고객법인일정파일!$C$4:$C$200,MATCH("SEWA (Africa_FR)",고객법인일정파일!$C$4:$C$200,0)),""),IF(RIGHT(태깅기획site_code!F152,3)="_en",IFERROR(INDEX(고객법인일정파일!$C$4:$C$200,MATCH("SEWA (Africa_EN)",고객법인일정파일!$C$4:$C$200,0)),""),"")),""))))))))</f>
        <v/>
      </c>
      <c r="Q152" s="11" t="str">
        <f>IF(LEN(TRIM(P152))=0,"",IFERROR(INDEX(고객법인일정파일!$E$4:$E$192,MATCH(P152,고객법인일정파일!$C$4:$C$192,0)),""))</f>
        <v/>
      </c>
      <c r="R152" s="12" t="str">
        <f>IF(OR(LEN(TRIM(P152))=0,Q152="X",Q152&lt;&gt;"O"),"",IFERROR(INDEX(고객법인일정파일!$F$4:$F$192,MATCH(P152,고객법인일정파일!$C$4:$C$192,0)),""))</f>
        <v/>
      </c>
      <c r="S152" s="12" t="str">
        <f>IF(OR(LEN(TRIM(P152))=0,Q152="X",Q152&lt;&gt;"O"),"",IFERROR(INDEX(고객법인일정파일!$H$4:$H$192,MATCH(P152,고객법인일정파일!$C$4:$C$192,0)),""))</f>
        <v/>
      </c>
    </row>
    <row r="153" spans="15:19">
      <c r="O153" s="11" t="str">
        <f>IF(IF(OR(NOT(ISBLANK(고객법인일정파일!B153)),ISBLANK(고객법인일정파일!C153),고객법인일정파일!C153="Total"),"",IF(ISNUMBER(FIND("-",고객법인일정파일!C153)),LEFT(고객법인일정파일!C153,FIND("-",고객법인일정파일!C153)-1),IF(ISNUMBER(FIND(" ",고객법인일정파일!C153)),LEFT(고객법인일정파일!C153,FIND(" ",고객법인일정파일!C153)-1),고객법인일정파일!C153)))="한총","sec",IF(OR(NOT(ISBLANK(고객법인일정파일!B153)),ISBLANK(고객법인일정파일!C153),고객법인일정파일!C153="Total"),"",IF(ISNUMBER(FIND("-",고객법인일정파일!C153)),LEFT(고객법인일정파일!C153,FIND("-",고객법인일정파일!C153)-1),IF(ISNUMBER(FIND(" ",고객법인일정파일!C153)),LEFT(고객법인일정파일!C153,FIND(" ",고객법인일정파일!C153)-1),고객법인일정파일!C153))))</f>
        <v/>
      </c>
      <c r="P153" s="11" t="str">
        <f>IF(ISBLANK(태깅기획site_code!F153),"",IF(COUNTIF(고객법인일정파일!$C$4:$C$200,태깅기획site_code!D153&amp;"-"&amp;UPPER(IF(ISNUMBER(FIND("_",태깅기획site_code!F153)),LEFT(태깅기획site_code!F153,FIND("_",태깅기획site_code!F153)-1),태깅기획site_code!F153)))&gt;0,태깅기획site_code!D153&amp;"-"&amp;UPPER(IF(ISNUMBER(FIND("_",태깅기획site_code!F153)),LEFT(태깅기획site_code!F153,FIND("_",태깅기획site_code!F153)-1),태깅기획site_code!F153)),IF(COUNTIF(고객법인일정파일!$C$4:$C$200,태깅기획site_code!D153&amp;" ("&amp;PROPER(LEFT(태깅기획site_code!F153,FIND("_",태깅기획site_code!F153)-1))&amp;"_"&amp;UPPER(MID(태깅기획site_code!F153,FIND("_",태깅기획site_code!F153)+1,20))&amp;")")&gt;0,태깅기획site_code!D153&amp;" ("&amp;PROPER(LEFT(태깅기획site_code!F153,FIND("_",태깅기획site_code!F153)-1))&amp;"_"&amp;UPPER(MID(태깅기획site_code!F153,FIND("_",태깅기획site_code!F153)+1,20))&amp;")",IF(COUNTIF(고객법인일정파일!$C$4:$C$200,태깅기획site_code!D153)&gt;0,태깅기획site_code!D153,IF(ISNUMBER(FIND("_",태깅기획site_code!F153)),"",IFERROR(INDEX(고객법인일정파일!$C$4:$C$200,MATCH(태깅기획site_code!D153,$O$4:$O$200,0)),IF(ISNUMBER(FIND("-",태깅기획site_code!D153)),IFERROR(INDEX(고객법인일정파일!$C$4:$C$200,MATCH(LEFT(태깅기획site_code!D153,FIND("-",태깅기획site_code!D153)-1),고객법인일정파일!$C$4:$C$200,0)),""),IF(태깅기획site_code!D153="SCA",IF(RIGHT(태깅기획site_code!F153,3)="_fr",IFERROR(INDEX(고객법인일정파일!$C$4:$C$200,MATCH("SEWA (Africa_FR)",고객법인일정파일!$C$4:$C$200,0)),""),IF(RIGHT(태깅기획site_code!F153,3)="_en",IFERROR(INDEX(고객법인일정파일!$C$4:$C$200,MATCH("SEWA (Africa_EN)",고객법인일정파일!$C$4:$C$200,0)),""),"")),""))))))))</f>
        <v/>
      </c>
      <c r="Q153" s="11" t="str">
        <f>IF(LEN(TRIM(P153))=0,"",IFERROR(INDEX(고객법인일정파일!$E$4:$E$192,MATCH(P153,고객법인일정파일!$C$4:$C$192,0)),""))</f>
        <v/>
      </c>
      <c r="R153" s="12" t="str">
        <f>IF(OR(LEN(TRIM(P153))=0,Q153="X",Q153&lt;&gt;"O"),"",IFERROR(INDEX(고객법인일정파일!$F$4:$F$192,MATCH(P153,고객법인일정파일!$C$4:$C$192,0)),""))</f>
        <v/>
      </c>
      <c r="S153" s="12" t="str">
        <f>IF(OR(LEN(TRIM(P153))=0,Q153="X",Q153&lt;&gt;"O"),"",IFERROR(INDEX(고객법인일정파일!$H$4:$H$192,MATCH(P153,고객법인일정파일!$C$4:$C$192,0)),""))</f>
        <v/>
      </c>
    </row>
    <row r="154" spans="15:19">
      <c r="O154" s="11" t="str">
        <f>IF(IF(OR(NOT(ISBLANK(고객법인일정파일!B154)),ISBLANK(고객법인일정파일!C154),고객법인일정파일!C154="Total"),"",IF(ISNUMBER(FIND("-",고객법인일정파일!C154)),LEFT(고객법인일정파일!C154,FIND("-",고객법인일정파일!C154)-1),IF(ISNUMBER(FIND(" ",고객법인일정파일!C154)),LEFT(고객법인일정파일!C154,FIND(" ",고객법인일정파일!C154)-1),고객법인일정파일!C154)))="한총","sec",IF(OR(NOT(ISBLANK(고객법인일정파일!B154)),ISBLANK(고객법인일정파일!C154),고객법인일정파일!C154="Total"),"",IF(ISNUMBER(FIND("-",고객법인일정파일!C154)),LEFT(고객법인일정파일!C154,FIND("-",고객법인일정파일!C154)-1),IF(ISNUMBER(FIND(" ",고객법인일정파일!C154)),LEFT(고객법인일정파일!C154,FIND(" ",고객법인일정파일!C154)-1),고객법인일정파일!C154))))</f>
        <v/>
      </c>
      <c r="P154" s="11" t="str">
        <f>IF(ISBLANK(태깅기획site_code!F154),"",IF(COUNTIF(고객법인일정파일!$C$4:$C$200,태깅기획site_code!D154&amp;"-"&amp;UPPER(IF(ISNUMBER(FIND("_",태깅기획site_code!F154)),LEFT(태깅기획site_code!F154,FIND("_",태깅기획site_code!F154)-1),태깅기획site_code!F154)))&gt;0,태깅기획site_code!D154&amp;"-"&amp;UPPER(IF(ISNUMBER(FIND("_",태깅기획site_code!F154)),LEFT(태깅기획site_code!F154,FIND("_",태깅기획site_code!F154)-1),태깅기획site_code!F154)),IF(COUNTIF(고객법인일정파일!$C$4:$C$200,태깅기획site_code!D154&amp;" ("&amp;PROPER(LEFT(태깅기획site_code!F154,FIND("_",태깅기획site_code!F154)-1))&amp;"_"&amp;UPPER(MID(태깅기획site_code!F154,FIND("_",태깅기획site_code!F154)+1,20))&amp;")")&gt;0,태깅기획site_code!D154&amp;" ("&amp;PROPER(LEFT(태깅기획site_code!F154,FIND("_",태깅기획site_code!F154)-1))&amp;"_"&amp;UPPER(MID(태깅기획site_code!F154,FIND("_",태깅기획site_code!F154)+1,20))&amp;")",IF(COUNTIF(고객법인일정파일!$C$4:$C$200,태깅기획site_code!D154)&gt;0,태깅기획site_code!D154,IF(ISNUMBER(FIND("_",태깅기획site_code!F154)),"",IFERROR(INDEX(고객법인일정파일!$C$4:$C$200,MATCH(태깅기획site_code!D154,$O$4:$O$200,0)),IF(ISNUMBER(FIND("-",태깅기획site_code!D154)),IFERROR(INDEX(고객법인일정파일!$C$4:$C$200,MATCH(LEFT(태깅기획site_code!D154,FIND("-",태깅기획site_code!D154)-1),고객법인일정파일!$C$4:$C$200,0)),""),IF(태깅기획site_code!D154="SCA",IF(RIGHT(태깅기획site_code!F154,3)="_fr",IFERROR(INDEX(고객법인일정파일!$C$4:$C$200,MATCH("SEWA (Africa_FR)",고객법인일정파일!$C$4:$C$200,0)),""),IF(RIGHT(태깅기획site_code!F154,3)="_en",IFERROR(INDEX(고객법인일정파일!$C$4:$C$200,MATCH("SEWA (Africa_EN)",고객법인일정파일!$C$4:$C$200,0)),""),"")),""))))))))</f>
        <v/>
      </c>
      <c r="Q154" s="11" t="str">
        <f>IF(LEN(TRIM(P154))=0,"",IFERROR(INDEX(고객법인일정파일!$E$4:$E$192,MATCH(P154,고객법인일정파일!$C$4:$C$192,0)),""))</f>
        <v/>
      </c>
      <c r="R154" s="12" t="str">
        <f>IF(OR(LEN(TRIM(P154))=0,Q154="X",Q154&lt;&gt;"O"),"",IFERROR(INDEX(고객법인일정파일!$F$4:$F$192,MATCH(P154,고객법인일정파일!$C$4:$C$192,0)),""))</f>
        <v/>
      </c>
      <c r="S154" s="12" t="str">
        <f>IF(OR(LEN(TRIM(P154))=0,Q154="X",Q154&lt;&gt;"O"),"",IFERROR(INDEX(고객법인일정파일!$H$4:$H$192,MATCH(P154,고객법인일정파일!$C$4:$C$192,0)),""))</f>
        <v/>
      </c>
    </row>
    <row r="155" spans="15:19">
      <c r="O155" s="11" t="str">
        <f>IF(IF(OR(NOT(ISBLANK(고객법인일정파일!B155)),ISBLANK(고객법인일정파일!C155),고객법인일정파일!C155="Total"),"",IF(ISNUMBER(FIND("-",고객법인일정파일!C155)),LEFT(고객법인일정파일!C155,FIND("-",고객법인일정파일!C155)-1),IF(ISNUMBER(FIND(" ",고객법인일정파일!C155)),LEFT(고객법인일정파일!C155,FIND(" ",고객법인일정파일!C155)-1),고객법인일정파일!C155)))="한총","sec",IF(OR(NOT(ISBLANK(고객법인일정파일!B155)),ISBLANK(고객법인일정파일!C155),고객법인일정파일!C155="Total"),"",IF(ISNUMBER(FIND("-",고객법인일정파일!C155)),LEFT(고객법인일정파일!C155,FIND("-",고객법인일정파일!C155)-1),IF(ISNUMBER(FIND(" ",고객법인일정파일!C155)),LEFT(고객법인일정파일!C155,FIND(" ",고객법인일정파일!C155)-1),고객법인일정파일!C155))))</f>
        <v/>
      </c>
      <c r="P155" s="11" t="str">
        <f>IF(ISBLANK(태깅기획site_code!F155),"",IF(COUNTIF(고객법인일정파일!$C$4:$C$200,태깅기획site_code!D155&amp;"-"&amp;UPPER(IF(ISNUMBER(FIND("_",태깅기획site_code!F155)),LEFT(태깅기획site_code!F155,FIND("_",태깅기획site_code!F155)-1),태깅기획site_code!F155)))&gt;0,태깅기획site_code!D155&amp;"-"&amp;UPPER(IF(ISNUMBER(FIND("_",태깅기획site_code!F155)),LEFT(태깅기획site_code!F155,FIND("_",태깅기획site_code!F155)-1),태깅기획site_code!F155)),IF(COUNTIF(고객법인일정파일!$C$4:$C$200,태깅기획site_code!D155&amp;" ("&amp;PROPER(LEFT(태깅기획site_code!F155,FIND("_",태깅기획site_code!F155)-1))&amp;"_"&amp;UPPER(MID(태깅기획site_code!F155,FIND("_",태깅기획site_code!F155)+1,20))&amp;")")&gt;0,태깅기획site_code!D155&amp;" ("&amp;PROPER(LEFT(태깅기획site_code!F155,FIND("_",태깅기획site_code!F155)-1))&amp;"_"&amp;UPPER(MID(태깅기획site_code!F155,FIND("_",태깅기획site_code!F155)+1,20))&amp;")",IF(COUNTIF(고객법인일정파일!$C$4:$C$200,태깅기획site_code!D155)&gt;0,태깅기획site_code!D155,IF(ISNUMBER(FIND("_",태깅기획site_code!F155)),"",IFERROR(INDEX(고객법인일정파일!$C$4:$C$200,MATCH(태깅기획site_code!D155,$O$4:$O$200,0)),IF(ISNUMBER(FIND("-",태깅기획site_code!D155)),IFERROR(INDEX(고객법인일정파일!$C$4:$C$200,MATCH(LEFT(태깅기획site_code!D155,FIND("-",태깅기획site_code!D155)-1),고객법인일정파일!$C$4:$C$200,0)),""),IF(태깅기획site_code!D155="SCA",IF(RIGHT(태깅기획site_code!F155,3)="_fr",IFERROR(INDEX(고객법인일정파일!$C$4:$C$200,MATCH("SEWA (Africa_FR)",고객법인일정파일!$C$4:$C$200,0)),""),IF(RIGHT(태깅기획site_code!F155,3)="_en",IFERROR(INDEX(고객법인일정파일!$C$4:$C$200,MATCH("SEWA (Africa_EN)",고객법인일정파일!$C$4:$C$200,0)),""),"")),""))))))))</f>
        <v/>
      </c>
      <c r="Q155" s="11" t="str">
        <f>IF(LEN(TRIM(P155))=0,"",IFERROR(INDEX(고객법인일정파일!$E$4:$E$192,MATCH(P155,고객법인일정파일!$C$4:$C$192,0)),""))</f>
        <v/>
      </c>
      <c r="R155" s="12" t="str">
        <f>IF(OR(LEN(TRIM(P155))=0,Q155="X",Q155&lt;&gt;"O"),"",IFERROR(INDEX(고객법인일정파일!$F$4:$F$192,MATCH(P155,고객법인일정파일!$C$4:$C$192,0)),""))</f>
        <v/>
      </c>
      <c r="S155" s="12" t="str">
        <f>IF(OR(LEN(TRIM(P155))=0,Q155="X",Q155&lt;&gt;"O"),"",IFERROR(INDEX(고객법인일정파일!$H$4:$H$192,MATCH(P155,고객법인일정파일!$C$4:$C$192,0)),""))</f>
        <v/>
      </c>
    </row>
    <row r="156" spans="15:19">
      <c r="O156" s="11" t="str">
        <f>IF(IF(OR(NOT(ISBLANK(고객법인일정파일!B156)),ISBLANK(고객법인일정파일!C156),고객법인일정파일!C156="Total"),"",IF(ISNUMBER(FIND("-",고객법인일정파일!C156)),LEFT(고객법인일정파일!C156,FIND("-",고객법인일정파일!C156)-1),IF(ISNUMBER(FIND(" ",고객법인일정파일!C156)),LEFT(고객법인일정파일!C156,FIND(" ",고객법인일정파일!C156)-1),고객법인일정파일!C156)))="한총","sec",IF(OR(NOT(ISBLANK(고객법인일정파일!B156)),ISBLANK(고객법인일정파일!C156),고객법인일정파일!C156="Total"),"",IF(ISNUMBER(FIND("-",고객법인일정파일!C156)),LEFT(고객법인일정파일!C156,FIND("-",고객법인일정파일!C156)-1),IF(ISNUMBER(FIND(" ",고객법인일정파일!C156)),LEFT(고객법인일정파일!C156,FIND(" ",고객법인일정파일!C156)-1),고객법인일정파일!C156))))</f>
        <v/>
      </c>
      <c r="P156" s="11" t="str">
        <f>IF(ISBLANK(태깅기획site_code!F156),"",IF(COUNTIF(고객법인일정파일!$C$4:$C$200,태깅기획site_code!D156&amp;"-"&amp;UPPER(IF(ISNUMBER(FIND("_",태깅기획site_code!F156)),LEFT(태깅기획site_code!F156,FIND("_",태깅기획site_code!F156)-1),태깅기획site_code!F156)))&gt;0,태깅기획site_code!D156&amp;"-"&amp;UPPER(IF(ISNUMBER(FIND("_",태깅기획site_code!F156)),LEFT(태깅기획site_code!F156,FIND("_",태깅기획site_code!F156)-1),태깅기획site_code!F156)),IF(COUNTIF(고객법인일정파일!$C$4:$C$200,태깅기획site_code!D156&amp;" ("&amp;PROPER(LEFT(태깅기획site_code!F156,FIND("_",태깅기획site_code!F156)-1))&amp;"_"&amp;UPPER(MID(태깅기획site_code!F156,FIND("_",태깅기획site_code!F156)+1,20))&amp;")")&gt;0,태깅기획site_code!D156&amp;" ("&amp;PROPER(LEFT(태깅기획site_code!F156,FIND("_",태깅기획site_code!F156)-1))&amp;"_"&amp;UPPER(MID(태깅기획site_code!F156,FIND("_",태깅기획site_code!F156)+1,20))&amp;")",IF(COUNTIF(고객법인일정파일!$C$4:$C$200,태깅기획site_code!D156)&gt;0,태깅기획site_code!D156,IF(ISNUMBER(FIND("_",태깅기획site_code!F156)),"",IFERROR(INDEX(고객법인일정파일!$C$4:$C$200,MATCH(태깅기획site_code!D156,$O$4:$O$200,0)),IF(ISNUMBER(FIND("-",태깅기획site_code!D156)),IFERROR(INDEX(고객법인일정파일!$C$4:$C$200,MATCH(LEFT(태깅기획site_code!D156,FIND("-",태깅기획site_code!D156)-1),고객법인일정파일!$C$4:$C$200,0)),""),IF(태깅기획site_code!D156="SCA",IF(RIGHT(태깅기획site_code!F156,3)="_fr",IFERROR(INDEX(고객법인일정파일!$C$4:$C$200,MATCH("SEWA (Africa_FR)",고객법인일정파일!$C$4:$C$200,0)),""),IF(RIGHT(태깅기획site_code!F156,3)="_en",IFERROR(INDEX(고객법인일정파일!$C$4:$C$200,MATCH("SEWA (Africa_EN)",고객법인일정파일!$C$4:$C$200,0)),""),"")),""))))))))</f>
        <v/>
      </c>
      <c r="Q156" s="11" t="str">
        <f>IF(LEN(TRIM(P156))=0,"",IFERROR(INDEX(고객법인일정파일!$E$4:$E$192,MATCH(P156,고객법인일정파일!$C$4:$C$192,0)),""))</f>
        <v/>
      </c>
      <c r="R156" s="12" t="str">
        <f>IF(OR(LEN(TRIM(P156))=0,Q156="X",Q156&lt;&gt;"O"),"",IFERROR(INDEX(고객법인일정파일!$F$4:$F$192,MATCH(P156,고객법인일정파일!$C$4:$C$192,0)),""))</f>
        <v/>
      </c>
      <c r="S156" s="12" t="str">
        <f>IF(OR(LEN(TRIM(P156))=0,Q156="X",Q156&lt;&gt;"O"),"",IFERROR(INDEX(고객법인일정파일!$H$4:$H$192,MATCH(P156,고객법인일정파일!$C$4:$C$192,0)),""))</f>
        <v/>
      </c>
    </row>
    <row r="157" spans="15:19">
      <c r="O157" s="11" t="str">
        <f>IF(IF(OR(NOT(ISBLANK(고객법인일정파일!B157)),ISBLANK(고객법인일정파일!C157),고객법인일정파일!C157="Total"),"",IF(ISNUMBER(FIND("-",고객법인일정파일!C157)),LEFT(고객법인일정파일!C157,FIND("-",고객법인일정파일!C157)-1),IF(ISNUMBER(FIND(" ",고객법인일정파일!C157)),LEFT(고객법인일정파일!C157,FIND(" ",고객법인일정파일!C157)-1),고객법인일정파일!C157)))="한총","sec",IF(OR(NOT(ISBLANK(고객법인일정파일!B157)),ISBLANK(고객법인일정파일!C157),고객법인일정파일!C157="Total"),"",IF(ISNUMBER(FIND("-",고객법인일정파일!C157)),LEFT(고객법인일정파일!C157,FIND("-",고객법인일정파일!C157)-1),IF(ISNUMBER(FIND(" ",고객법인일정파일!C157)),LEFT(고객법인일정파일!C157,FIND(" ",고객법인일정파일!C157)-1),고객법인일정파일!C157))))</f>
        <v/>
      </c>
      <c r="P157" s="11" t="str">
        <f>IF(ISBLANK(태깅기획site_code!F157),"",IF(COUNTIF(고객법인일정파일!$C$4:$C$200,태깅기획site_code!D157&amp;"-"&amp;UPPER(IF(ISNUMBER(FIND("_",태깅기획site_code!F157)),LEFT(태깅기획site_code!F157,FIND("_",태깅기획site_code!F157)-1),태깅기획site_code!F157)))&gt;0,태깅기획site_code!D157&amp;"-"&amp;UPPER(IF(ISNUMBER(FIND("_",태깅기획site_code!F157)),LEFT(태깅기획site_code!F157,FIND("_",태깅기획site_code!F157)-1),태깅기획site_code!F157)),IF(COUNTIF(고객법인일정파일!$C$4:$C$200,태깅기획site_code!D157&amp;" ("&amp;PROPER(LEFT(태깅기획site_code!F157,FIND("_",태깅기획site_code!F157)-1))&amp;"_"&amp;UPPER(MID(태깅기획site_code!F157,FIND("_",태깅기획site_code!F157)+1,20))&amp;")")&gt;0,태깅기획site_code!D157&amp;" ("&amp;PROPER(LEFT(태깅기획site_code!F157,FIND("_",태깅기획site_code!F157)-1))&amp;"_"&amp;UPPER(MID(태깅기획site_code!F157,FIND("_",태깅기획site_code!F157)+1,20))&amp;")",IF(COUNTIF(고객법인일정파일!$C$4:$C$200,태깅기획site_code!D157)&gt;0,태깅기획site_code!D157,IF(ISNUMBER(FIND("_",태깅기획site_code!F157)),"",IFERROR(INDEX(고객법인일정파일!$C$4:$C$200,MATCH(태깅기획site_code!D157,$O$4:$O$200,0)),IF(ISNUMBER(FIND("-",태깅기획site_code!D157)),IFERROR(INDEX(고객법인일정파일!$C$4:$C$200,MATCH(LEFT(태깅기획site_code!D157,FIND("-",태깅기획site_code!D157)-1),고객법인일정파일!$C$4:$C$200,0)),""),IF(태깅기획site_code!D157="SCA",IF(RIGHT(태깅기획site_code!F157,3)="_fr",IFERROR(INDEX(고객법인일정파일!$C$4:$C$200,MATCH("SEWA (Africa_FR)",고객법인일정파일!$C$4:$C$200,0)),""),IF(RIGHT(태깅기획site_code!F157,3)="_en",IFERROR(INDEX(고객법인일정파일!$C$4:$C$200,MATCH("SEWA (Africa_EN)",고객법인일정파일!$C$4:$C$200,0)),""),"")),""))))))))</f>
        <v/>
      </c>
      <c r="Q157" s="11" t="str">
        <f>IF(LEN(TRIM(P157))=0,"",IFERROR(INDEX(고객법인일정파일!$E$4:$E$192,MATCH(P157,고객법인일정파일!$C$4:$C$192,0)),""))</f>
        <v/>
      </c>
      <c r="R157" s="12" t="str">
        <f>IF(OR(LEN(TRIM(P157))=0,Q157="X",Q157&lt;&gt;"O"),"",IFERROR(INDEX(고객법인일정파일!$F$4:$F$192,MATCH(P157,고객법인일정파일!$C$4:$C$192,0)),""))</f>
        <v/>
      </c>
      <c r="S157" s="12" t="str">
        <f>IF(OR(LEN(TRIM(P157))=0,Q157="X",Q157&lt;&gt;"O"),"",IFERROR(INDEX(고객법인일정파일!$H$4:$H$192,MATCH(P157,고객법인일정파일!$C$4:$C$192,0)),""))</f>
        <v/>
      </c>
    </row>
    <row r="158" spans="15:19">
      <c r="O158" s="11" t="str">
        <f>IF(IF(OR(NOT(ISBLANK(고객법인일정파일!B158)),ISBLANK(고객법인일정파일!C158),고객법인일정파일!C158="Total"),"",IF(ISNUMBER(FIND("-",고객법인일정파일!C158)),LEFT(고객법인일정파일!C158,FIND("-",고객법인일정파일!C158)-1),IF(ISNUMBER(FIND(" ",고객법인일정파일!C158)),LEFT(고객법인일정파일!C158,FIND(" ",고객법인일정파일!C158)-1),고객법인일정파일!C158)))="한총","sec",IF(OR(NOT(ISBLANK(고객법인일정파일!B158)),ISBLANK(고객법인일정파일!C158),고객법인일정파일!C158="Total"),"",IF(ISNUMBER(FIND("-",고객법인일정파일!C158)),LEFT(고객법인일정파일!C158,FIND("-",고객법인일정파일!C158)-1),IF(ISNUMBER(FIND(" ",고객법인일정파일!C158)),LEFT(고객법인일정파일!C158,FIND(" ",고객법인일정파일!C158)-1),고객법인일정파일!C158))))</f>
        <v/>
      </c>
      <c r="P158" s="11" t="str">
        <f>IF(ISBLANK(태깅기획site_code!F158),"",IF(COUNTIF(고객법인일정파일!$C$4:$C$200,태깅기획site_code!D158&amp;"-"&amp;UPPER(IF(ISNUMBER(FIND("_",태깅기획site_code!F158)),LEFT(태깅기획site_code!F158,FIND("_",태깅기획site_code!F158)-1),태깅기획site_code!F158)))&gt;0,태깅기획site_code!D158&amp;"-"&amp;UPPER(IF(ISNUMBER(FIND("_",태깅기획site_code!F158)),LEFT(태깅기획site_code!F158,FIND("_",태깅기획site_code!F158)-1),태깅기획site_code!F158)),IF(COUNTIF(고객법인일정파일!$C$4:$C$200,태깅기획site_code!D158&amp;" ("&amp;PROPER(LEFT(태깅기획site_code!F158,FIND("_",태깅기획site_code!F158)-1))&amp;"_"&amp;UPPER(MID(태깅기획site_code!F158,FIND("_",태깅기획site_code!F158)+1,20))&amp;")")&gt;0,태깅기획site_code!D158&amp;" ("&amp;PROPER(LEFT(태깅기획site_code!F158,FIND("_",태깅기획site_code!F158)-1))&amp;"_"&amp;UPPER(MID(태깅기획site_code!F158,FIND("_",태깅기획site_code!F158)+1,20))&amp;")",IF(COUNTIF(고객법인일정파일!$C$4:$C$200,태깅기획site_code!D158)&gt;0,태깅기획site_code!D158,IF(ISNUMBER(FIND("_",태깅기획site_code!F158)),"",IFERROR(INDEX(고객법인일정파일!$C$4:$C$200,MATCH(태깅기획site_code!D158,$O$4:$O$200,0)),IF(ISNUMBER(FIND("-",태깅기획site_code!D158)),IFERROR(INDEX(고객법인일정파일!$C$4:$C$200,MATCH(LEFT(태깅기획site_code!D158,FIND("-",태깅기획site_code!D158)-1),고객법인일정파일!$C$4:$C$200,0)),""),IF(태깅기획site_code!D158="SCA",IF(RIGHT(태깅기획site_code!F158,3)="_fr",IFERROR(INDEX(고객법인일정파일!$C$4:$C$200,MATCH("SEWA (Africa_FR)",고객법인일정파일!$C$4:$C$200,0)),""),IF(RIGHT(태깅기획site_code!F158,3)="_en",IFERROR(INDEX(고객법인일정파일!$C$4:$C$200,MATCH("SEWA (Africa_EN)",고객법인일정파일!$C$4:$C$200,0)),""),"")),""))))))))</f>
        <v/>
      </c>
      <c r="Q158" s="11" t="str">
        <f>IF(LEN(TRIM(P158))=0,"",IFERROR(INDEX(고객법인일정파일!$E$4:$E$192,MATCH(P158,고객법인일정파일!$C$4:$C$192,0)),""))</f>
        <v/>
      </c>
      <c r="R158" s="12" t="str">
        <f>IF(OR(LEN(TRIM(P158))=0,Q158="X",Q158&lt;&gt;"O"),"",IFERROR(INDEX(고객법인일정파일!$F$4:$F$192,MATCH(P158,고객법인일정파일!$C$4:$C$192,0)),""))</f>
        <v/>
      </c>
      <c r="S158" s="12" t="str">
        <f>IF(OR(LEN(TRIM(P158))=0,Q158="X",Q158&lt;&gt;"O"),"",IFERROR(INDEX(고객법인일정파일!$H$4:$H$192,MATCH(P158,고객법인일정파일!$C$4:$C$192,0)),""))</f>
        <v/>
      </c>
    </row>
    <row r="159" spans="15:19">
      <c r="O159" s="11" t="str">
        <f>IF(IF(OR(NOT(ISBLANK(고객법인일정파일!B159)),ISBLANK(고객법인일정파일!C159),고객법인일정파일!C159="Total"),"",IF(ISNUMBER(FIND("-",고객법인일정파일!C159)),LEFT(고객법인일정파일!C159,FIND("-",고객법인일정파일!C159)-1),IF(ISNUMBER(FIND(" ",고객법인일정파일!C159)),LEFT(고객법인일정파일!C159,FIND(" ",고객법인일정파일!C159)-1),고객법인일정파일!C159)))="한총","sec",IF(OR(NOT(ISBLANK(고객법인일정파일!B159)),ISBLANK(고객법인일정파일!C159),고객법인일정파일!C159="Total"),"",IF(ISNUMBER(FIND("-",고객법인일정파일!C159)),LEFT(고객법인일정파일!C159,FIND("-",고객법인일정파일!C159)-1),IF(ISNUMBER(FIND(" ",고객법인일정파일!C159)),LEFT(고객법인일정파일!C159,FIND(" ",고객법인일정파일!C159)-1),고객법인일정파일!C159))))</f>
        <v/>
      </c>
      <c r="P159" s="11" t="str">
        <f>IF(ISBLANK(태깅기획site_code!F159),"",IF(COUNTIF(고객법인일정파일!$C$4:$C$200,태깅기획site_code!D159&amp;"-"&amp;UPPER(IF(ISNUMBER(FIND("_",태깅기획site_code!F159)),LEFT(태깅기획site_code!F159,FIND("_",태깅기획site_code!F159)-1),태깅기획site_code!F159)))&gt;0,태깅기획site_code!D159&amp;"-"&amp;UPPER(IF(ISNUMBER(FIND("_",태깅기획site_code!F159)),LEFT(태깅기획site_code!F159,FIND("_",태깅기획site_code!F159)-1),태깅기획site_code!F159)),IF(COUNTIF(고객법인일정파일!$C$4:$C$200,태깅기획site_code!D159&amp;" ("&amp;PROPER(LEFT(태깅기획site_code!F159,FIND("_",태깅기획site_code!F159)-1))&amp;"_"&amp;UPPER(MID(태깅기획site_code!F159,FIND("_",태깅기획site_code!F159)+1,20))&amp;")")&gt;0,태깅기획site_code!D159&amp;" ("&amp;PROPER(LEFT(태깅기획site_code!F159,FIND("_",태깅기획site_code!F159)-1))&amp;"_"&amp;UPPER(MID(태깅기획site_code!F159,FIND("_",태깅기획site_code!F159)+1,20))&amp;")",IF(COUNTIF(고객법인일정파일!$C$4:$C$200,태깅기획site_code!D159)&gt;0,태깅기획site_code!D159,IF(ISNUMBER(FIND("_",태깅기획site_code!F159)),"",IFERROR(INDEX(고객법인일정파일!$C$4:$C$200,MATCH(태깅기획site_code!D159,$O$4:$O$200,0)),IF(ISNUMBER(FIND("-",태깅기획site_code!D159)),IFERROR(INDEX(고객법인일정파일!$C$4:$C$200,MATCH(LEFT(태깅기획site_code!D159,FIND("-",태깅기획site_code!D159)-1),고객법인일정파일!$C$4:$C$200,0)),""),IF(태깅기획site_code!D159="SCA",IF(RIGHT(태깅기획site_code!F159,3)="_fr",IFERROR(INDEX(고객법인일정파일!$C$4:$C$200,MATCH("SEWA (Africa_FR)",고객법인일정파일!$C$4:$C$200,0)),""),IF(RIGHT(태깅기획site_code!F159,3)="_en",IFERROR(INDEX(고객법인일정파일!$C$4:$C$200,MATCH("SEWA (Africa_EN)",고객법인일정파일!$C$4:$C$200,0)),""),"")),""))))))))</f>
        <v/>
      </c>
      <c r="Q159" s="11" t="str">
        <f>IF(LEN(TRIM(P159))=0,"",IFERROR(INDEX(고객법인일정파일!$E$4:$E$192,MATCH(P159,고객법인일정파일!$C$4:$C$192,0)),""))</f>
        <v/>
      </c>
      <c r="R159" s="12" t="str">
        <f>IF(OR(LEN(TRIM(P159))=0,Q159="X",Q159&lt;&gt;"O"),"",IFERROR(INDEX(고객법인일정파일!$F$4:$F$192,MATCH(P159,고객법인일정파일!$C$4:$C$192,0)),""))</f>
        <v/>
      </c>
      <c r="S159" s="12" t="str">
        <f>IF(OR(LEN(TRIM(P159))=0,Q159="X",Q159&lt;&gt;"O"),"",IFERROR(INDEX(고객법인일정파일!$H$4:$H$192,MATCH(P159,고객법인일정파일!$C$4:$C$192,0)),""))</f>
        <v/>
      </c>
    </row>
    <row r="160" spans="15:19">
      <c r="O160" s="11" t="str">
        <f>IF(IF(OR(NOT(ISBLANK(고객법인일정파일!B160)),ISBLANK(고객법인일정파일!C160),고객법인일정파일!C160="Total"),"",IF(ISNUMBER(FIND("-",고객법인일정파일!C160)),LEFT(고객법인일정파일!C160,FIND("-",고객법인일정파일!C160)-1),IF(ISNUMBER(FIND(" ",고객법인일정파일!C160)),LEFT(고객법인일정파일!C160,FIND(" ",고객법인일정파일!C160)-1),고객법인일정파일!C160)))="한총","sec",IF(OR(NOT(ISBLANK(고객법인일정파일!B160)),ISBLANK(고객법인일정파일!C160),고객법인일정파일!C160="Total"),"",IF(ISNUMBER(FIND("-",고객법인일정파일!C160)),LEFT(고객법인일정파일!C160,FIND("-",고객법인일정파일!C160)-1),IF(ISNUMBER(FIND(" ",고객법인일정파일!C160)),LEFT(고객법인일정파일!C160,FIND(" ",고객법인일정파일!C160)-1),고객법인일정파일!C160))))</f>
        <v/>
      </c>
      <c r="P160" s="11" t="str">
        <f>IF(ISBLANK(태깅기획site_code!F160),"",IF(COUNTIF(고객법인일정파일!$C$4:$C$200,태깅기획site_code!D160&amp;"-"&amp;UPPER(IF(ISNUMBER(FIND("_",태깅기획site_code!F160)),LEFT(태깅기획site_code!F160,FIND("_",태깅기획site_code!F160)-1),태깅기획site_code!F160)))&gt;0,태깅기획site_code!D160&amp;"-"&amp;UPPER(IF(ISNUMBER(FIND("_",태깅기획site_code!F160)),LEFT(태깅기획site_code!F160,FIND("_",태깅기획site_code!F160)-1),태깅기획site_code!F160)),IF(COUNTIF(고객법인일정파일!$C$4:$C$200,태깅기획site_code!D160&amp;" ("&amp;PROPER(LEFT(태깅기획site_code!F160,FIND("_",태깅기획site_code!F160)-1))&amp;"_"&amp;UPPER(MID(태깅기획site_code!F160,FIND("_",태깅기획site_code!F160)+1,20))&amp;")")&gt;0,태깅기획site_code!D160&amp;" ("&amp;PROPER(LEFT(태깅기획site_code!F160,FIND("_",태깅기획site_code!F160)-1))&amp;"_"&amp;UPPER(MID(태깅기획site_code!F160,FIND("_",태깅기획site_code!F160)+1,20))&amp;")",IF(COUNTIF(고객법인일정파일!$C$4:$C$200,태깅기획site_code!D160)&gt;0,태깅기획site_code!D160,IF(ISNUMBER(FIND("_",태깅기획site_code!F160)),"",IFERROR(INDEX(고객법인일정파일!$C$4:$C$200,MATCH(태깅기획site_code!D160,$O$4:$O$200,0)),IF(ISNUMBER(FIND("-",태깅기획site_code!D160)),IFERROR(INDEX(고객법인일정파일!$C$4:$C$200,MATCH(LEFT(태깅기획site_code!D160,FIND("-",태깅기획site_code!D160)-1),고객법인일정파일!$C$4:$C$200,0)),""),IF(태깅기획site_code!D160="SCA",IF(RIGHT(태깅기획site_code!F160,3)="_fr",IFERROR(INDEX(고객법인일정파일!$C$4:$C$200,MATCH("SEWA (Africa_FR)",고객법인일정파일!$C$4:$C$200,0)),""),IF(RIGHT(태깅기획site_code!F160,3)="_en",IFERROR(INDEX(고객법인일정파일!$C$4:$C$200,MATCH("SEWA (Africa_EN)",고객법인일정파일!$C$4:$C$200,0)),""),"")),""))))))))</f>
        <v/>
      </c>
      <c r="Q160" s="11" t="str">
        <f>IF(LEN(TRIM(P160))=0,"",IFERROR(INDEX(고객법인일정파일!$E$4:$E$192,MATCH(P160,고객법인일정파일!$C$4:$C$192,0)),""))</f>
        <v/>
      </c>
      <c r="R160" s="12" t="str">
        <f>IF(OR(LEN(TRIM(P160))=0,Q160="X",Q160&lt;&gt;"O"),"",IFERROR(INDEX(고객법인일정파일!$F$4:$F$192,MATCH(P160,고객법인일정파일!$C$4:$C$192,0)),""))</f>
        <v/>
      </c>
      <c r="S160" s="12" t="str">
        <f>IF(OR(LEN(TRIM(P160))=0,Q160="X",Q160&lt;&gt;"O"),"",IFERROR(INDEX(고객법인일정파일!$H$4:$H$192,MATCH(P160,고객법인일정파일!$C$4:$C$192,0)),""))</f>
        <v/>
      </c>
    </row>
    <row r="161" spans="15:19">
      <c r="O161" s="11" t="str">
        <f>IF(IF(OR(NOT(ISBLANK(고객법인일정파일!B161)),ISBLANK(고객법인일정파일!C161),고객법인일정파일!C161="Total"),"",IF(ISNUMBER(FIND("-",고객법인일정파일!C161)),LEFT(고객법인일정파일!C161,FIND("-",고객법인일정파일!C161)-1),IF(ISNUMBER(FIND(" ",고객법인일정파일!C161)),LEFT(고객법인일정파일!C161,FIND(" ",고객법인일정파일!C161)-1),고객법인일정파일!C161)))="한총","sec",IF(OR(NOT(ISBLANK(고객법인일정파일!B161)),ISBLANK(고객법인일정파일!C161),고객법인일정파일!C161="Total"),"",IF(ISNUMBER(FIND("-",고객법인일정파일!C161)),LEFT(고객법인일정파일!C161,FIND("-",고객법인일정파일!C161)-1),IF(ISNUMBER(FIND(" ",고객법인일정파일!C161)),LEFT(고객법인일정파일!C161,FIND(" ",고객법인일정파일!C161)-1),고객법인일정파일!C161))))</f>
        <v/>
      </c>
      <c r="P161" s="11" t="str">
        <f>IF(ISBLANK(태깅기획site_code!F161),"",IF(COUNTIF(고객법인일정파일!$C$4:$C$200,태깅기획site_code!D161&amp;"-"&amp;UPPER(IF(ISNUMBER(FIND("_",태깅기획site_code!F161)),LEFT(태깅기획site_code!F161,FIND("_",태깅기획site_code!F161)-1),태깅기획site_code!F161)))&gt;0,태깅기획site_code!D161&amp;"-"&amp;UPPER(IF(ISNUMBER(FIND("_",태깅기획site_code!F161)),LEFT(태깅기획site_code!F161,FIND("_",태깅기획site_code!F161)-1),태깅기획site_code!F161)),IF(COUNTIF(고객법인일정파일!$C$4:$C$200,태깅기획site_code!D161&amp;" ("&amp;PROPER(LEFT(태깅기획site_code!F161,FIND("_",태깅기획site_code!F161)-1))&amp;"_"&amp;UPPER(MID(태깅기획site_code!F161,FIND("_",태깅기획site_code!F161)+1,20))&amp;")")&gt;0,태깅기획site_code!D161&amp;" ("&amp;PROPER(LEFT(태깅기획site_code!F161,FIND("_",태깅기획site_code!F161)-1))&amp;"_"&amp;UPPER(MID(태깅기획site_code!F161,FIND("_",태깅기획site_code!F161)+1,20))&amp;")",IF(COUNTIF(고객법인일정파일!$C$4:$C$200,태깅기획site_code!D161)&gt;0,태깅기획site_code!D161,IF(ISNUMBER(FIND("_",태깅기획site_code!F161)),"",IFERROR(INDEX(고객법인일정파일!$C$4:$C$200,MATCH(태깅기획site_code!D161,$O$4:$O$200,0)),IF(ISNUMBER(FIND("-",태깅기획site_code!D161)),IFERROR(INDEX(고객법인일정파일!$C$4:$C$200,MATCH(LEFT(태깅기획site_code!D161,FIND("-",태깅기획site_code!D161)-1),고객법인일정파일!$C$4:$C$200,0)),""),IF(태깅기획site_code!D161="SCA",IF(RIGHT(태깅기획site_code!F161,3)="_fr",IFERROR(INDEX(고객법인일정파일!$C$4:$C$200,MATCH("SEWA (Africa_FR)",고객법인일정파일!$C$4:$C$200,0)),""),IF(RIGHT(태깅기획site_code!F161,3)="_en",IFERROR(INDEX(고객법인일정파일!$C$4:$C$200,MATCH("SEWA (Africa_EN)",고객법인일정파일!$C$4:$C$200,0)),""),"")),""))))))))</f>
        <v/>
      </c>
      <c r="Q161" s="11" t="str">
        <f>IF(LEN(TRIM(P161))=0,"",IFERROR(INDEX(고객법인일정파일!$E$4:$E$192,MATCH(P161,고객법인일정파일!$C$4:$C$192,0)),""))</f>
        <v/>
      </c>
      <c r="R161" s="12" t="str">
        <f>IF(OR(LEN(TRIM(P161))=0,Q161="X",Q161&lt;&gt;"O"),"",IFERROR(INDEX(고객법인일정파일!$F$4:$F$192,MATCH(P161,고객법인일정파일!$C$4:$C$192,0)),""))</f>
        <v/>
      </c>
      <c r="S161" s="12" t="str">
        <f>IF(OR(LEN(TRIM(P161))=0,Q161="X",Q161&lt;&gt;"O"),"",IFERROR(INDEX(고객법인일정파일!$H$4:$H$192,MATCH(P161,고객법인일정파일!$C$4:$C$192,0)),""))</f>
        <v/>
      </c>
    </row>
    <row r="162" spans="15:19">
      <c r="O162" s="11" t="str">
        <f>IF(IF(OR(NOT(ISBLANK(고객법인일정파일!B162)),ISBLANK(고객법인일정파일!C162),고객법인일정파일!C162="Total"),"",IF(ISNUMBER(FIND("-",고객법인일정파일!C162)),LEFT(고객법인일정파일!C162,FIND("-",고객법인일정파일!C162)-1),IF(ISNUMBER(FIND(" ",고객법인일정파일!C162)),LEFT(고객법인일정파일!C162,FIND(" ",고객법인일정파일!C162)-1),고객법인일정파일!C162)))="한총","sec",IF(OR(NOT(ISBLANK(고객법인일정파일!B162)),ISBLANK(고객법인일정파일!C162),고객법인일정파일!C162="Total"),"",IF(ISNUMBER(FIND("-",고객법인일정파일!C162)),LEFT(고객법인일정파일!C162,FIND("-",고객법인일정파일!C162)-1),IF(ISNUMBER(FIND(" ",고객법인일정파일!C162)),LEFT(고객법인일정파일!C162,FIND(" ",고객법인일정파일!C162)-1),고객법인일정파일!C162))))</f>
        <v/>
      </c>
      <c r="P162" s="11" t="str">
        <f>IF(ISBLANK(태깅기획site_code!F162),"",IF(COUNTIF(고객법인일정파일!$C$4:$C$200,태깅기획site_code!D162&amp;"-"&amp;UPPER(IF(ISNUMBER(FIND("_",태깅기획site_code!F162)),LEFT(태깅기획site_code!F162,FIND("_",태깅기획site_code!F162)-1),태깅기획site_code!F162)))&gt;0,태깅기획site_code!D162&amp;"-"&amp;UPPER(IF(ISNUMBER(FIND("_",태깅기획site_code!F162)),LEFT(태깅기획site_code!F162,FIND("_",태깅기획site_code!F162)-1),태깅기획site_code!F162)),IF(COUNTIF(고객법인일정파일!$C$4:$C$200,태깅기획site_code!D162&amp;" ("&amp;PROPER(LEFT(태깅기획site_code!F162,FIND("_",태깅기획site_code!F162)-1))&amp;"_"&amp;UPPER(MID(태깅기획site_code!F162,FIND("_",태깅기획site_code!F162)+1,20))&amp;")")&gt;0,태깅기획site_code!D162&amp;" ("&amp;PROPER(LEFT(태깅기획site_code!F162,FIND("_",태깅기획site_code!F162)-1))&amp;"_"&amp;UPPER(MID(태깅기획site_code!F162,FIND("_",태깅기획site_code!F162)+1,20))&amp;")",IF(COUNTIF(고객법인일정파일!$C$4:$C$200,태깅기획site_code!D162)&gt;0,태깅기획site_code!D162,IF(ISNUMBER(FIND("_",태깅기획site_code!F162)),"",IFERROR(INDEX(고객법인일정파일!$C$4:$C$200,MATCH(태깅기획site_code!D162,$O$4:$O$200,0)),IF(ISNUMBER(FIND("-",태깅기획site_code!D162)),IFERROR(INDEX(고객법인일정파일!$C$4:$C$200,MATCH(LEFT(태깅기획site_code!D162,FIND("-",태깅기획site_code!D162)-1),고객법인일정파일!$C$4:$C$200,0)),""),IF(태깅기획site_code!D162="SCA",IF(RIGHT(태깅기획site_code!F162,3)="_fr",IFERROR(INDEX(고객법인일정파일!$C$4:$C$200,MATCH("SEWA (Africa_FR)",고객법인일정파일!$C$4:$C$200,0)),""),IF(RIGHT(태깅기획site_code!F162,3)="_en",IFERROR(INDEX(고객법인일정파일!$C$4:$C$200,MATCH("SEWA (Africa_EN)",고객법인일정파일!$C$4:$C$200,0)),""),"")),""))))))))</f>
        <v/>
      </c>
      <c r="Q162" s="11" t="str">
        <f>IF(LEN(TRIM(P162))=0,"",IFERROR(INDEX(고객법인일정파일!$E$4:$E$192,MATCH(P162,고객법인일정파일!$C$4:$C$192,0)),""))</f>
        <v/>
      </c>
      <c r="R162" s="12" t="str">
        <f>IF(OR(LEN(TRIM(P162))=0,Q162="X",Q162&lt;&gt;"O"),"",IFERROR(INDEX(고객법인일정파일!$F$4:$F$192,MATCH(P162,고객법인일정파일!$C$4:$C$192,0)),""))</f>
        <v/>
      </c>
      <c r="S162" s="12" t="str">
        <f>IF(OR(LEN(TRIM(P162))=0,Q162="X",Q162&lt;&gt;"O"),"",IFERROR(INDEX(고객법인일정파일!$H$4:$H$192,MATCH(P162,고객법인일정파일!$C$4:$C$192,0)),""))</f>
        <v/>
      </c>
    </row>
    <row r="163" spans="15:19">
      <c r="O163" s="11" t="str">
        <f>IF(IF(OR(NOT(ISBLANK(고객법인일정파일!B163)),ISBLANK(고객법인일정파일!C163),고객법인일정파일!C163="Total"),"",IF(ISNUMBER(FIND("-",고객법인일정파일!C163)),LEFT(고객법인일정파일!C163,FIND("-",고객법인일정파일!C163)-1),IF(ISNUMBER(FIND(" ",고객법인일정파일!C163)),LEFT(고객법인일정파일!C163,FIND(" ",고객법인일정파일!C163)-1),고객법인일정파일!C163)))="한총","sec",IF(OR(NOT(ISBLANK(고객법인일정파일!B163)),ISBLANK(고객법인일정파일!C163),고객법인일정파일!C163="Total"),"",IF(ISNUMBER(FIND("-",고객법인일정파일!C163)),LEFT(고객법인일정파일!C163,FIND("-",고객법인일정파일!C163)-1),IF(ISNUMBER(FIND(" ",고객법인일정파일!C163)),LEFT(고객법인일정파일!C163,FIND(" ",고객법인일정파일!C163)-1),고객법인일정파일!C163))))</f>
        <v/>
      </c>
      <c r="P163" s="11" t="str">
        <f>IF(ISBLANK(태깅기획site_code!F163),"",IF(COUNTIF(고객법인일정파일!$C$4:$C$200,태깅기획site_code!D163&amp;"-"&amp;UPPER(IF(ISNUMBER(FIND("_",태깅기획site_code!F163)),LEFT(태깅기획site_code!F163,FIND("_",태깅기획site_code!F163)-1),태깅기획site_code!F163)))&gt;0,태깅기획site_code!D163&amp;"-"&amp;UPPER(IF(ISNUMBER(FIND("_",태깅기획site_code!F163)),LEFT(태깅기획site_code!F163,FIND("_",태깅기획site_code!F163)-1),태깅기획site_code!F163)),IF(COUNTIF(고객법인일정파일!$C$4:$C$200,태깅기획site_code!D163&amp;" ("&amp;PROPER(LEFT(태깅기획site_code!F163,FIND("_",태깅기획site_code!F163)-1))&amp;"_"&amp;UPPER(MID(태깅기획site_code!F163,FIND("_",태깅기획site_code!F163)+1,20))&amp;")")&gt;0,태깅기획site_code!D163&amp;" ("&amp;PROPER(LEFT(태깅기획site_code!F163,FIND("_",태깅기획site_code!F163)-1))&amp;"_"&amp;UPPER(MID(태깅기획site_code!F163,FIND("_",태깅기획site_code!F163)+1,20))&amp;")",IF(COUNTIF(고객법인일정파일!$C$4:$C$200,태깅기획site_code!D163)&gt;0,태깅기획site_code!D163,IF(ISNUMBER(FIND("_",태깅기획site_code!F163)),"",IFERROR(INDEX(고객법인일정파일!$C$4:$C$200,MATCH(태깅기획site_code!D163,$O$4:$O$200,0)),IF(ISNUMBER(FIND("-",태깅기획site_code!D163)),IFERROR(INDEX(고객법인일정파일!$C$4:$C$200,MATCH(LEFT(태깅기획site_code!D163,FIND("-",태깅기획site_code!D163)-1),고객법인일정파일!$C$4:$C$200,0)),""),IF(태깅기획site_code!D163="SCA",IF(RIGHT(태깅기획site_code!F163,3)="_fr",IFERROR(INDEX(고객법인일정파일!$C$4:$C$200,MATCH("SEWA (Africa_FR)",고객법인일정파일!$C$4:$C$200,0)),""),IF(RIGHT(태깅기획site_code!F163,3)="_en",IFERROR(INDEX(고객법인일정파일!$C$4:$C$200,MATCH("SEWA (Africa_EN)",고객법인일정파일!$C$4:$C$200,0)),""),"")),""))))))))</f>
        <v/>
      </c>
      <c r="Q163" s="11" t="str">
        <f>IF(LEN(TRIM(P163))=0,"",IFERROR(INDEX(고객법인일정파일!$E$4:$E$192,MATCH(P163,고객법인일정파일!$C$4:$C$192,0)),""))</f>
        <v/>
      </c>
      <c r="R163" s="12" t="str">
        <f>IF(OR(LEN(TRIM(P163))=0,Q163="X",Q163&lt;&gt;"O"),"",IFERROR(INDEX(고객법인일정파일!$F$4:$F$192,MATCH(P163,고객법인일정파일!$C$4:$C$192,0)),""))</f>
        <v/>
      </c>
      <c r="S163" s="12" t="str">
        <f>IF(OR(LEN(TRIM(P163))=0,Q163="X",Q163&lt;&gt;"O"),"",IFERROR(INDEX(고객법인일정파일!$H$4:$H$192,MATCH(P163,고객법인일정파일!$C$4:$C$192,0)),""))</f>
        <v/>
      </c>
    </row>
    <row r="164" spans="15:19">
      <c r="O164" s="11" t="str">
        <f>IF(IF(OR(NOT(ISBLANK(고객법인일정파일!B164)),ISBLANK(고객법인일정파일!C164),고객법인일정파일!C164="Total"),"",IF(ISNUMBER(FIND("-",고객법인일정파일!C164)),LEFT(고객법인일정파일!C164,FIND("-",고객법인일정파일!C164)-1),IF(ISNUMBER(FIND(" ",고객법인일정파일!C164)),LEFT(고객법인일정파일!C164,FIND(" ",고객법인일정파일!C164)-1),고객법인일정파일!C164)))="한총","sec",IF(OR(NOT(ISBLANK(고객법인일정파일!B164)),ISBLANK(고객법인일정파일!C164),고객법인일정파일!C164="Total"),"",IF(ISNUMBER(FIND("-",고객법인일정파일!C164)),LEFT(고객법인일정파일!C164,FIND("-",고객법인일정파일!C164)-1),IF(ISNUMBER(FIND(" ",고객법인일정파일!C164)),LEFT(고객법인일정파일!C164,FIND(" ",고객법인일정파일!C164)-1),고객법인일정파일!C164))))</f>
        <v/>
      </c>
      <c r="P164" s="11" t="str">
        <f>IF(ISBLANK(태깅기획site_code!F164),"",IF(COUNTIF(고객법인일정파일!$C$4:$C$200,태깅기획site_code!D164&amp;"-"&amp;UPPER(IF(ISNUMBER(FIND("_",태깅기획site_code!F164)),LEFT(태깅기획site_code!F164,FIND("_",태깅기획site_code!F164)-1),태깅기획site_code!F164)))&gt;0,태깅기획site_code!D164&amp;"-"&amp;UPPER(IF(ISNUMBER(FIND("_",태깅기획site_code!F164)),LEFT(태깅기획site_code!F164,FIND("_",태깅기획site_code!F164)-1),태깅기획site_code!F164)),IF(COUNTIF(고객법인일정파일!$C$4:$C$200,태깅기획site_code!D164&amp;" ("&amp;PROPER(LEFT(태깅기획site_code!F164,FIND("_",태깅기획site_code!F164)-1))&amp;"_"&amp;UPPER(MID(태깅기획site_code!F164,FIND("_",태깅기획site_code!F164)+1,20))&amp;")")&gt;0,태깅기획site_code!D164&amp;" ("&amp;PROPER(LEFT(태깅기획site_code!F164,FIND("_",태깅기획site_code!F164)-1))&amp;"_"&amp;UPPER(MID(태깅기획site_code!F164,FIND("_",태깅기획site_code!F164)+1,20))&amp;")",IF(COUNTIF(고객법인일정파일!$C$4:$C$200,태깅기획site_code!D164)&gt;0,태깅기획site_code!D164,IF(ISNUMBER(FIND("_",태깅기획site_code!F164)),"",IFERROR(INDEX(고객법인일정파일!$C$4:$C$200,MATCH(태깅기획site_code!D164,$O$4:$O$200,0)),IF(ISNUMBER(FIND("-",태깅기획site_code!D164)),IFERROR(INDEX(고객법인일정파일!$C$4:$C$200,MATCH(LEFT(태깅기획site_code!D164,FIND("-",태깅기획site_code!D164)-1),고객법인일정파일!$C$4:$C$200,0)),""),IF(태깅기획site_code!D164="SCA",IF(RIGHT(태깅기획site_code!F164,3)="_fr",IFERROR(INDEX(고객법인일정파일!$C$4:$C$200,MATCH("SEWA (Africa_FR)",고객법인일정파일!$C$4:$C$200,0)),""),IF(RIGHT(태깅기획site_code!F164,3)="_en",IFERROR(INDEX(고객법인일정파일!$C$4:$C$200,MATCH("SEWA (Africa_EN)",고객법인일정파일!$C$4:$C$200,0)),""),"")),""))))))))</f>
        <v/>
      </c>
      <c r="Q164" s="11" t="str">
        <f>IF(LEN(TRIM(P164))=0,"",IFERROR(INDEX(고객법인일정파일!$E$4:$E$192,MATCH(P164,고객법인일정파일!$C$4:$C$192,0)),""))</f>
        <v/>
      </c>
      <c r="R164" s="12" t="str">
        <f>IF(OR(LEN(TRIM(P164))=0,Q164="X",Q164&lt;&gt;"O"),"",IFERROR(INDEX(고객법인일정파일!$F$4:$F$192,MATCH(P164,고객법인일정파일!$C$4:$C$192,0)),""))</f>
        <v/>
      </c>
      <c r="S164" s="12" t="str">
        <f>IF(OR(LEN(TRIM(P164))=0,Q164="X",Q164&lt;&gt;"O"),"",IFERROR(INDEX(고객법인일정파일!$H$4:$H$192,MATCH(P164,고객법인일정파일!$C$4:$C$192,0)),""))</f>
        <v/>
      </c>
    </row>
    <row r="165" spans="15:19">
      <c r="O165" s="11" t="str">
        <f>IF(IF(OR(NOT(ISBLANK(고객법인일정파일!B165)),ISBLANK(고객법인일정파일!C165),고객법인일정파일!C165="Total"),"",IF(ISNUMBER(FIND("-",고객법인일정파일!C165)),LEFT(고객법인일정파일!C165,FIND("-",고객법인일정파일!C165)-1),IF(ISNUMBER(FIND(" ",고객법인일정파일!C165)),LEFT(고객법인일정파일!C165,FIND(" ",고객법인일정파일!C165)-1),고객법인일정파일!C165)))="한총","sec",IF(OR(NOT(ISBLANK(고객법인일정파일!B165)),ISBLANK(고객법인일정파일!C165),고객법인일정파일!C165="Total"),"",IF(ISNUMBER(FIND("-",고객법인일정파일!C165)),LEFT(고객법인일정파일!C165,FIND("-",고객법인일정파일!C165)-1),IF(ISNUMBER(FIND(" ",고객법인일정파일!C165)),LEFT(고객법인일정파일!C165,FIND(" ",고객법인일정파일!C165)-1),고객법인일정파일!C165))))</f>
        <v/>
      </c>
      <c r="P165" s="11" t="str">
        <f>IF(ISBLANK(태깅기획site_code!F165),"",IF(COUNTIF(고객법인일정파일!$C$4:$C$200,태깅기획site_code!D165&amp;"-"&amp;UPPER(IF(ISNUMBER(FIND("_",태깅기획site_code!F165)),LEFT(태깅기획site_code!F165,FIND("_",태깅기획site_code!F165)-1),태깅기획site_code!F165)))&gt;0,태깅기획site_code!D165&amp;"-"&amp;UPPER(IF(ISNUMBER(FIND("_",태깅기획site_code!F165)),LEFT(태깅기획site_code!F165,FIND("_",태깅기획site_code!F165)-1),태깅기획site_code!F165)),IF(COUNTIF(고객법인일정파일!$C$4:$C$200,태깅기획site_code!D165&amp;" ("&amp;PROPER(LEFT(태깅기획site_code!F165,FIND("_",태깅기획site_code!F165)-1))&amp;"_"&amp;UPPER(MID(태깅기획site_code!F165,FIND("_",태깅기획site_code!F165)+1,20))&amp;")")&gt;0,태깅기획site_code!D165&amp;" ("&amp;PROPER(LEFT(태깅기획site_code!F165,FIND("_",태깅기획site_code!F165)-1))&amp;"_"&amp;UPPER(MID(태깅기획site_code!F165,FIND("_",태깅기획site_code!F165)+1,20))&amp;")",IF(COUNTIF(고객법인일정파일!$C$4:$C$200,태깅기획site_code!D165)&gt;0,태깅기획site_code!D165,IF(ISNUMBER(FIND("_",태깅기획site_code!F165)),"",IFERROR(INDEX(고객법인일정파일!$C$4:$C$200,MATCH(태깅기획site_code!D165,$O$4:$O$200,0)),IF(ISNUMBER(FIND("-",태깅기획site_code!D165)),IFERROR(INDEX(고객법인일정파일!$C$4:$C$200,MATCH(LEFT(태깅기획site_code!D165,FIND("-",태깅기획site_code!D165)-1),고객법인일정파일!$C$4:$C$200,0)),""),IF(태깅기획site_code!D165="SCA",IF(RIGHT(태깅기획site_code!F165,3)="_fr",IFERROR(INDEX(고객법인일정파일!$C$4:$C$200,MATCH("SEWA (Africa_FR)",고객법인일정파일!$C$4:$C$200,0)),""),IF(RIGHT(태깅기획site_code!F165,3)="_en",IFERROR(INDEX(고객법인일정파일!$C$4:$C$200,MATCH("SEWA (Africa_EN)",고객법인일정파일!$C$4:$C$200,0)),""),"")),""))))))))</f>
        <v/>
      </c>
      <c r="Q165" s="11" t="str">
        <f>IF(LEN(TRIM(P165))=0,"",IFERROR(INDEX(고객법인일정파일!$E$4:$E$192,MATCH(P165,고객법인일정파일!$C$4:$C$192,0)),""))</f>
        <v/>
      </c>
      <c r="R165" s="12" t="str">
        <f>IF(OR(LEN(TRIM(P165))=0,Q165="X",Q165&lt;&gt;"O"),"",IFERROR(INDEX(고객법인일정파일!$F$4:$F$192,MATCH(P165,고객법인일정파일!$C$4:$C$192,0)),""))</f>
        <v/>
      </c>
      <c r="S165" s="12" t="str">
        <f>IF(OR(LEN(TRIM(P165))=0,Q165="X",Q165&lt;&gt;"O"),"",IFERROR(INDEX(고객법인일정파일!$H$4:$H$192,MATCH(P165,고객법인일정파일!$C$4:$C$192,0)),""))</f>
        <v/>
      </c>
    </row>
    <row r="166" spans="15:19">
      <c r="O166" s="11" t="str">
        <f>IF(IF(OR(NOT(ISBLANK(고객법인일정파일!B166)),ISBLANK(고객법인일정파일!C166),고객법인일정파일!C166="Total"),"",IF(ISNUMBER(FIND("-",고객법인일정파일!C166)),LEFT(고객법인일정파일!C166,FIND("-",고객법인일정파일!C166)-1),IF(ISNUMBER(FIND(" ",고객법인일정파일!C166)),LEFT(고객법인일정파일!C166,FIND(" ",고객법인일정파일!C166)-1),고객법인일정파일!C166)))="한총","sec",IF(OR(NOT(ISBLANK(고객법인일정파일!B166)),ISBLANK(고객법인일정파일!C166),고객법인일정파일!C166="Total"),"",IF(ISNUMBER(FIND("-",고객법인일정파일!C166)),LEFT(고객법인일정파일!C166,FIND("-",고객법인일정파일!C166)-1),IF(ISNUMBER(FIND(" ",고객법인일정파일!C166)),LEFT(고객법인일정파일!C166,FIND(" ",고객법인일정파일!C166)-1),고객법인일정파일!C166))))</f>
        <v/>
      </c>
      <c r="P166" s="11" t="str">
        <f>IF(ISBLANK(태깅기획site_code!F166),"",IF(COUNTIF(고객법인일정파일!$C$4:$C$200,태깅기획site_code!D166&amp;"-"&amp;UPPER(IF(ISNUMBER(FIND("_",태깅기획site_code!F166)),LEFT(태깅기획site_code!F166,FIND("_",태깅기획site_code!F166)-1),태깅기획site_code!F166)))&gt;0,태깅기획site_code!D166&amp;"-"&amp;UPPER(IF(ISNUMBER(FIND("_",태깅기획site_code!F166)),LEFT(태깅기획site_code!F166,FIND("_",태깅기획site_code!F166)-1),태깅기획site_code!F166)),IF(COUNTIF(고객법인일정파일!$C$4:$C$200,태깅기획site_code!D166&amp;" ("&amp;PROPER(LEFT(태깅기획site_code!F166,FIND("_",태깅기획site_code!F166)-1))&amp;"_"&amp;UPPER(MID(태깅기획site_code!F166,FIND("_",태깅기획site_code!F166)+1,20))&amp;")")&gt;0,태깅기획site_code!D166&amp;" ("&amp;PROPER(LEFT(태깅기획site_code!F166,FIND("_",태깅기획site_code!F166)-1))&amp;"_"&amp;UPPER(MID(태깅기획site_code!F166,FIND("_",태깅기획site_code!F166)+1,20))&amp;")",IF(COUNTIF(고객법인일정파일!$C$4:$C$200,태깅기획site_code!D166)&gt;0,태깅기획site_code!D166,IF(ISNUMBER(FIND("_",태깅기획site_code!F166)),"",IFERROR(INDEX(고객법인일정파일!$C$4:$C$200,MATCH(태깅기획site_code!D166,$O$4:$O$200,0)),IF(ISNUMBER(FIND("-",태깅기획site_code!D166)),IFERROR(INDEX(고객법인일정파일!$C$4:$C$200,MATCH(LEFT(태깅기획site_code!D166,FIND("-",태깅기획site_code!D166)-1),고객법인일정파일!$C$4:$C$200,0)),""),IF(태깅기획site_code!D166="SCA",IF(RIGHT(태깅기획site_code!F166,3)="_fr",IFERROR(INDEX(고객법인일정파일!$C$4:$C$200,MATCH("SEWA (Africa_FR)",고객법인일정파일!$C$4:$C$200,0)),""),IF(RIGHT(태깅기획site_code!F166,3)="_en",IFERROR(INDEX(고객법인일정파일!$C$4:$C$200,MATCH("SEWA (Africa_EN)",고객법인일정파일!$C$4:$C$200,0)),""),"")),""))))))))</f>
        <v/>
      </c>
      <c r="Q166" s="11" t="str">
        <f>IF(LEN(TRIM(P166))=0,"",IFERROR(INDEX(고객법인일정파일!$E$4:$E$192,MATCH(P166,고객법인일정파일!$C$4:$C$192,0)),""))</f>
        <v/>
      </c>
      <c r="R166" s="12" t="str">
        <f>IF(OR(LEN(TRIM(P166))=0,Q166="X",Q166&lt;&gt;"O"),"",IFERROR(INDEX(고객법인일정파일!$F$4:$F$192,MATCH(P166,고객법인일정파일!$C$4:$C$192,0)),""))</f>
        <v/>
      </c>
      <c r="S166" s="12" t="str">
        <f>IF(OR(LEN(TRIM(P166))=0,Q166="X",Q166&lt;&gt;"O"),"",IFERROR(INDEX(고객법인일정파일!$H$4:$H$192,MATCH(P166,고객법인일정파일!$C$4:$C$192,0)),""))</f>
        <v/>
      </c>
    </row>
    <row r="167" spans="15:19">
      <c r="O167" s="11" t="str">
        <f>IF(IF(OR(NOT(ISBLANK(고객법인일정파일!B167)),ISBLANK(고객법인일정파일!C167),고객법인일정파일!C167="Total"),"",IF(ISNUMBER(FIND("-",고객법인일정파일!C167)),LEFT(고객법인일정파일!C167,FIND("-",고객법인일정파일!C167)-1),IF(ISNUMBER(FIND(" ",고객법인일정파일!C167)),LEFT(고객법인일정파일!C167,FIND(" ",고객법인일정파일!C167)-1),고객법인일정파일!C167)))="한총","sec",IF(OR(NOT(ISBLANK(고객법인일정파일!B167)),ISBLANK(고객법인일정파일!C167),고객법인일정파일!C167="Total"),"",IF(ISNUMBER(FIND("-",고객법인일정파일!C167)),LEFT(고객법인일정파일!C167,FIND("-",고객법인일정파일!C167)-1),IF(ISNUMBER(FIND(" ",고객법인일정파일!C167)),LEFT(고객법인일정파일!C167,FIND(" ",고객법인일정파일!C167)-1),고객법인일정파일!C167))))</f>
        <v/>
      </c>
      <c r="P167" s="11" t="str">
        <f>IF(ISBLANK(태깅기획site_code!F167),"",IF(COUNTIF(고객법인일정파일!$C$4:$C$200,태깅기획site_code!D167&amp;"-"&amp;UPPER(IF(ISNUMBER(FIND("_",태깅기획site_code!F167)),LEFT(태깅기획site_code!F167,FIND("_",태깅기획site_code!F167)-1),태깅기획site_code!F167)))&gt;0,태깅기획site_code!D167&amp;"-"&amp;UPPER(IF(ISNUMBER(FIND("_",태깅기획site_code!F167)),LEFT(태깅기획site_code!F167,FIND("_",태깅기획site_code!F167)-1),태깅기획site_code!F167)),IF(COUNTIF(고객법인일정파일!$C$4:$C$200,태깅기획site_code!D167&amp;" ("&amp;PROPER(LEFT(태깅기획site_code!F167,FIND("_",태깅기획site_code!F167)-1))&amp;"_"&amp;UPPER(MID(태깅기획site_code!F167,FIND("_",태깅기획site_code!F167)+1,20))&amp;")")&gt;0,태깅기획site_code!D167&amp;" ("&amp;PROPER(LEFT(태깅기획site_code!F167,FIND("_",태깅기획site_code!F167)-1))&amp;"_"&amp;UPPER(MID(태깅기획site_code!F167,FIND("_",태깅기획site_code!F167)+1,20))&amp;")",IF(COUNTIF(고객법인일정파일!$C$4:$C$200,태깅기획site_code!D167)&gt;0,태깅기획site_code!D167,IF(ISNUMBER(FIND("_",태깅기획site_code!F167)),"",IFERROR(INDEX(고객법인일정파일!$C$4:$C$200,MATCH(태깅기획site_code!D167,$O$4:$O$200,0)),IF(ISNUMBER(FIND("-",태깅기획site_code!D167)),IFERROR(INDEX(고객법인일정파일!$C$4:$C$200,MATCH(LEFT(태깅기획site_code!D167,FIND("-",태깅기획site_code!D167)-1),고객법인일정파일!$C$4:$C$200,0)),""),IF(태깅기획site_code!D167="SCA",IF(RIGHT(태깅기획site_code!F167,3)="_fr",IFERROR(INDEX(고객법인일정파일!$C$4:$C$200,MATCH("SEWA (Africa_FR)",고객법인일정파일!$C$4:$C$200,0)),""),IF(RIGHT(태깅기획site_code!F167,3)="_en",IFERROR(INDEX(고객법인일정파일!$C$4:$C$200,MATCH("SEWA (Africa_EN)",고객법인일정파일!$C$4:$C$200,0)),""),"")),""))))))))</f>
        <v/>
      </c>
      <c r="Q167" s="11" t="str">
        <f>IF(LEN(TRIM(P167))=0,"",IFERROR(INDEX(고객법인일정파일!$E$4:$E$192,MATCH(P167,고객법인일정파일!$C$4:$C$192,0)),""))</f>
        <v/>
      </c>
      <c r="R167" s="12" t="str">
        <f>IF(OR(LEN(TRIM(P167))=0,Q167="X",Q167&lt;&gt;"O"),"",IFERROR(INDEX(고객법인일정파일!$F$4:$F$192,MATCH(P167,고객법인일정파일!$C$4:$C$192,0)),""))</f>
        <v/>
      </c>
      <c r="S167" s="12" t="str">
        <f>IF(OR(LEN(TRIM(P167))=0,Q167="X",Q167&lt;&gt;"O"),"",IFERROR(INDEX(고객법인일정파일!$H$4:$H$192,MATCH(P167,고객법인일정파일!$C$4:$C$192,0)),""))</f>
        <v/>
      </c>
    </row>
    <row r="168" spans="15:19">
      <c r="O168" s="11" t="str">
        <f>IF(IF(OR(NOT(ISBLANK(고객법인일정파일!B168)),ISBLANK(고객법인일정파일!C168),고객법인일정파일!C168="Total"),"",IF(ISNUMBER(FIND("-",고객법인일정파일!C168)),LEFT(고객법인일정파일!C168,FIND("-",고객법인일정파일!C168)-1),IF(ISNUMBER(FIND(" ",고객법인일정파일!C168)),LEFT(고객법인일정파일!C168,FIND(" ",고객법인일정파일!C168)-1),고객법인일정파일!C168)))="한총","sec",IF(OR(NOT(ISBLANK(고객법인일정파일!B168)),ISBLANK(고객법인일정파일!C168),고객법인일정파일!C168="Total"),"",IF(ISNUMBER(FIND("-",고객법인일정파일!C168)),LEFT(고객법인일정파일!C168,FIND("-",고객법인일정파일!C168)-1),IF(ISNUMBER(FIND(" ",고객법인일정파일!C168)),LEFT(고객법인일정파일!C168,FIND(" ",고객법인일정파일!C168)-1),고객법인일정파일!C168))))</f>
        <v/>
      </c>
      <c r="P168" s="11" t="str">
        <f>IF(ISBLANK(태깅기획site_code!F168),"",IF(COUNTIF(고객법인일정파일!$C$4:$C$200,태깅기획site_code!D168&amp;"-"&amp;UPPER(IF(ISNUMBER(FIND("_",태깅기획site_code!F168)),LEFT(태깅기획site_code!F168,FIND("_",태깅기획site_code!F168)-1),태깅기획site_code!F168)))&gt;0,태깅기획site_code!D168&amp;"-"&amp;UPPER(IF(ISNUMBER(FIND("_",태깅기획site_code!F168)),LEFT(태깅기획site_code!F168,FIND("_",태깅기획site_code!F168)-1),태깅기획site_code!F168)),IF(COUNTIF(고객법인일정파일!$C$4:$C$200,태깅기획site_code!D168&amp;" ("&amp;PROPER(LEFT(태깅기획site_code!F168,FIND("_",태깅기획site_code!F168)-1))&amp;"_"&amp;UPPER(MID(태깅기획site_code!F168,FIND("_",태깅기획site_code!F168)+1,20))&amp;")")&gt;0,태깅기획site_code!D168&amp;" ("&amp;PROPER(LEFT(태깅기획site_code!F168,FIND("_",태깅기획site_code!F168)-1))&amp;"_"&amp;UPPER(MID(태깅기획site_code!F168,FIND("_",태깅기획site_code!F168)+1,20))&amp;")",IF(COUNTIF(고객법인일정파일!$C$4:$C$200,태깅기획site_code!D168)&gt;0,태깅기획site_code!D168,IF(ISNUMBER(FIND("_",태깅기획site_code!F168)),"",IFERROR(INDEX(고객법인일정파일!$C$4:$C$200,MATCH(태깅기획site_code!D168,$O$4:$O$200,0)),IF(ISNUMBER(FIND("-",태깅기획site_code!D168)),IFERROR(INDEX(고객법인일정파일!$C$4:$C$200,MATCH(LEFT(태깅기획site_code!D168,FIND("-",태깅기획site_code!D168)-1),고객법인일정파일!$C$4:$C$200,0)),""),IF(태깅기획site_code!D168="SCA",IF(RIGHT(태깅기획site_code!F168,3)="_fr",IFERROR(INDEX(고객법인일정파일!$C$4:$C$200,MATCH("SEWA (Africa_FR)",고객법인일정파일!$C$4:$C$200,0)),""),IF(RIGHT(태깅기획site_code!F168,3)="_en",IFERROR(INDEX(고객법인일정파일!$C$4:$C$200,MATCH("SEWA (Africa_EN)",고객법인일정파일!$C$4:$C$200,0)),""),"")),""))))))))</f>
        <v/>
      </c>
      <c r="Q168" s="11" t="str">
        <f>IF(LEN(TRIM(P168))=0,"",IFERROR(INDEX(고객법인일정파일!$E$4:$E$192,MATCH(P168,고객법인일정파일!$C$4:$C$192,0)),""))</f>
        <v/>
      </c>
      <c r="R168" s="12" t="str">
        <f>IF(OR(LEN(TRIM(P168))=0,Q168="X",Q168&lt;&gt;"O"),"",IFERROR(INDEX(고객법인일정파일!$F$4:$F$192,MATCH(P168,고객법인일정파일!$C$4:$C$192,0)),""))</f>
        <v/>
      </c>
      <c r="S168" s="12" t="str">
        <f>IF(OR(LEN(TRIM(P168))=0,Q168="X",Q168&lt;&gt;"O"),"",IFERROR(INDEX(고객법인일정파일!$H$4:$H$192,MATCH(P168,고객법인일정파일!$C$4:$C$192,0)),""))</f>
        <v/>
      </c>
    </row>
    <row r="169" spans="15:19">
      <c r="O169" s="11" t="str">
        <f>IF(IF(OR(NOT(ISBLANK(고객법인일정파일!B169)),ISBLANK(고객법인일정파일!C169),고객법인일정파일!C169="Total"),"",IF(ISNUMBER(FIND("-",고객법인일정파일!C169)),LEFT(고객법인일정파일!C169,FIND("-",고객법인일정파일!C169)-1),IF(ISNUMBER(FIND(" ",고객법인일정파일!C169)),LEFT(고객법인일정파일!C169,FIND(" ",고객법인일정파일!C169)-1),고객법인일정파일!C169)))="한총","sec",IF(OR(NOT(ISBLANK(고객법인일정파일!B169)),ISBLANK(고객법인일정파일!C169),고객법인일정파일!C169="Total"),"",IF(ISNUMBER(FIND("-",고객법인일정파일!C169)),LEFT(고객법인일정파일!C169,FIND("-",고객법인일정파일!C169)-1),IF(ISNUMBER(FIND(" ",고객법인일정파일!C169)),LEFT(고객법인일정파일!C169,FIND(" ",고객법인일정파일!C169)-1),고객법인일정파일!C169))))</f>
        <v/>
      </c>
      <c r="P169" s="11" t="str">
        <f>IF(ISBLANK(태깅기획site_code!F169),"",IF(COUNTIF(고객법인일정파일!$C$4:$C$200,태깅기획site_code!D169&amp;"-"&amp;UPPER(IF(ISNUMBER(FIND("_",태깅기획site_code!F169)),LEFT(태깅기획site_code!F169,FIND("_",태깅기획site_code!F169)-1),태깅기획site_code!F169)))&gt;0,태깅기획site_code!D169&amp;"-"&amp;UPPER(IF(ISNUMBER(FIND("_",태깅기획site_code!F169)),LEFT(태깅기획site_code!F169,FIND("_",태깅기획site_code!F169)-1),태깅기획site_code!F169)),IF(COUNTIF(고객법인일정파일!$C$4:$C$200,태깅기획site_code!D169&amp;" ("&amp;PROPER(LEFT(태깅기획site_code!F169,FIND("_",태깅기획site_code!F169)-1))&amp;"_"&amp;UPPER(MID(태깅기획site_code!F169,FIND("_",태깅기획site_code!F169)+1,20))&amp;")")&gt;0,태깅기획site_code!D169&amp;" ("&amp;PROPER(LEFT(태깅기획site_code!F169,FIND("_",태깅기획site_code!F169)-1))&amp;"_"&amp;UPPER(MID(태깅기획site_code!F169,FIND("_",태깅기획site_code!F169)+1,20))&amp;")",IF(COUNTIF(고객법인일정파일!$C$4:$C$200,태깅기획site_code!D169)&gt;0,태깅기획site_code!D169,IF(ISNUMBER(FIND("_",태깅기획site_code!F169)),"",IFERROR(INDEX(고객법인일정파일!$C$4:$C$200,MATCH(태깅기획site_code!D169,$O$4:$O$200,0)),IF(ISNUMBER(FIND("-",태깅기획site_code!D169)),IFERROR(INDEX(고객법인일정파일!$C$4:$C$200,MATCH(LEFT(태깅기획site_code!D169,FIND("-",태깅기획site_code!D169)-1),고객법인일정파일!$C$4:$C$200,0)),""),IF(태깅기획site_code!D169="SCA",IF(RIGHT(태깅기획site_code!F169,3)="_fr",IFERROR(INDEX(고객법인일정파일!$C$4:$C$200,MATCH("SEWA (Africa_FR)",고객법인일정파일!$C$4:$C$200,0)),""),IF(RIGHT(태깅기획site_code!F169,3)="_en",IFERROR(INDEX(고객법인일정파일!$C$4:$C$200,MATCH("SEWA (Africa_EN)",고객법인일정파일!$C$4:$C$200,0)),""),"")),""))))))))</f>
        <v/>
      </c>
      <c r="Q169" s="11" t="str">
        <f>IF(LEN(TRIM(P169))=0,"",IFERROR(INDEX(고객법인일정파일!$E$4:$E$192,MATCH(P169,고객법인일정파일!$C$4:$C$192,0)),""))</f>
        <v/>
      </c>
      <c r="R169" s="12" t="str">
        <f>IF(OR(LEN(TRIM(P169))=0,Q169="X",Q169&lt;&gt;"O"),"",IFERROR(INDEX(고객법인일정파일!$F$4:$F$192,MATCH(P169,고객법인일정파일!$C$4:$C$192,0)),""))</f>
        <v/>
      </c>
      <c r="S169" s="12" t="str">
        <f>IF(OR(LEN(TRIM(P169))=0,Q169="X",Q169&lt;&gt;"O"),"",IFERROR(INDEX(고객법인일정파일!$H$4:$H$192,MATCH(P169,고객법인일정파일!$C$4:$C$192,0)),""))</f>
        <v/>
      </c>
    </row>
    <row r="170" spans="15:19">
      <c r="O170" s="11" t="str">
        <f>IF(IF(OR(NOT(ISBLANK(고객법인일정파일!B170)),ISBLANK(고객법인일정파일!C170),고객법인일정파일!C170="Total"),"",IF(ISNUMBER(FIND("-",고객법인일정파일!C170)),LEFT(고객법인일정파일!C170,FIND("-",고객법인일정파일!C170)-1),IF(ISNUMBER(FIND(" ",고객법인일정파일!C170)),LEFT(고객법인일정파일!C170,FIND(" ",고객법인일정파일!C170)-1),고객법인일정파일!C170)))="한총","sec",IF(OR(NOT(ISBLANK(고객법인일정파일!B170)),ISBLANK(고객법인일정파일!C170),고객법인일정파일!C170="Total"),"",IF(ISNUMBER(FIND("-",고객법인일정파일!C170)),LEFT(고객법인일정파일!C170,FIND("-",고객법인일정파일!C170)-1),IF(ISNUMBER(FIND(" ",고객법인일정파일!C170)),LEFT(고객법인일정파일!C170,FIND(" ",고객법인일정파일!C170)-1),고객법인일정파일!C170))))</f>
        <v/>
      </c>
      <c r="P170" s="11" t="str">
        <f>IF(ISBLANK(태깅기획site_code!F170),"",IF(COUNTIF(고객법인일정파일!$C$4:$C$200,태깅기획site_code!D170&amp;"-"&amp;UPPER(IF(ISNUMBER(FIND("_",태깅기획site_code!F170)),LEFT(태깅기획site_code!F170,FIND("_",태깅기획site_code!F170)-1),태깅기획site_code!F170)))&gt;0,태깅기획site_code!D170&amp;"-"&amp;UPPER(IF(ISNUMBER(FIND("_",태깅기획site_code!F170)),LEFT(태깅기획site_code!F170,FIND("_",태깅기획site_code!F170)-1),태깅기획site_code!F170)),IF(COUNTIF(고객법인일정파일!$C$4:$C$200,태깅기획site_code!D170&amp;" ("&amp;PROPER(LEFT(태깅기획site_code!F170,FIND("_",태깅기획site_code!F170)-1))&amp;"_"&amp;UPPER(MID(태깅기획site_code!F170,FIND("_",태깅기획site_code!F170)+1,20))&amp;")")&gt;0,태깅기획site_code!D170&amp;" ("&amp;PROPER(LEFT(태깅기획site_code!F170,FIND("_",태깅기획site_code!F170)-1))&amp;"_"&amp;UPPER(MID(태깅기획site_code!F170,FIND("_",태깅기획site_code!F170)+1,20))&amp;")",IF(COUNTIF(고객법인일정파일!$C$4:$C$200,태깅기획site_code!D170)&gt;0,태깅기획site_code!D170,IF(ISNUMBER(FIND("_",태깅기획site_code!F170)),"",IFERROR(INDEX(고객법인일정파일!$C$4:$C$200,MATCH(태깅기획site_code!D170,$O$4:$O$200,0)),IF(ISNUMBER(FIND("-",태깅기획site_code!D170)),IFERROR(INDEX(고객법인일정파일!$C$4:$C$200,MATCH(LEFT(태깅기획site_code!D170,FIND("-",태깅기획site_code!D170)-1),고객법인일정파일!$C$4:$C$200,0)),""),IF(태깅기획site_code!D170="SCA",IF(RIGHT(태깅기획site_code!F170,3)="_fr",IFERROR(INDEX(고객법인일정파일!$C$4:$C$200,MATCH("SEWA (Africa_FR)",고객법인일정파일!$C$4:$C$200,0)),""),IF(RIGHT(태깅기획site_code!F170,3)="_en",IFERROR(INDEX(고객법인일정파일!$C$4:$C$200,MATCH("SEWA (Africa_EN)",고객법인일정파일!$C$4:$C$200,0)),""),"")),""))))))))</f>
        <v/>
      </c>
      <c r="Q170" s="11" t="str">
        <f>IF(LEN(TRIM(P170))=0,"",IFERROR(INDEX(고객법인일정파일!$E$4:$E$192,MATCH(P170,고객법인일정파일!$C$4:$C$192,0)),""))</f>
        <v/>
      </c>
      <c r="R170" s="12" t="str">
        <f>IF(OR(LEN(TRIM(P170))=0,Q170="X",Q170&lt;&gt;"O"),"",IFERROR(INDEX(고객법인일정파일!$F$4:$F$192,MATCH(P170,고객법인일정파일!$C$4:$C$192,0)),""))</f>
        <v/>
      </c>
      <c r="S170" s="12" t="str">
        <f>IF(OR(LEN(TRIM(P170))=0,Q170="X",Q170&lt;&gt;"O"),"",IFERROR(INDEX(고객법인일정파일!$H$4:$H$192,MATCH(P170,고객법인일정파일!$C$4:$C$192,0)),""))</f>
        <v/>
      </c>
    </row>
    <row r="171" spans="15:19">
      <c r="O171" s="11" t="str">
        <f>IF(IF(OR(NOT(ISBLANK(고객법인일정파일!B171)),ISBLANK(고객법인일정파일!C171),고객법인일정파일!C171="Total"),"",IF(ISNUMBER(FIND("-",고객법인일정파일!C171)),LEFT(고객법인일정파일!C171,FIND("-",고객법인일정파일!C171)-1),IF(ISNUMBER(FIND(" ",고객법인일정파일!C171)),LEFT(고객법인일정파일!C171,FIND(" ",고객법인일정파일!C171)-1),고객법인일정파일!C171)))="한총","sec",IF(OR(NOT(ISBLANK(고객법인일정파일!B171)),ISBLANK(고객법인일정파일!C171),고객법인일정파일!C171="Total"),"",IF(ISNUMBER(FIND("-",고객법인일정파일!C171)),LEFT(고객법인일정파일!C171,FIND("-",고객법인일정파일!C171)-1),IF(ISNUMBER(FIND(" ",고객법인일정파일!C171)),LEFT(고객법인일정파일!C171,FIND(" ",고객법인일정파일!C171)-1),고객법인일정파일!C171))))</f>
        <v/>
      </c>
      <c r="P171" s="11" t="str">
        <f>IF(ISBLANK(태깅기획site_code!F171),"",IF(COUNTIF(고객법인일정파일!$C$4:$C$200,태깅기획site_code!D171&amp;"-"&amp;UPPER(IF(ISNUMBER(FIND("_",태깅기획site_code!F171)),LEFT(태깅기획site_code!F171,FIND("_",태깅기획site_code!F171)-1),태깅기획site_code!F171)))&gt;0,태깅기획site_code!D171&amp;"-"&amp;UPPER(IF(ISNUMBER(FIND("_",태깅기획site_code!F171)),LEFT(태깅기획site_code!F171,FIND("_",태깅기획site_code!F171)-1),태깅기획site_code!F171)),IF(COUNTIF(고객법인일정파일!$C$4:$C$200,태깅기획site_code!D171&amp;" ("&amp;PROPER(LEFT(태깅기획site_code!F171,FIND("_",태깅기획site_code!F171)-1))&amp;"_"&amp;UPPER(MID(태깅기획site_code!F171,FIND("_",태깅기획site_code!F171)+1,20))&amp;")")&gt;0,태깅기획site_code!D171&amp;" ("&amp;PROPER(LEFT(태깅기획site_code!F171,FIND("_",태깅기획site_code!F171)-1))&amp;"_"&amp;UPPER(MID(태깅기획site_code!F171,FIND("_",태깅기획site_code!F171)+1,20))&amp;")",IF(COUNTIF(고객법인일정파일!$C$4:$C$200,태깅기획site_code!D171)&gt;0,태깅기획site_code!D171,IF(ISNUMBER(FIND("_",태깅기획site_code!F171)),"",IFERROR(INDEX(고객법인일정파일!$C$4:$C$200,MATCH(태깅기획site_code!D171,$O$4:$O$200,0)),IF(ISNUMBER(FIND("-",태깅기획site_code!D171)),IFERROR(INDEX(고객법인일정파일!$C$4:$C$200,MATCH(LEFT(태깅기획site_code!D171,FIND("-",태깅기획site_code!D171)-1),고객법인일정파일!$C$4:$C$200,0)),""),IF(태깅기획site_code!D171="SCA",IF(RIGHT(태깅기획site_code!F171,3)="_fr",IFERROR(INDEX(고객법인일정파일!$C$4:$C$200,MATCH("SEWA (Africa_FR)",고객법인일정파일!$C$4:$C$200,0)),""),IF(RIGHT(태깅기획site_code!F171,3)="_en",IFERROR(INDEX(고객법인일정파일!$C$4:$C$200,MATCH("SEWA (Africa_EN)",고객법인일정파일!$C$4:$C$200,0)),""),"")),""))))))))</f>
        <v/>
      </c>
      <c r="Q171" s="11" t="str">
        <f>IF(LEN(TRIM(P171))=0,"",IFERROR(INDEX(고객법인일정파일!$E$4:$E$192,MATCH(P171,고객법인일정파일!$C$4:$C$192,0)),""))</f>
        <v/>
      </c>
      <c r="R171" s="12" t="str">
        <f>IF(OR(LEN(TRIM(P171))=0,Q171="X",Q171&lt;&gt;"O"),"",IFERROR(INDEX(고객법인일정파일!$F$4:$F$192,MATCH(P171,고객법인일정파일!$C$4:$C$192,0)),""))</f>
        <v/>
      </c>
      <c r="S171" s="12" t="str">
        <f>IF(OR(LEN(TRIM(P171))=0,Q171="X",Q171&lt;&gt;"O"),"",IFERROR(INDEX(고객법인일정파일!$H$4:$H$192,MATCH(P171,고객법인일정파일!$C$4:$C$192,0)),""))</f>
        <v/>
      </c>
    </row>
    <row r="172" spans="15:19">
      <c r="O172" s="11" t="str">
        <f>IF(IF(OR(NOT(ISBLANK(고객법인일정파일!B172)),ISBLANK(고객법인일정파일!C172),고객법인일정파일!C172="Total"),"",IF(ISNUMBER(FIND("-",고객법인일정파일!C172)),LEFT(고객법인일정파일!C172,FIND("-",고객법인일정파일!C172)-1),IF(ISNUMBER(FIND(" ",고객법인일정파일!C172)),LEFT(고객법인일정파일!C172,FIND(" ",고객법인일정파일!C172)-1),고객법인일정파일!C172)))="한총","sec",IF(OR(NOT(ISBLANK(고객법인일정파일!B172)),ISBLANK(고객법인일정파일!C172),고객법인일정파일!C172="Total"),"",IF(ISNUMBER(FIND("-",고객법인일정파일!C172)),LEFT(고객법인일정파일!C172,FIND("-",고객법인일정파일!C172)-1),IF(ISNUMBER(FIND(" ",고객법인일정파일!C172)),LEFT(고객법인일정파일!C172,FIND(" ",고객법인일정파일!C172)-1),고객법인일정파일!C172))))</f>
        <v/>
      </c>
      <c r="P172" s="11" t="str">
        <f>IF(ISBLANK(태깅기획site_code!F172),"",IF(COUNTIF(고객법인일정파일!$C$4:$C$200,태깅기획site_code!D172&amp;"-"&amp;UPPER(IF(ISNUMBER(FIND("_",태깅기획site_code!F172)),LEFT(태깅기획site_code!F172,FIND("_",태깅기획site_code!F172)-1),태깅기획site_code!F172)))&gt;0,태깅기획site_code!D172&amp;"-"&amp;UPPER(IF(ISNUMBER(FIND("_",태깅기획site_code!F172)),LEFT(태깅기획site_code!F172,FIND("_",태깅기획site_code!F172)-1),태깅기획site_code!F172)),IF(COUNTIF(고객법인일정파일!$C$4:$C$200,태깅기획site_code!D172&amp;" ("&amp;PROPER(LEFT(태깅기획site_code!F172,FIND("_",태깅기획site_code!F172)-1))&amp;"_"&amp;UPPER(MID(태깅기획site_code!F172,FIND("_",태깅기획site_code!F172)+1,20))&amp;")")&gt;0,태깅기획site_code!D172&amp;" ("&amp;PROPER(LEFT(태깅기획site_code!F172,FIND("_",태깅기획site_code!F172)-1))&amp;"_"&amp;UPPER(MID(태깅기획site_code!F172,FIND("_",태깅기획site_code!F172)+1,20))&amp;")",IF(COUNTIF(고객법인일정파일!$C$4:$C$200,태깅기획site_code!D172)&gt;0,태깅기획site_code!D172,IF(ISNUMBER(FIND("_",태깅기획site_code!F172)),"",IFERROR(INDEX(고객법인일정파일!$C$4:$C$200,MATCH(태깅기획site_code!D172,$O$4:$O$200,0)),IF(ISNUMBER(FIND("-",태깅기획site_code!D172)),IFERROR(INDEX(고객법인일정파일!$C$4:$C$200,MATCH(LEFT(태깅기획site_code!D172,FIND("-",태깅기획site_code!D172)-1),고객법인일정파일!$C$4:$C$200,0)),""),IF(태깅기획site_code!D172="SCA",IF(RIGHT(태깅기획site_code!F172,3)="_fr",IFERROR(INDEX(고객법인일정파일!$C$4:$C$200,MATCH("SEWA (Africa_FR)",고객법인일정파일!$C$4:$C$200,0)),""),IF(RIGHT(태깅기획site_code!F172,3)="_en",IFERROR(INDEX(고객법인일정파일!$C$4:$C$200,MATCH("SEWA (Africa_EN)",고객법인일정파일!$C$4:$C$200,0)),""),"")),""))))))))</f>
        <v/>
      </c>
      <c r="Q172" s="11" t="str">
        <f>IF(LEN(TRIM(P172))=0,"",IFERROR(INDEX(고객법인일정파일!$E$4:$E$192,MATCH(P172,고객법인일정파일!$C$4:$C$192,0)),""))</f>
        <v/>
      </c>
      <c r="R172" s="12" t="str">
        <f>IF(OR(LEN(TRIM(P172))=0,Q172="X",Q172&lt;&gt;"O"),"",IFERROR(INDEX(고객법인일정파일!$F$4:$F$192,MATCH(P172,고객법인일정파일!$C$4:$C$192,0)),""))</f>
        <v/>
      </c>
      <c r="S172" s="12" t="str">
        <f>IF(OR(LEN(TRIM(P172))=0,Q172="X",Q172&lt;&gt;"O"),"",IFERROR(INDEX(고객법인일정파일!$H$4:$H$192,MATCH(P172,고객법인일정파일!$C$4:$C$192,0)),""))</f>
        <v/>
      </c>
    </row>
    <row r="173" spans="15:19">
      <c r="O173" s="11" t="str">
        <f>IF(IF(OR(NOT(ISBLANK(고객법인일정파일!B173)),ISBLANK(고객법인일정파일!C173),고객법인일정파일!C173="Total"),"",IF(ISNUMBER(FIND("-",고객법인일정파일!C173)),LEFT(고객법인일정파일!C173,FIND("-",고객법인일정파일!C173)-1),IF(ISNUMBER(FIND(" ",고객법인일정파일!C173)),LEFT(고객법인일정파일!C173,FIND(" ",고객법인일정파일!C173)-1),고객법인일정파일!C173)))="한총","sec",IF(OR(NOT(ISBLANK(고객법인일정파일!B173)),ISBLANK(고객법인일정파일!C173),고객법인일정파일!C173="Total"),"",IF(ISNUMBER(FIND("-",고객법인일정파일!C173)),LEFT(고객법인일정파일!C173,FIND("-",고객법인일정파일!C173)-1),IF(ISNUMBER(FIND(" ",고객법인일정파일!C173)),LEFT(고객법인일정파일!C173,FIND(" ",고객법인일정파일!C173)-1),고객법인일정파일!C173))))</f>
        <v/>
      </c>
      <c r="P173" s="11" t="str">
        <f>IF(ISBLANK(태깅기획site_code!F173),"",IF(COUNTIF(고객법인일정파일!$C$4:$C$200,태깅기획site_code!D173&amp;"-"&amp;UPPER(IF(ISNUMBER(FIND("_",태깅기획site_code!F173)),LEFT(태깅기획site_code!F173,FIND("_",태깅기획site_code!F173)-1),태깅기획site_code!F173)))&gt;0,태깅기획site_code!D173&amp;"-"&amp;UPPER(IF(ISNUMBER(FIND("_",태깅기획site_code!F173)),LEFT(태깅기획site_code!F173,FIND("_",태깅기획site_code!F173)-1),태깅기획site_code!F173)),IF(COUNTIF(고객법인일정파일!$C$4:$C$200,태깅기획site_code!D173&amp;" ("&amp;PROPER(LEFT(태깅기획site_code!F173,FIND("_",태깅기획site_code!F173)-1))&amp;"_"&amp;UPPER(MID(태깅기획site_code!F173,FIND("_",태깅기획site_code!F173)+1,20))&amp;")")&gt;0,태깅기획site_code!D173&amp;" ("&amp;PROPER(LEFT(태깅기획site_code!F173,FIND("_",태깅기획site_code!F173)-1))&amp;"_"&amp;UPPER(MID(태깅기획site_code!F173,FIND("_",태깅기획site_code!F173)+1,20))&amp;")",IF(COUNTIF(고객법인일정파일!$C$4:$C$200,태깅기획site_code!D173)&gt;0,태깅기획site_code!D173,IF(ISNUMBER(FIND("_",태깅기획site_code!F173)),"",IFERROR(INDEX(고객법인일정파일!$C$4:$C$200,MATCH(태깅기획site_code!D173,$O$4:$O$200,0)),IF(ISNUMBER(FIND("-",태깅기획site_code!D173)),IFERROR(INDEX(고객법인일정파일!$C$4:$C$200,MATCH(LEFT(태깅기획site_code!D173,FIND("-",태깅기획site_code!D173)-1),고객법인일정파일!$C$4:$C$200,0)),""),IF(태깅기획site_code!D173="SCA",IF(RIGHT(태깅기획site_code!F173,3)="_fr",IFERROR(INDEX(고객법인일정파일!$C$4:$C$200,MATCH("SEWA (Africa_FR)",고객법인일정파일!$C$4:$C$200,0)),""),IF(RIGHT(태깅기획site_code!F173,3)="_en",IFERROR(INDEX(고객법인일정파일!$C$4:$C$200,MATCH("SEWA (Africa_EN)",고객법인일정파일!$C$4:$C$200,0)),""),"")),""))))))))</f>
        <v/>
      </c>
      <c r="Q173" s="11" t="str">
        <f>IF(LEN(TRIM(P173))=0,"",IFERROR(INDEX(고객법인일정파일!$E$4:$E$192,MATCH(P173,고객법인일정파일!$C$4:$C$192,0)),""))</f>
        <v/>
      </c>
      <c r="R173" s="12" t="str">
        <f>IF(OR(LEN(TRIM(P173))=0,Q173="X",Q173&lt;&gt;"O"),"",IFERROR(INDEX(고객법인일정파일!$F$4:$F$192,MATCH(P173,고객법인일정파일!$C$4:$C$192,0)),""))</f>
        <v/>
      </c>
      <c r="S173" s="12" t="str">
        <f>IF(OR(LEN(TRIM(P173))=0,Q173="X",Q173&lt;&gt;"O"),"",IFERROR(INDEX(고객법인일정파일!$H$4:$H$192,MATCH(P173,고객법인일정파일!$C$4:$C$192,0)),""))</f>
        <v/>
      </c>
    </row>
    <row r="174" spans="15:19">
      <c r="O174" s="11" t="str">
        <f>IF(IF(OR(NOT(ISBLANK(고객법인일정파일!B174)),ISBLANK(고객법인일정파일!C174),고객법인일정파일!C174="Total"),"",IF(ISNUMBER(FIND("-",고객법인일정파일!C174)),LEFT(고객법인일정파일!C174,FIND("-",고객법인일정파일!C174)-1),IF(ISNUMBER(FIND(" ",고객법인일정파일!C174)),LEFT(고객법인일정파일!C174,FIND(" ",고객법인일정파일!C174)-1),고객법인일정파일!C174)))="한총","sec",IF(OR(NOT(ISBLANK(고객법인일정파일!B174)),ISBLANK(고객법인일정파일!C174),고객법인일정파일!C174="Total"),"",IF(ISNUMBER(FIND("-",고객법인일정파일!C174)),LEFT(고객법인일정파일!C174,FIND("-",고객법인일정파일!C174)-1),IF(ISNUMBER(FIND(" ",고객법인일정파일!C174)),LEFT(고객법인일정파일!C174,FIND(" ",고객법인일정파일!C174)-1),고객법인일정파일!C174))))</f>
        <v/>
      </c>
      <c r="P174" s="11" t="str">
        <f>IF(ISBLANK(태깅기획site_code!F174),"",IF(COUNTIF(고객법인일정파일!$C$4:$C$200,태깅기획site_code!D174&amp;"-"&amp;UPPER(IF(ISNUMBER(FIND("_",태깅기획site_code!F174)),LEFT(태깅기획site_code!F174,FIND("_",태깅기획site_code!F174)-1),태깅기획site_code!F174)))&gt;0,태깅기획site_code!D174&amp;"-"&amp;UPPER(IF(ISNUMBER(FIND("_",태깅기획site_code!F174)),LEFT(태깅기획site_code!F174,FIND("_",태깅기획site_code!F174)-1),태깅기획site_code!F174)),IF(COUNTIF(고객법인일정파일!$C$4:$C$200,태깅기획site_code!D174&amp;" ("&amp;PROPER(LEFT(태깅기획site_code!F174,FIND("_",태깅기획site_code!F174)-1))&amp;"_"&amp;UPPER(MID(태깅기획site_code!F174,FIND("_",태깅기획site_code!F174)+1,20))&amp;")")&gt;0,태깅기획site_code!D174&amp;" ("&amp;PROPER(LEFT(태깅기획site_code!F174,FIND("_",태깅기획site_code!F174)-1))&amp;"_"&amp;UPPER(MID(태깅기획site_code!F174,FIND("_",태깅기획site_code!F174)+1,20))&amp;")",IF(COUNTIF(고객법인일정파일!$C$4:$C$200,태깅기획site_code!D174)&gt;0,태깅기획site_code!D174,IF(ISNUMBER(FIND("_",태깅기획site_code!F174)),"",IFERROR(INDEX(고객법인일정파일!$C$4:$C$200,MATCH(태깅기획site_code!D174,$O$4:$O$200,0)),IF(ISNUMBER(FIND("-",태깅기획site_code!D174)),IFERROR(INDEX(고객법인일정파일!$C$4:$C$200,MATCH(LEFT(태깅기획site_code!D174,FIND("-",태깅기획site_code!D174)-1),고객법인일정파일!$C$4:$C$200,0)),""),IF(태깅기획site_code!D174="SCA",IF(RIGHT(태깅기획site_code!F174,3)="_fr",IFERROR(INDEX(고객법인일정파일!$C$4:$C$200,MATCH("SEWA (Africa_FR)",고객법인일정파일!$C$4:$C$200,0)),""),IF(RIGHT(태깅기획site_code!F174,3)="_en",IFERROR(INDEX(고객법인일정파일!$C$4:$C$200,MATCH("SEWA (Africa_EN)",고객법인일정파일!$C$4:$C$200,0)),""),"")),""))))))))</f>
        <v/>
      </c>
      <c r="Q174" s="11" t="str">
        <f>IF(LEN(TRIM(P174))=0,"",IFERROR(INDEX(고객법인일정파일!$E$4:$E$192,MATCH(P174,고객법인일정파일!$C$4:$C$192,0)),""))</f>
        <v/>
      </c>
      <c r="R174" s="12" t="str">
        <f>IF(OR(LEN(TRIM(P174))=0,Q174="X",Q174&lt;&gt;"O"),"",IFERROR(INDEX(고객법인일정파일!$F$4:$F$192,MATCH(P174,고객법인일정파일!$C$4:$C$192,0)),""))</f>
        <v/>
      </c>
      <c r="S174" s="12" t="str">
        <f>IF(OR(LEN(TRIM(P174))=0,Q174="X",Q174&lt;&gt;"O"),"",IFERROR(INDEX(고객법인일정파일!$H$4:$H$192,MATCH(P174,고객법인일정파일!$C$4:$C$192,0)),""))</f>
        <v/>
      </c>
    </row>
    <row r="175" spans="15:19">
      <c r="O175" s="11" t="str">
        <f>IF(IF(OR(NOT(ISBLANK(고객법인일정파일!B175)),ISBLANK(고객법인일정파일!C175),고객법인일정파일!C175="Total"),"",IF(ISNUMBER(FIND("-",고객법인일정파일!C175)),LEFT(고객법인일정파일!C175,FIND("-",고객법인일정파일!C175)-1),IF(ISNUMBER(FIND(" ",고객법인일정파일!C175)),LEFT(고객법인일정파일!C175,FIND(" ",고객법인일정파일!C175)-1),고객법인일정파일!C175)))="한총","sec",IF(OR(NOT(ISBLANK(고객법인일정파일!B175)),ISBLANK(고객법인일정파일!C175),고객법인일정파일!C175="Total"),"",IF(ISNUMBER(FIND("-",고객법인일정파일!C175)),LEFT(고객법인일정파일!C175,FIND("-",고객법인일정파일!C175)-1),IF(ISNUMBER(FIND(" ",고객법인일정파일!C175)),LEFT(고객법인일정파일!C175,FIND(" ",고객법인일정파일!C175)-1),고객법인일정파일!C175))))</f>
        <v/>
      </c>
      <c r="P175" s="11" t="str">
        <f>IF(ISBLANK(태깅기획site_code!F175),"",IF(COUNTIF(고객법인일정파일!$C$4:$C$200,태깅기획site_code!D175&amp;"-"&amp;UPPER(IF(ISNUMBER(FIND("_",태깅기획site_code!F175)),LEFT(태깅기획site_code!F175,FIND("_",태깅기획site_code!F175)-1),태깅기획site_code!F175)))&gt;0,태깅기획site_code!D175&amp;"-"&amp;UPPER(IF(ISNUMBER(FIND("_",태깅기획site_code!F175)),LEFT(태깅기획site_code!F175,FIND("_",태깅기획site_code!F175)-1),태깅기획site_code!F175)),IF(COUNTIF(고객법인일정파일!$C$4:$C$200,태깅기획site_code!D175&amp;" ("&amp;PROPER(LEFT(태깅기획site_code!F175,FIND("_",태깅기획site_code!F175)-1))&amp;"_"&amp;UPPER(MID(태깅기획site_code!F175,FIND("_",태깅기획site_code!F175)+1,20))&amp;")")&gt;0,태깅기획site_code!D175&amp;" ("&amp;PROPER(LEFT(태깅기획site_code!F175,FIND("_",태깅기획site_code!F175)-1))&amp;"_"&amp;UPPER(MID(태깅기획site_code!F175,FIND("_",태깅기획site_code!F175)+1,20))&amp;")",IF(COUNTIF(고객법인일정파일!$C$4:$C$200,태깅기획site_code!D175)&gt;0,태깅기획site_code!D175,IF(ISNUMBER(FIND("_",태깅기획site_code!F175)),"",IFERROR(INDEX(고객법인일정파일!$C$4:$C$200,MATCH(태깅기획site_code!D175,$O$4:$O$200,0)),IF(ISNUMBER(FIND("-",태깅기획site_code!D175)),IFERROR(INDEX(고객법인일정파일!$C$4:$C$200,MATCH(LEFT(태깅기획site_code!D175,FIND("-",태깅기획site_code!D175)-1),고객법인일정파일!$C$4:$C$200,0)),""),IF(태깅기획site_code!D175="SCA",IF(RIGHT(태깅기획site_code!F175,3)="_fr",IFERROR(INDEX(고객법인일정파일!$C$4:$C$200,MATCH("SEWA (Africa_FR)",고객법인일정파일!$C$4:$C$200,0)),""),IF(RIGHT(태깅기획site_code!F175,3)="_en",IFERROR(INDEX(고객법인일정파일!$C$4:$C$200,MATCH("SEWA (Africa_EN)",고객법인일정파일!$C$4:$C$200,0)),""),"")),""))))))))</f>
        <v/>
      </c>
      <c r="Q175" s="11" t="str">
        <f>IF(LEN(TRIM(P175))=0,"",IFERROR(INDEX(고객법인일정파일!$E$4:$E$192,MATCH(P175,고객법인일정파일!$C$4:$C$192,0)),""))</f>
        <v/>
      </c>
      <c r="R175" s="12" t="str">
        <f>IF(OR(LEN(TRIM(P175))=0,Q175="X",Q175&lt;&gt;"O"),"",IFERROR(INDEX(고객법인일정파일!$F$4:$F$192,MATCH(P175,고객법인일정파일!$C$4:$C$192,0)),""))</f>
        <v/>
      </c>
      <c r="S175" s="12" t="str">
        <f>IF(OR(LEN(TRIM(P175))=0,Q175="X",Q175&lt;&gt;"O"),"",IFERROR(INDEX(고객법인일정파일!$H$4:$H$192,MATCH(P175,고객법인일정파일!$C$4:$C$192,0)),""))</f>
        <v/>
      </c>
    </row>
    <row r="176" spans="15:19">
      <c r="O176" s="11" t="str">
        <f>IF(IF(OR(NOT(ISBLANK(고객법인일정파일!B176)),ISBLANK(고객법인일정파일!C176),고객법인일정파일!C176="Total"),"",IF(ISNUMBER(FIND("-",고객법인일정파일!C176)),LEFT(고객법인일정파일!C176,FIND("-",고객법인일정파일!C176)-1),IF(ISNUMBER(FIND(" ",고객법인일정파일!C176)),LEFT(고객법인일정파일!C176,FIND(" ",고객법인일정파일!C176)-1),고객법인일정파일!C176)))="한총","sec",IF(OR(NOT(ISBLANK(고객법인일정파일!B176)),ISBLANK(고객법인일정파일!C176),고객법인일정파일!C176="Total"),"",IF(ISNUMBER(FIND("-",고객법인일정파일!C176)),LEFT(고객법인일정파일!C176,FIND("-",고객법인일정파일!C176)-1),IF(ISNUMBER(FIND(" ",고객법인일정파일!C176)),LEFT(고객법인일정파일!C176,FIND(" ",고객법인일정파일!C176)-1),고객법인일정파일!C176))))</f>
        <v/>
      </c>
      <c r="P176" s="11" t="str">
        <f>IF(ISBLANK(태깅기획site_code!F176),"",IF(COUNTIF(고객법인일정파일!$C$4:$C$200,태깅기획site_code!D176&amp;"-"&amp;UPPER(IF(ISNUMBER(FIND("_",태깅기획site_code!F176)),LEFT(태깅기획site_code!F176,FIND("_",태깅기획site_code!F176)-1),태깅기획site_code!F176)))&gt;0,태깅기획site_code!D176&amp;"-"&amp;UPPER(IF(ISNUMBER(FIND("_",태깅기획site_code!F176)),LEFT(태깅기획site_code!F176,FIND("_",태깅기획site_code!F176)-1),태깅기획site_code!F176)),IF(COUNTIF(고객법인일정파일!$C$4:$C$200,태깅기획site_code!D176&amp;" ("&amp;PROPER(LEFT(태깅기획site_code!F176,FIND("_",태깅기획site_code!F176)-1))&amp;"_"&amp;UPPER(MID(태깅기획site_code!F176,FIND("_",태깅기획site_code!F176)+1,20))&amp;")")&gt;0,태깅기획site_code!D176&amp;" ("&amp;PROPER(LEFT(태깅기획site_code!F176,FIND("_",태깅기획site_code!F176)-1))&amp;"_"&amp;UPPER(MID(태깅기획site_code!F176,FIND("_",태깅기획site_code!F176)+1,20))&amp;")",IF(COUNTIF(고객법인일정파일!$C$4:$C$200,태깅기획site_code!D176)&gt;0,태깅기획site_code!D176,IF(ISNUMBER(FIND("_",태깅기획site_code!F176)),"",IFERROR(INDEX(고객법인일정파일!$C$4:$C$200,MATCH(태깅기획site_code!D176,$O$4:$O$200,0)),IF(ISNUMBER(FIND("-",태깅기획site_code!D176)),IFERROR(INDEX(고객법인일정파일!$C$4:$C$200,MATCH(LEFT(태깅기획site_code!D176,FIND("-",태깅기획site_code!D176)-1),고객법인일정파일!$C$4:$C$200,0)),""),IF(태깅기획site_code!D176="SCA",IF(RIGHT(태깅기획site_code!F176,3)="_fr",IFERROR(INDEX(고객법인일정파일!$C$4:$C$200,MATCH("SEWA (Africa_FR)",고객법인일정파일!$C$4:$C$200,0)),""),IF(RIGHT(태깅기획site_code!F176,3)="_en",IFERROR(INDEX(고객법인일정파일!$C$4:$C$200,MATCH("SEWA (Africa_EN)",고객법인일정파일!$C$4:$C$200,0)),""),"")),""))))))))</f>
        <v/>
      </c>
      <c r="Q176" s="11" t="str">
        <f>IF(LEN(TRIM(P176))=0,"",IFERROR(INDEX(고객법인일정파일!$E$4:$E$192,MATCH(P176,고객법인일정파일!$C$4:$C$192,0)),""))</f>
        <v/>
      </c>
      <c r="R176" s="12" t="str">
        <f>IF(OR(LEN(TRIM(P176))=0,Q176="X",Q176&lt;&gt;"O"),"",IFERROR(INDEX(고객법인일정파일!$F$4:$F$192,MATCH(P176,고객법인일정파일!$C$4:$C$192,0)),""))</f>
        <v/>
      </c>
      <c r="S176" s="12" t="str">
        <f>IF(OR(LEN(TRIM(P176))=0,Q176="X",Q176&lt;&gt;"O"),"",IFERROR(INDEX(고객법인일정파일!$H$4:$H$192,MATCH(P176,고객법인일정파일!$C$4:$C$192,0)),""))</f>
        <v/>
      </c>
    </row>
    <row r="177" spans="15:19">
      <c r="O177" s="11" t="str">
        <f>IF(IF(OR(NOT(ISBLANK(고객법인일정파일!B177)),ISBLANK(고객법인일정파일!C177),고객법인일정파일!C177="Total"),"",IF(ISNUMBER(FIND("-",고객법인일정파일!C177)),LEFT(고객법인일정파일!C177,FIND("-",고객법인일정파일!C177)-1),IF(ISNUMBER(FIND(" ",고객법인일정파일!C177)),LEFT(고객법인일정파일!C177,FIND(" ",고객법인일정파일!C177)-1),고객법인일정파일!C177)))="한총","sec",IF(OR(NOT(ISBLANK(고객법인일정파일!B177)),ISBLANK(고객법인일정파일!C177),고객법인일정파일!C177="Total"),"",IF(ISNUMBER(FIND("-",고객법인일정파일!C177)),LEFT(고객법인일정파일!C177,FIND("-",고객법인일정파일!C177)-1),IF(ISNUMBER(FIND(" ",고객법인일정파일!C177)),LEFT(고객법인일정파일!C177,FIND(" ",고객법인일정파일!C177)-1),고객법인일정파일!C177))))</f>
        <v/>
      </c>
      <c r="P177" s="11" t="str">
        <f>IF(ISBLANK(태깅기획site_code!F177),"",IF(COUNTIF(고객법인일정파일!$C$4:$C$200,태깅기획site_code!D177&amp;"-"&amp;UPPER(IF(ISNUMBER(FIND("_",태깅기획site_code!F177)),LEFT(태깅기획site_code!F177,FIND("_",태깅기획site_code!F177)-1),태깅기획site_code!F177)))&gt;0,태깅기획site_code!D177&amp;"-"&amp;UPPER(IF(ISNUMBER(FIND("_",태깅기획site_code!F177)),LEFT(태깅기획site_code!F177,FIND("_",태깅기획site_code!F177)-1),태깅기획site_code!F177)),IF(COUNTIF(고객법인일정파일!$C$4:$C$200,태깅기획site_code!D177&amp;" ("&amp;PROPER(LEFT(태깅기획site_code!F177,FIND("_",태깅기획site_code!F177)-1))&amp;"_"&amp;UPPER(MID(태깅기획site_code!F177,FIND("_",태깅기획site_code!F177)+1,20))&amp;")")&gt;0,태깅기획site_code!D177&amp;" ("&amp;PROPER(LEFT(태깅기획site_code!F177,FIND("_",태깅기획site_code!F177)-1))&amp;"_"&amp;UPPER(MID(태깅기획site_code!F177,FIND("_",태깅기획site_code!F177)+1,20))&amp;")",IF(COUNTIF(고객법인일정파일!$C$4:$C$200,태깅기획site_code!D177)&gt;0,태깅기획site_code!D177,IF(ISNUMBER(FIND("_",태깅기획site_code!F177)),"",IFERROR(INDEX(고객법인일정파일!$C$4:$C$200,MATCH(태깅기획site_code!D177,$O$4:$O$200,0)),IF(ISNUMBER(FIND("-",태깅기획site_code!D177)),IFERROR(INDEX(고객법인일정파일!$C$4:$C$200,MATCH(LEFT(태깅기획site_code!D177,FIND("-",태깅기획site_code!D177)-1),고객법인일정파일!$C$4:$C$200,0)),""),IF(태깅기획site_code!D177="SCA",IF(RIGHT(태깅기획site_code!F177,3)="_fr",IFERROR(INDEX(고객법인일정파일!$C$4:$C$200,MATCH("SEWA (Africa_FR)",고객법인일정파일!$C$4:$C$200,0)),""),IF(RIGHT(태깅기획site_code!F177,3)="_en",IFERROR(INDEX(고객법인일정파일!$C$4:$C$200,MATCH("SEWA (Africa_EN)",고객법인일정파일!$C$4:$C$200,0)),""),"")),""))))))))</f>
        <v/>
      </c>
      <c r="Q177" s="11" t="str">
        <f>IF(LEN(TRIM(P177))=0,"",IFERROR(INDEX(고객법인일정파일!$E$4:$E$192,MATCH(P177,고객법인일정파일!$C$4:$C$192,0)),""))</f>
        <v/>
      </c>
      <c r="R177" s="12" t="str">
        <f>IF(OR(LEN(TRIM(P177))=0,Q177="X",Q177&lt;&gt;"O"),"",IFERROR(INDEX(고객법인일정파일!$F$4:$F$192,MATCH(P177,고객법인일정파일!$C$4:$C$192,0)),""))</f>
        <v/>
      </c>
      <c r="S177" s="12" t="str">
        <f>IF(OR(LEN(TRIM(P177))=0,Q177="X",Q177&lt;&gt;"O"),"",IFERROR(INDEX(고객법인일정파일!$H$4:$H$192,MATCH(P177,고객법인일정파일!$C$4:$C$192,0)),""))</f>
        <v/>
      </c>
    </row>
    <row r="178" spans="15:19">
      <c r="O178" s="11" t="str">
        <f>IF(IF(OR(NOT(ISBLANK(고객법인일정파일!B178)),ISBLANK(고객법인일정파일!C178),고객법인일정파일!C178="Total"),"",IF(ISNUMBER(FIND("-",고객법인일정파일!C178)),LEFT(고객법인일정파일!C178,FIND("-",고객법인일정파일!C178)-1),IF(ISNUMBER(FIND(" ",고객법인일정파일!C178)),LEFT(고객법인일정파일!C178,FIND(" ",고객법인일정파일!C178)-1),고객법인일정파일!C178)))="한총","sec",IF(OR(NOT(ISBLANK(고객법인일정파일!B178)),ISBLANK(고객법인일정파일!C178),고객법인일정파일!C178="Total"),"",IF(ISNUMBER(FIND("-",고객법인일정파일!C178)),LEFT(고객법인일정파일!C178,FIND("-",고객법인일정파일!C178)-1),IF(ISNUMBER(FIND(" ",고객법인일정파일!C178)),LEFT(고객법인일정파일!C178,FIND(" ",고객법인일정파일!C178)-1),고객법인일정파일!C178))))</f>
        <v/>
      </c>
      <c r="P178" s="11" t="str">
        <f>IF(ISBLANK(태깅기획site_code!F178),"",IF(COUNTIF(고객법인일정파일!$C$4:$C$200,태깅기획site_code!D178&amp;"-"&amp;UPPER(IF(ISNUMBER(FIND("_",태깅기획site_code!F178)),LEFT(태깅기획site_code!F178,FIND("_",태깅기획site_code!F178)-1),태깅기획site_code!F178)))&gt;0,태깅기획site_code!D178&amp;"-"&amp;UPPER(IF(ISNUMBER(FIND("_",태깅기획site_code!F178)),LEFT(태깅기획site_code!F178,FIND("_",태깅기획site_code!F178)-1),태깅기획site_code!F178)),IF(COUNTIF(고객법인일정파일!$C$4:$C$200,태깅기획site_code!D178&amp;" ("&amp;PROPER(LEFT(태깅기획site_code!F178,FIND("_",태깅기획site_code!F178)-1))&amp;"_"&amp;UPPER(MID(태깅기획site_code!F178,FIND("_",태깅기획site_code!F178)+1,20))&amp;")")&gt;0,태깅기획site_code!D178&amp;" ("&amp;PROPER(LEFT(태깅기획site_code!F178,FIND("_",태깅기획site_code!F178)-1))&amp;"_"&amp;UPPER(MID(태깅기획site_code!F178,FIND("_",태깅기획site_code!F178)+1,20))&amp;")",IF(COUNTIF(고객법인일정파일!$C$4:$C$200,태깅기획site_code!D178)&gt;0,태깅기획site_code!D178,IF(ISNUMBER(FIND("_",태깅기획site_code!F178)),"",IFERROR(INDEX(고객법인일정파일!$C$4:$C$200,MATCH(태깅기획site_code!D178,$O$4:$O$200,0)),IF(ISNUMBER(FIND("-",태깅기획site_code!D178)),IFERROR(INDEX(고객법인일정파일!$C$4:$C$200,MATCH(LEFT(태깅기획site_code!D178,FIND("-",태깅기획site_code!D178)-1),고객법인일정파일!$C$4:$C$200,0)),""),IF(태깅기획site_code!D178="SCA",IF(RIGHT(태깅기획site_code!F178,3)="_fr",IFERROR(INDEX(고객법인일정파일!$C$4:$C$200,MATCH("SEWA (Africa_FR)",고객법인일정파일!$C$4:$C$200,0)),""),IF(RIGHT(태깅기획site_code!F178,3)="_en",IFERROR(INDEX(고객법인일정파일!$C$4:$C$200,MATCH("SEWA (Africa_EN)",고객법인일정파일!$C$4:$C$200,0)),""),"")),""))))))))</f>
        <v/>
      </c>
      <c r="Q178" s="11" t="str">
        <f>IF(LEN(TRIM(P178))=0,"",IFERROR(INDEX(고객법인일정파일!$E$4:$E$192,MATCH(P178,고객법인일정파일!$C$4:$C$192,0)),""))</f>
        <v/>
      </c>
      <c r="R178" s="12" t="str">
        <f>IF(OR(LEN(TRIM(P178))=0,Q178="X",Q178&lt;&gt;"O"),"",IFERROR(INDEX(고객법인일정파일!$F$4:$F$192,MATCH(P178,고객법인일정파일!$C$4:$C$192,0)),""))</f>
        <v/>
      </c>
      <c r="S178" s="12" t="str">
        <f>IF(OR(LEN(TRIM(P178))=0,Q178="X",Q178&lt;&gt;"O"),"",IFERROR(INDEX(고객법인일정파일!$H$4:$H$192,MATCH(P178,고객법인일정파일!$C$4:$C$192,0)),""))</f>
        <v/>
      </c>
    </row>
    <row r="179" spans="15:19">
      <c r="O179" s="11" t="str">
        <f>IF(IF(OR(NOT(ISBLANK(고객법인일정파일!B179)),ISBLANK(고객법인일정파일!C179),고객법인일정파일!C179="Total"),"",IF(ISNUMBER(FIND("-",고객법인일정파일!C179)),LEFT(고객법인일정파일!C179,FIND("-",고객법인일정파일!C179)-1),IF(ISNUMBER(FIND(" ",고객법인일정파일!C179)),LEFT(고객법인일정파일!C179,FIND(" ",고객법인일정파일!C179)-1),고객법인일정파일!C179)))="한총","sec",IF(OR(NOT(ISBLANK(고객법인일정파일!B179)),ISBLANK(고객법인일정파일!C179),고객법인일정파일!C179="Total"),"",IF(ISNUMBER(FIND("-",고객법인일정파일!C179)),LEFT(고객법인일정파일!C179,FIND("-",고객법인일정파일!C179)-1),IF(ISNUMBER(FIND(" ",고객법인일정파일!C179)),LEFT(고객법인일정파일!C179,FIND(" ",고객법인일정파일!C179)-1),고객법인일정파일!C179))))</f>
        <v/>
      </c>
      <c r="P179" s="11" t="str">
        <f>IF(ISBLANK(태깅기획site_code!F179),"",IF(COUNTIF(고객법인일정파일!$C$4:$C$200,태깅기획site_code!D179&amp;"-"&amp;UPPER(IF(ISNUMBER(FIND("_",태깅기획site_code!F179)),LEFT(태깅기획site_code!F179,FIND("_",태깅기획site_code!F179)-1),태깅기획site_code!F179)))&gt;0,태깅기획site_code!D179&amp;"-"&amp;UPPER(IF(ISNUMBER(FIND("_",태깅기획site_code!F179)),LEFT(태깅기획site_code!F179,FIND("_",태깅기획site_code!F179)-1),태깅기획site_code!F179)),IF(COUNTIF(고객법인일정파일!$C$4:$C$200,태깅기획site_code!D179&amp;" ("&amp;PROPER(LEFT(태깅기획site_code!F179,FIND("_",태깅기획site_code!F179)-1))&amp;"_"&amp;UPPER(MID(태깅기획site_code!F179,FIND("_",태깅기획site_code!F179)+1,20))&amp;")")&gt;0,태깅기획site_code!D179&amp;" ("&amp;PROPER(LEFT(태깅기획site_code!F179,FIND("_",태깅기획site_code!F179)-1))&amp;"_"&amp;UPPER(MID(태깅기획site_code!F179,FIND("_",태깅기획site_code!F179)+1,20))&amp;")",IF(COUNTIF(고객법인일정파일!$C$4:$C$200,태깅기획site_code!D179)&gt;0,태깅기획site_code!D179,IF(ISNUMBER(FIND("_",태깅기획site_code!F179)),"",IFERROR(INDEX(고객법인일정파일!$C$4:$C$200,MATCH(태깅기획site_code!D179,$O$4:$O$200,0)),IF(ISNUMBER(FIND("-",태깅기획site_code!D179)),IFERROR(INDEX(고객법인일정파일!$C$4:$C$200,MATCH(LEFT(태깅기획site_code!D179,FIND("-",태깅기획site_code!D179)-1),고객법인일정파일!$C$4:$C$200,0)),""),IF(태깅기획site_code!D179="SCA",IF(RIGHT(태깅기획site_code!F179,3)="_fr",IFERROR(INDEX(고객법인일정파일!$C$4:$C$200,MATCH("SEWA (Africa_FR)",고객법인일정파일!$C$4:$C$200,0)),""),IF(RIGHT(태깅기획site_code!F179,3)="_en",IFERROR(INDEX(고객법인일정파일!$C$4:$C$200,MATCH("SEWA (Africa_EN)",고객법인일정파일!$C$4:$C$200,0)),""),"")),""))))))))</f>
        <v/>
      </c>
      <c r="Q179" s="11" t="str">
        <f>IF(LEN(TRIM(P179))=0,"",IFERROR(INDEX(고객법인일정파일!$E$4:$E$192,MATCH(P179,고객법인일정파일!$C$4:$C$192,0)),""))</f>
        <v/>
      </c>
      <c r="R179" s="12" t="str">
        <f>IF(OR(LEN(TRIM(P179))=0,Q179="X",Q179&lt;&gt;"O"),"",IFERROR(INDEX(고객법인일정파일!$F$4:$F$192,MATCH(P179,고객법인일정파일!$C$4:$C$192,0)),""))</f>
        <v/>
      </c>
      <c r="S179" s="12" t="str">
        <f>IF(OR(LEN(TRIM(P179))=0,Q179="X",Q179&lt;&gt;"O"),"",IFERROR(INDEX(고객법인일정파일!$H$4:$H$192,MATCH(P179,고객법인일정파일!$C$4:$C$192,0)),""))</f>
        <v/>
      </c>
    </row>
    <row r="180" spans="15:19">
      <c r="O180" s="11" t="str">
        <f>IF(IF(OR(NOT(ISBLANK(고객법인일정파일!B180)),ISBLANK(고객법인일정파일!C180),고객법인일정파일!C180="Total"),"",IF(ISNUMBER(FIND("-",고객법인일정파일!C180)),LEFT(고객법인일정파일!C180,FIND("-",고객법인일정파일!C180)-1),IF(ISNUMBER(FIND(" ",고객법인일정파일!C180)),LEFT(고객법인일정파일!C180,FIND(" ",고객법인일정파일!C180)-1),고객법인일정파일!C180)))="한총","sec",IF(OR(NOT(ISBLANK(고객법인일정파일!B180)),ISBLANK(고객법인일정파일!C180),고객법인일정파일!C180="Total"),"",IF(ISNUMBER(FIND("-",고객법인일정파일!C180)),LEFT(고객법인일정파일!C180,FIND("-",고객법인일정파일!C180)-1),IF(ISNUMBER(FIND(" ",고객법인일정파일!C180)),LEFT(고객법인일정파일!C180,FIND(" ",고객법인일정파일!C180)-1),고객법인일정파일!C180))))</f>
        <v/>
      </c>
      <c r="P180" s="11" t="str">
        <f>IF(ISBLANK(태깅기획site_code!F180),"",IF(COUNTIF(고객법인일정파일!$C$4:$C$200,태깅기획site_code!D180&amp;"-"&amp;UPPER(IF(ISNUMBER(FIND("_",태깅기획site_code!F180)),LEFT(태깅기획site_code!F180,FIND("_",태깅기획site_code!F180)-1),태깅기획site_code!F180)))&gt;0,태깅기획site_code!D180&amp;"-"&amp;UPPER(IF(ISNUMBER(FIND("_",태깅기획site_code!F180)),LEFT(태깅기획site_code!F180,FIND("_",태깅기획site_code!F180)-1),태깅기획site_code!F180)),IF(COUNTIF(고객법인일정파일!$C$4:$C$200,태깅기획site_code!D180&amp;" ("&amp;PROPER(LEFT(태깅기획site_code!F180,FIND("_",태깅기획site_code!F180)-1))&amp;"_"&amp;UPPER(MID(태깅기획site_code!F180,FIND("_",태깅기획site_code!F180)+1,20))&amp;")")&gt;0,태깅기획site_code!D180&amp;" ("&amp;PROPER(LEFT(태깅기획site_code!F180,FIND("_",태깅기획site_code!F180)-1))&amp;"_"&amp;UPPER(MID(태깅기획site_code!F180,FIND("_",태깅기획site_code!F180)+1,20))&amp;")",IF(COUNTIF(고객법인일정파일!$C$4:$C$200,태깅기획site_code!D180)&gt;0,태깅기획site_code!D180,IF(ISNUMBER(FIND("_",태깅기획site_code!F180)),"",IFERROR(INDEX(고객법인일정파일!$C$4:$C$200,MATCH(태깅기획site_code!D180,$O$4:$O$200,0)),IF(ISNUMBER(FIND("-",태깅기획site_code!D180)),IFERROR(INDEX(고객법인일정파일!$C$4:$C$200,MATCH(LEFT(태깅기획site_code!D180,FIND("-",태깅기획site_code!D180)-1),고객법인일정파일!$C$4:$C$200,0)),""),IF(태깅기획site_code!D180="SCA",IF(RIGHT(태깅기획site_code!F180,3)="_fr",IFERROR(INDEX(고객법인일정파일!$C$4:$C$200,MATCH("SEWA (Africa_FR)",고객법인일정파일!$C$4:$C$200,0)),""),IF(RIGHT(태깅기획site_code!F180,3)="_en",IFERROR(INDEX(고객법인일정파일!$C$4:$C$200,MATCH("SEWA (Africa_EN)",고객법인일정파일!$C$4:$C$200,0)),""),"")),""))))))))</f>
        <v/>
      </c>
    </row>
    <row r="181" spans="15:19">
      <c r="O181" s="11" t="str">
        <f>IF(IF(OR(NOT(ISBLANK(고객법인일정파일!B181)),ISBLANK(고객법인일정파일!C181),고객법인일정파일!C181="Total"),"",IF(ISNUMBER(FIND("-",고객법인일정파일!C181)),LEFT(고객법인일정파일!C181,FIND("-",고객법인일정파일!C181)-1),IF(ISNUMBER(FIND(" ",고객법인일정파일!C181)),LEFT(고객법인일정파일!C181,FIND(" ",고객법인일정파일!C181)-1),고객법인일정파일!C181)))="한총","sec",IF(OR(NOT(ISBLANK(고객법인일정파일!B181)),ISBLANK(고객법인일정파일!C181),고객법인일정파일!C181="Total"),"",IF(ISNUMBER(FIND("-",고객법인일정파일!C181)),LEFT(고객법인일정파일!C181,FIND("-",고객법인일정파일!C181)-1),IF(ISNUMBER(FIND(" ",고객법인일정파일!C181)),LEFT(고객법인일정파일!C181,FIND(" ",고객법인일정파일!C181)-1),고객법인일정파일!C181))))</f>
        <v/>
      </c>
      <c r="P181" s="11" t="str">
        <f>IF(ISBLANK(태깅기획site_code!F181),"",IF(COUNTIF(고객법인일정파일!$C$4:$C$200,태깅기획site_code!D181&amp;"-"&amp;UPPER(IF(ISNUMBER(FIND("_",태깅기획site_code!F181)),LEFT(태깅기획site_code!F181,FIND("_",태깅기획site_code!F181)-1),태깅기획site_code!F181)))&gt;0,태깅기획site_code!D181&amp;"-"&amp;UPPER(IF(ISNUMBER(FIND("_",태깅기획site_code!F181)),LEFT(태깅기획site_code!F181,FIND("_",태깅기획site_code!F181)-1),태깅기획site_code!F181)),IF(COUNTIF(고객법인일정파일!$C$4:$C$200,태깅기획site_code!D181&amp;" ("&amp;PROPER(LEFT(태깅기획site_code!F181,FIND("_",태깅기획site_code!F181)-1))&amp;"_"&amp;UPPER(MID(태깅기획site_code!F181,FIND("_",태깅기획site_code!F181)+1,20))&amp;")")&gt;0,태깅기획site_code!D181&amp;" ("&amp;PROPER(LEFT(태깅기획site_code!F181,FIND("_",태깅기획site_code!F181)-1))&amp;"_"&amp;UPPER(MID(태깅기획site_code!F181,FIND("_",태깅기획site_code!F181)+1,20))&amp;")",IF(COUNTIF(고객법인일정파일!$C$4:$C$200,태깅기획site_code!D181)&gt;0,태깅기획site_code!D181,IF(ISNUMBER(FIND("_",태깅기획site_code!F181)),"",IFERROR(INDEX(고객법인일정파일!$C$4:$C$200,MATCH(태깅기획site_code!D181,$O$4:$O$200,0)),IF(ISNUMBER(FIND("-",태깅기획site_code!D181)),IFERROR(INDEX(고객법인일정파일!$C$4:$C$200,MATCH(LEFT(태깅기획site_code!D181,FIND("-",태깅기획site_code!D181)-1),고객법인일정파일!$C$4:$C$200,0)),""),IF(태깅기획site_code!D181="SCA",IF(RIGHT(태깅기획site_code!F181,3)="_fr",IFERROR(INDEX(고객법인일정파일!$C$4:$C$200,MATCH("SEWA (Africa_FR)",고객법인일정파일!$C$4:$C$200,0)),""),IF(RIGHT(태깅기획site_code!F181,3)="_en",IFERROR(INDEX(고객법인일정파일!$C$4:$C$200,MATCH("SEWA (Africa_EN)",고객법인일정파일!$C$4:$C$200,0)),""),"")),""))))))))</f>
        <v/>
      </c>
    </row>
    <row r="182" spans="15:19">
      <c r="O182" s="11" t="str">
        <f>IF(IF(OR(NOT(ISBLANK(고객법인일정파일!B182)),ISBLANK(고객법인일정파일!C182),고객법인일정파일!C182="Total"),"",IF(ISNUMBER(FIND("-",고객법인일정파일!C182)),LEFT(고객법인일정파일!C182,FIND("-",고객법인일정파일!C182)-1),IF(ISNUMBER(FIND(" ",고객법인일정파일!C182)),LEFT(고객법인일정파일!C182,FIND(" ",고객법인일정파일!C182)-1),고객법인일정파일!C182)))="한총","sec",IF(OR(NOT(ISBLANK(고객법인일정파일!B182)),ISBLANK(고객법인일정파일!C182),고객법인일정파일!C182="Total"),"",IF(ISNUMBER(FIND("-",고객법인일정파일!C182)),LEFT(고객법인일정파일!C182,FIND("-",고객법인일정파일!C182)-1),IF(ISNUMBER(FIND(" ",고객법인일정파일!C182)),LEFT(고객법인일정파일!C182,FIND(" ",고객법인일정파일!C182)-1),고객법인일정파일!C182))))</f>
        <v/>
      </c>
      <c r="P182" s="11" t="str">
        <f>IF(ISBLANK(태깅기획site_code!F182),"",IF(COUNTIF(고객법인일정파일!$C$4:$C$200,태깅기획site_code!D182&amp;"-"&amp;UPPER(IF(ISNUMBER(FIND("_",태깅기획site_code!F182)),LEFT(태깅기획site_code!F182,FIND("_",태깅기획site_code!F182)-1),태깅기획site_code!F182)))&gt;0,태깅기획site_code!D182&amp;"-"&amp;UPPER(IF(ISNUMBER(FIND("_",태깅기획site_code!F182)),LEFT(태깅기획site_code!F182,FIND("_",태깅기획site_code!F182)-1),태깅기획site_code!F182)),IF(COUNTIF(고객법인일정파일!$C$4:$C$200,태깅기획site_code!D182&amp;" ("&amp;PROPER(LEFT(태깅기획site_code!F182,FIND("_",태깅기획site_code!F182)-1))&amp;"_"&amp;UPPER(MID(태깅기획site_code!F182,FIND("_",태깅기획site_code!F182)+1,20))&amp;")")&gt;0,태깅기획site_code!D182&amp;" ("&amp;PROPER(LEFT(태깅기획site_code!F182,FIND("_",태깅기획site_code!F182)-1))&amp;"_"&amp;UPPER(MID(태깅기획site_code!F182,FIND("_",태깅기획site_code!F182)+1,20))&amp;")",IF(COUNTIF(고객법인일정파일!$C$4:$C$200,태깅기획site_code!D182)&gt;0,태깅기획site_code!D182,IF(ISNUMBER(FIND("_",태깅기획site_code!F182)),"",IFERROR(INDEX(고객법인일정파일!$C$4:$C$200,MATCH(태깅기획site_code!D182,$O$4:$O$200,0)),IF(ISNUMBER(FIND("-",태깅기획site_code!D182)),IFERROR(INDEX(고객법인일정파일!$C$4:$C$200,MATCH(LEFT(태깅기획site_code!D182,FIND("-",태깅기획site_code!D182)-1),고객법인일정파일!$C$4:$C$200,0)),""),IF(태깅기획site_code!D182="SCA",IF(RIGHT(태깅기획site_code!F182,3)="_fr",IFERROR(INDEX(고객법인일정파일!$C$4:$C$200,MATCH("SEWA (Africa_FR)",고객법인일정파일!$C$4:$C$200,0)),""),IF(RIGHT(태깅기획site_code!F182,3)="_en",IFERROR(INDEX(고객법인일정파일!$C$4:$C$200,MATCH("SEWA (Africa_EN)",고객법인일정파일!$C$4:$C$200,0)),""),"")),""))))))))</f>
        <v/>
      </c>
    </row>
    <row r="183" spans="15:19">
      <c r="O183" s="11" t="str">
        <f>IF(IF(OR(NOT(ISBLANK(고객법인일정파일!B183)),ISBLANK(고객법인일정파일!C183),고객법인일정파일!C183="Total"),"",IF(ISNUMBER(FIND("-",고객법인일정파일!C183)),LEFT(고객법인일정파일!C183,FIND("-",고객법인일정파일!C183)-1),IF(ISNUMBER(FIND(" ",고객법인일정파일!C183)),LEFT(고객법인일정파일!C183,FIND(" ",고객법인일정파일!C183)-1),고객법인일정파일!C183)))="한총","sec",IF(OR(NOT(ISBLANK(고객법인일정파일!B183)),ISBLANK(고객법인일정파일!C183),고객법인일정파일!C183="Total"),"",IF(ISNUMBER(FIND("-",고객법인일정파일!C183)),LEFT(고객법인일정파일!C183,FIND("-",고객법인일정파일!C183)-1),IF(ISNUMBER(FIND(" ",고객법인일정파일!C183)),LEFT(고객법인일정파일!C183,FIND(" ",고객법인일정파일!C183)-1),고객법인일정파일!C183))))</f>
        <v/>
      </c>
      <c r="P183" s="11" t="str">
        <f>IF(ISBLANK(태깅기획site_code!F183),"",IF(COUNTIF(고객법인일정파일!$C$4:$C$200,태깅기획site_code!D183&amp;"-"&amp;UPPER(IF(ISNUMBER(FIND("_",태깅기획site_code!F183)),LEFT(태깅기획site_code!F183,FIND("_",태깅기획site_code!F183)-1),태깅기획site_code!F183)))&gt;0,태깅기획site_code!D183&amp;"-"&amp;UPPER(IF(ISNUMBER(FIND("_",태깅기획site_code!F183)),LEFT(태깅기획site_code!F183,FIND("_",태깅기획site_code!F183)-1),태깅기획site_code!F183)),IF(COUNTIF(고객법인일정파일!$C$4:$C$200,태깅기획site_code!D183&amp;" ("&amp;PROPER(LEFT(태깅기획site_code!F183,FIND("_",태깅기획site_code!F183)-1))&amp;"_"&amp;UPPER(MID(태깅기획site_code!F183,FIND("_",태깅기획site_code!F183)+1,20))&amp;")")&gt;0,태깅기획site_code!D183&amp;" ("&amp;PROPER(LEFT(태깅기획site_code!F183,FIND("_",태깅기획site_code!F183)-1))&amp;"_"&amp;UPPER(MID(태깅기획site_code!F183,FIND("_",태깅기획site_code!F183)+1,20))&amp;")",IF(COUNTIF(고객법인일정파일!$C$4:$C$200,태깅기획site_code!D183)&gt;0,태깅기획site_code!D183,IF(ISNUMBER(FIND("_",태깅기획site_code!F183)),"",IFERROR(INDEX(고객법인일정파일!$C$4:$C$200,MATCH(태깅기획site_code!D183,$O$4:$O$200,0)),IF(ISNUMBER(FIND("-",태깅기획site_code!D183)),IFERROR(INDEX(고객법인일정파일!$C$4:$C$200,MATCH(LEFT(태깅기획site_code!D183,FIND("-",태깅기획site_code!D183)-1),고객법인일정파일!$C$4:$C$200,0)),""),IF(태깅기획site_code!D183="SCA",IF(RIGHT(태깅기획site_code!F183,3)="_fr",IFERROR(INDEX(고객법인일정파일!$C$4:$C$200,MATCH("SEWA (Africa_FR)",고객법인일정파일!$C$4:$C$200,0)),""),IF(RIGHT(태깅기획site_code!F183,3)="_en",IFERROR(INDEX(고객법인일정파일!$C$4:$C$200,MATCH("SEWA (Africa_EN)",고객법인일정파일!$C$4:$C$200,0)),""),"")),""))))))))</f>
        <v/>
      </c>
    </row>
    <row r="184" spans="15:19">
      <c r="O184" s="11" t="str">
        <f>IF(IF(OR(NOT(ISBLANK(고객법인일정파일!B184)),ISBLANK(고객법인일정파일!C184),고객법인일정파일!C184="Total"),"",IF(ISNUMBER(FIND("-",고객법인일정파일!C184)),LEFT(고객법인일정파일!C184,FIND("-",고객법인일정파일!C184)-1),IF(ISNUMBER(FIND(" ",고객법인일정파일!C184)),LEFT(고객법인일정파일!C184,FIND(" ",고객법인일정파일!C184)-1),고객법인일정파일!C184)))="한총","sec",IF(OR(NOT(ISBLANK(고객법인일정파일!B184)),ISBLANK(고객법인일정파일!C184),고객법인일정파일!C184="Total"),"",IF(ISNUMBER(FIND("-",고객법인일정파일!C184)),LEFT(고객법인일정파일!C184,FIND("-",고객법인일정파일!C184)-1),IF(ISNUMBER(FIND(" ",고객법인일정파일!C184)),LEFT(고객법인일정파일!C184,FIND(" ",고객법인일정파일!C184)-1),고객법인일정파일!C184))))</f>
        <v/>
      </c>
      <c r="P184" s="11" t="str">
        <f>IF(ISBLANK(태깅기획site_code!F184),"",IF(COUNTIF(고객법인일정파일!$C$4:$C$200,태깅기획site_code!D184&amp;"-"&amp;UPPER(IF(ISNUMBER(FIND("_",태깅기획site_code!F184)),LEFT(태깅기획site_code!F184,FIND("_",태깅기획site_code!F184)-1),태깅기획site_code!F184)))&gt;0,태깅기획site_code!D184&amp;"-"&amp;UPPER(IF(ISNUMBER(FIND("_",태깅기획site_code!F184)),LEFT(태깅기획site_code!F184,FIND("_",태깅기획site_code!F184)-1),태깅기획site_code!F184)),IF(COUNTIF(고객법인일정파일!$C$4:$C$200,태깅기획site_code!D184&amp;" ("&amp;PROPER(LEFT(태깅기획site_code!F184,FIND("_",태깅기획site_code!F184)-1))&amp;"_"&amp;UPPER(MID(태깅기획site_code!F184,FIND("_",태깅기획site_code!F184)+1,20))&amp;")")&gt;0,태깅기획site_code!D184&amp;" ("&amp;PROPER(LEFT(태깅기획site_code!F184,FIND("_",태깅기획site_code!F184)-1))&amp;"_"&amp;UPPER(MID(태깅기획site_code!F184,FIND("_",태깅기획site_code!F184)+1,20))&amp;")",IF(COUNTIF(고객법인일정파일!$C$4:$C$200,태깅기획site_code!D184)&gt;0,태깅기획site_code!D184,IF(ISNUMBER(FIND("_",태깅기획site_code!F184)),"",IFERROR(INDEX(고객법인일정파일!$C$4:$C$200,MATCH(태깅기획site_code!D184,$O$4:$O$200,0)),IF(ISNUMBER(FIND("-",태깅기획site_code!D184)),IFERROR(INDEX(고객법인일정파일!$C$4:$C$200,MATCH(LEFT(태깅기획site_code!D184,FIND("-",태깅기획site_code!D184)-1),고객법인일정파일!$C$4:$C$200,0)),""),IF(태깅기획site_code!D184="SCA",IF(RIGHT(태깅기획site_code!F184,3)="_fr",IFERROR(INDEX(고객법인일정파일!$C$4:$C$200,MATCH("SEWA (Africa_FR)",고객법인일정파일!$C$4:$C$200,0)),""),IF(RIGHT(태깅기획site_code!F184,3)="_en",IFERROR(INDEX(고객법인일정파일!$C$4:$C$200,MATCH("SEWA (Africa_EN)",고객법인일정파일!$C$4:$C$200,0)),""),"")),""))))))))</f>
        <v/>
      </c>
    </row>
    <row r="185" spans="15:19">
      <c r="O185" s="11" t="str">
        <f>IF(IF(OR(NOT(ISBLANK(고객법인일정파일!B185)),ISBLANK(고객법인일정파일!C185),고객법인일정파일!C185="Total"),"",IF(ISNUMBER(FIND("-",고객법인일정파일!C185)),LEFT(고객법인일정파일!C185,FIND("-",고객법인일정파일!C185)-1),IF(ISNUMBER(FIND(" ",고객법인일정파일!C185)),LEFT(고객법인일정파일!C185,FIND(" ",고객법인일정파일!C185)-1),고객법인일정파일!C185)))="한총","sec",IF(OR(NOT(ISBLANK(고객법인일정파일!B185)),ISBLANK(고객법인일정파일!C185),고객법인일정파일!C185="Total"),"",IF(ISNUMBER(FIND("-",고객법인일정파일!C185)),LEFT(고객법인일정파일!C185,FIND("-",고객법인일정파일!C185)-1),IF(ISNUMBER(FIND(" ",고객법인일정파일!C185)),LEFT(고객법인일정파일!C185,FIND(" ",고객법인일정파일!C185)-1),고객법인일정파일!C185))))</f>
        <v/>
      </c>
      <c r="P185" s="11" t="str">
        <f>IF(ISBLANK(태깅기획site_code!F185),"",IF(COUNTIF(고객법인일정파일!$C$4:$C$200,태깅기획site_code!D185&amp;"-"&amp;UPPER(IF(ISNUMBER(FIND("_",태깅기획site_code!F185)),LEFT(태깅기획site_code!F185,FIND("_",태깅기획site_code!F185)-1),태깅기획site_code!F185)))&gt;0,태깅기획site_code!D185&amp;"-"&amp;UPPER(IF(ISNUMBER(FIND("_",태깅기획site_code!F185)),LEFT(태깅기획site_code!F185,FIND("_",태깅기획site_code!F185)-1),태깅기획site_code!F185)),IF(COUNTIF(고객법인일정파일!$C$4:$C$200,태깅기획site_code!D185&amp;" ("&amp;PROPER(LEFT(태깅기획site_code!F185,FIND("_",태깅기획site_code!F185)-1))&amp;"_"&amp;UPPER(MID(태깅기획site_code!F185,FIND("_",태깅기획site_code!F185)+1,20))&amp;")")&gt;0,태깅기획site_code!D185&amp;" ("&amp;PROPER(LEFT(태깅기획site_code!F185,FIND("_",태깅기획site_code!F185)-1))&amp;"_"&amp;UPPER(MID(태깅기획site_code!F185,FIND("_",태깅기획site_code!F185)+1,20))&amp;")",IF(COUNTIF(고객법인일정파일!$C$4:$C$200,태깅기획site_code!D185)&gt;0,태깅기획site_code!D185,IF(ISNUMBER(FIND("_",태깅기획site_code!F185)),"",IFERROR(INDEX(고객법인일정파일!$C$4:$C$200,MATCH(태깅기획site_code!D185,$O$4:$O$200,0)),IF(ISNUMBER(FIND("-",태깅기획site_code!D185)),IFERROR(INDEX(고객법인일정파일!$C$4:$C$200,MATCH(LEFT(태깅기획site_code!D185,FIND("-",태깅기획site_code!D185)-1),고객법인일정파일!$C$4:$C$200,0)),""),IF(태깅기획site_code!D185="SCA",IF(RIGHT(태깅기획site_code!F185,3)="_fr",IFERROR(INDEX(고객법인일정파일!$C$4:$C$200,MATCH("SEWA (Africa_FR)",고객법인일정파일!$C$4:$C$200,0)),""),IF(RIGHT(태깅기획site_code!F185,3)="_en",IFERROR(INDEX(고객법인일정파일!$C$4:$C$200,MATCH("SEWA (Africa_EN)",고객법인일정파일!$C$4:$C$200,0)),""),"")),""))))))))</f>
        <v/>
      </c>
    </row>
    <row r="186" spans="15:19">
      <c r="O186" s="11" t="str">
        <f>IF(IF(OR(NOT(ISBLANK(고객법인일정파일!B186)),ISBLANK(고객법인일정파일!C186),고객법인일정파일!C186="Total"),"",IF(ISNUMBER(FIND("-",고객법인일정파일!C186)),LEFT(고객법인일정파일!C186,FIND("-",고객법인일정파일!C186)-1),IF(ISNUMBER(FIND(" ",고객법인일정파일!C186)),LEFT(고객법인일정파일!C186,FIND(" ",고객법인일정파일!C186)-1),고객법인일정파일!C186)))="한총","sec",IF(OR(NOT(ISBLANK(고객법인일정파일!B186)),ISBLANK(고객법인일정파일!C186),고객법인일정파일!C186="Total"),"",IF(ISNUMBER(FIND("-",고객법인일정파일!C186)),LEFT(고객법인일정파일!C186,FIND("-",고객법인일정파일!C186)-1),IF(ISNUMBER(FIND(" ",고객법인일정파일!C186)),LEFT(고객법인일정파일!C186,FIND(" ",고객법인일정파일!C186)-1),고객법인일정파일!C186))))</f>
        <v/>
      </c>
      <c r="P186" s="11" t="str">
        <f>IF(ISBLANK(태깅기획site_code!F186),"",IF(COUNTIF(고객법인일정파일!$C$4:$C$200,태깅기획site_code!D186&amp;"-"&amp;UPPER(IF(ISNUMBER(FIND("_",태깅기획site_code!F186)),LEFT(태깅기획site_code!F186,FIND("_",태깅기획site_code!F186)-1),태깅기획site_code!F186)))&gt;0,태깅기획site_code!D186&amp;"-"&amp;UPPER(IF(ISNUMBER(FIND("_",태깅기획site_code!F186)),LEFT(태깅기획site_code!F186,FIND("_",태깅기획site_code!F186)-1),태깅기획site_code!F186)),IF(COUNTIF(고객법인일정파일!$C$4:$C$200,태깅기획site_code!D186&amp;" ("&amp;PROPER(LEFT(태깅기획site_code!F186,FIND("_",태깅기획site_code!F186)-1))&amp;"_"&amp;UPPER(MID(태깅기획site_code!F186,FIND("_",태깅기획site_code!F186)+1,20))&amp;")")&gt;0,태깅기획site_code!D186&amp;" ("&amp;PROPER(LEFT(태깅기획site_code!F186,FIND("_",태깅기획site_code!F186)-1))&amp;"_"&amp;UPPER(MID(태깅기획site_code!F186,FIND("_",태깅기획site_code!F186)+1,20))&amp;")",IF(COUNTIF(고객법인일정파일!$C$4:$C$200,태깅기획site_code!D186)&gt;0,태깅기획site_code!D186,IF(ISNUMBER(FIND("_",태깅기획site_code!F186)),"",IFERROR(INDEX(고객법인일정파일!$C$4:$C$200,MATCH(태깅기획site_code!D186,$O$4:$O$200,0)),IF(ISNUMBER(FIND("-",태깅기획site_code!D186)),IFERROR(INDEX(고객법인일정파일!$C$4:$C$200,MATCH(LEFT(태깅기획site_code!D186,FIND("-",태깅기획site_code!D186)-1),고객법인일정파일!$C$4:$C$200,0)),""),IF(태깅기획site_code!D186="SCA",IF(RIGHT(태깅기획site_code!F186,3)="_fr",IFERROR(INDEX(고객법인일정파일!$C$4:$C$200,MATCH("SEWA (Africa_FR)",고객법인일정파일!$C$4:$C$200,0)),""),IF(RIGHT(태깅기획site_code!F186,3)="_en",IFERROR(INDEX(고객법인일정파일!$C$4:$C$200,MATCH("SEWA (Africa_EN)",고객법인일정파일!$C$4:$C$200,0)),""),"")),""))))))))</f>
        <v/>
      </c>
    </row>
    <row r="187" spans="15:19">
      <c r="O187" s="11" t="str">
        <f>IF(IF(OR(NOT(ISBLANK(고객법인일정파일!B187)),ISBLANK(고객법인일정파일!C187),고객법인일정파일!C187="Total"),"",IF(ISNUMBER(FIND("-",고객법인일정파일!C187)),LEFT(고객법인일정파일!C187,FIND("-",고객법인일정파일!C187)-1),IF(ISNUMBER(FIND(" ",고객법인일정파일!C187)),LEFT(고객법인일정파일!C187,FIND(" ",고객법인일정파일!C187)-1),고객법인일정파일!C187)))="한총","sec",IF(OR(NOT(ISBLANK(고객법인일정파일!B187)),ISBLANK(고객법인일정파일!C187),고객법인일정파일!C187="Total"),"",IF(ISNUMBER(FIND("-",고객법인일정파일!C187)),LEFT(고객법인일정파일!C187,FIND("-",고객법인일정파일!C187)-1),IF(ISNUMBER(FIND(" ",고객법인일정파일!C187)),LEFT(고객법인일정파일!C187,FIND(" ",고객법인일정파일!C187)-1),고객법인일정파일!C187))))</f>
        <v/>
      </c>
      <c r="P187" s="11" t="str">
        <f>IF(ISBLANK(태깅기획site_code!F187),"",IF(COUNTIF(고객법인일정파일!$C$4:$C$200,태깅기획site_code!D187&amp;"-"&amp;UPPER(IF(ISNUMBER(FIND("_",태깅기획site_code!F187)),LEFT(태깅기획site_code!F187,FIND("_",태깅기획site_code!F187)-1),태깅기획site_code!F187)))&gt;0,태깅기획site_code!D187&amp;"-"&amp;UPPER(IF(ISNUMBER(FIND("_",태깅기획site_code!F187)),LEFT(태깅기획site_code!F187,FIND("_",태깅기획site_code!F187)-1),태깅기획site_code!F187)),IF(COUNTIF(고객법인일정파일!$C$4:$C$200,태깅기획site_code!D187&amp;" ("&amp;PROPER(LEFT(태깅기획site_code!F187,FIND("_",태깅기획site_code!F187)-1))&amp;"_"&amp;UPPER(MID(태깅기획site_code!F187,FIND("_",태깅기획site_code!F187)+1,20))&amp;")")&gt;0,태깅기획site_code!D187&amp;" ("&amp;PROPER(LEFT(태깅기획site_code!F187,FIND("_",태깅기획site_code!F187)-1))&amp;"_"&amp;UPPER(MID(태깅기획site_code!F187,FIND("_",태깅기획site_code!F187)+1,20))&amp;")",IF(COUNTIF(고객법인일정파일!$C$4:$C$200,태깅기획site_code!D187)&gt;0,태깅기획site_code!D187,IF(ISNUMBER(FIND("_",태깅기획site_code!F187)),"",IFERROR(INDEX(고객법인일정파일!$C$4:$C$200,MATCH(태깅기획site_code!D187,$O$4:$O$200,0)),IF(ISNUMBER(FIND("-",태깅기획site_code!D187)),IFERROR(INDEX(고객법인일정파일!$C$4:$C$200,MATCH(LEFT(태깅기획site_code!D187,FIND("-",태깅기획site_code!D187)-1),고객법인일정파일!$C$4:$C$200,0)),""),IF(태깅기획site_code!D187="SCA",IF(RIGHT(태깅기획site_code!F187,3)="_fr",IFERROR(INDEX(고객법인일정파일!$C$4:$C$200,MATCH("SEWA (Africa_FR)",고객법인일정파일!$C$4:$C$200,0)),""),IF(RIGHT(태깅기획site_code!F187,3)="_en",IFERROR(INDEX(고객법인일정파일!$C$4:$C$200,MATCH("SEWA (Africa_EN)",고객법인일정파일!$C$4:$C$200,0)),""),"")),""))))))))</f>
        <v/>
      </c>
    </row>
    <row r="188" spans="15:19">
      <c r="O188" s="11" t="str">
        <f>IF(IF(OR(NOT(ISBLANK(고객법인일정파일!B188)),ISBLANK(고객법인일정파일!C188),고객법인일정파일!C188="Total"),"",IF(ISNUMBER(FIND("-",고객법인일정파일!C188)),LEFT(고객법인일정파일!C188,FIND("-",고객법인일정파일!C188)-1),IF(ISNUMBER(FIND(" ",고객법인일정파일!C188)),LEFT(고객법인일정파일!C188,FIND(" ",고객법인일정파일!C188)-1),고객법인일정파일!C188)))="한총","sec",IF(OR(NOT(ISBLANK(고객법인일정파일!B188)),ISBLANK(고객법인일정파일!C188),고객법인일정파일!C188="Total"),"",IF(ISNUMBER(FIND("-",고객법인일정파일!C188)),LEFT(고객법인일정파일!C188,FIND("-",고객법인일정파일!C188)-1),IF(ISNUMBER(FIND(" ",고객법인일정파일!C188)),LEFT(고객법인일정파일!C188,FIND(" ",고객법인일정파일!C188)-1),고객법인일정파일!C188))))</f>
        <v/>
      </c>
      <c r="P188" s="11" t="str">
        <f>IF(ISBLANK(태깅기획site_code!F188),"",IF(COUNTIF(고객법인일정파일!$C$4:$C$200,태깅기획site_code!D188&amp;"-"&amp;UPPER(IF(ISNUMBER(FIND("_",태깅기획site_code!F188)),LEFT(태깅기획site_code!F188,FIND("_",태깅기획site_code!F188)-1),태깅기획site_code!F188)))&gt;0,태깅기획site_code!D188&amp;"-"&amp;UPPER(IF(ISNUMBER(FIND("_",태깅기획site_code!F188)),LEFT(태깅기획site_code!F188,FIND("_",태깅기획site_code!F188)-1),태깅기획site_code!F188)),IF(COUNTIF(고객법인일정파일!$C$4:$C$200,태깅기획site_code!D188&amp;" ("&amp;PROPER(LEFT(태깅기획site_code!F188,FIND("_",태깅기획site_code!F188)-1))&amp;"_"&amp;UPPER(MID(태깅기획site_code!F188,FIND("_",태깅기획site_code!F188)+1,20))&amp;")")&gt;0,태깅기획site_code!D188&amp;" ("&amp;PROPER(LEFT(태깅기획site_code!F188,FIND("_",태깅기획site_code!F188)-1))&amp;"_"&amp;UPPER(MID(태깅기획site_code!F188,FIND("_",태깅기획site_code!F188)+1,20))&amp;")",IF(COUNTIF(고객법인일정파일!$C$4:$C$200,태깅기획site_code!D188)&gt;0,태깅기획site_code!D188,IF(ISNUMBER(FIND("_",태깅기획site_code!F188)),"",IFERROR(INDEX(고객법인일정파일!$C$4:$C$200,MATCH(태깅기획site_code!D188,$O$4:$O$200,0)),IF(ISNUMBER(FIND("-",태깅기획site_code!D188)),IFERROR(INDEX(고객법인일정파일!$C$4:$C$200,MATCH(LEFT(태깅기획site_code!D188,FIND("-",태깅기획site_code!D188)-1),고객법인일정파일!$C$4:$C$200,0)),""),IF(태깅기획site_code!D188="SCA",IF(RIGHT(태깅기획site_code!F188,3)="_fr",IFERROR(INDEX(고객법인일정파일!$C$4:$C$200,MATCH("SEWA (Africa_FR)",고객법인일정파일!$C$4:$C$200,0)),""),IF(RIGHT(태깅기획site_code!F188,3)="_en",IFERROR(INDEX(고객법인일정파일!$C$4:$C$200,MATCH("SEWA (Africa_EN)",고객법인일정파일!$C$4:$C$200,0)),""),"")),""))))))))</f>
        <v/>
      </c>
    </row>
    <row r="189" spans="15:19">
      <c r="O189" s="11" t="str">
        <f>IF(IF(OR(NOT(ISBLANK(고객법인일정파일!B189)),ISBLANK(고객법인일정파일!C189),고객법인일정파일!C189="Total"),"",IF(ISNUMBER(FIND("-",고객법인일정파일!C189)),LEFT(고객법인일정파일!C189,FIND("-",고객법인일정파일!C189)-1),IF(ISNUMBER(FIND(" ",고객법인일정파일!C189)),LEFT(고객법인일정파일!C189,FIND(" ",고객법인일정파일!C189)-1),고객법인일정파일!C189)))="한총","sec",IF(OR(NOT(ISBLANK(고객법인일정파일!B189)),ISBLANK(고객법인일정파일!C189),고객법인일정파일!C189="Total"),"",IF(ISNUMBER(FIND("-",고객법인일정파일!C189)),LEFT(고객법인일정파일!C189,FIND("-",고객법인일정파일!C189)-1),IF(ISNUMBER(FIND(" ",고객법인일정파일!C189)),LEFT(고객법인일정파일!C189,FIND(" ",고객법인일정파일!C189)-1),고객법인일정파일!C189))))</f>
        <v/>
      </c>
      <c r="P189" s="11" t="str">
        <f>IF(ISBLANK(태깅기획site_code!F189),"",IF(COUNTIF(고객법인일정파일!$C$4:$C$200,태깅기획site_code!D189&amp;"-"&amp;UPPER(IF(ISNUMBER(FIND("_",태깅기획site_code!F189)),LEFT(태깅기획site_code!F189,FIND("_",태깅기획site_code!F189)-1),태깅기획site_code!F189)))&gt;0,태깅기획site_code!D189&amp;"-"&amp;UPPER(IF(ISNUMBER(FIND("_",태깅기획site_code!F189)),LEFT(태깅기획site_code!F189,FIND("_",태깅기획site_code!F189)-1),태깅기획site_code!F189)),IF(COUNTIF(고객법인일정파일!$C$4:$C$200,태깅기획site_code!D189&amp;" ("&amp;PROPER(LEFT(태깅기획site_code!F189,FIND("_",태깅기획site_code!F189)-1))&amp;"_"&amp;UPPER(MID(태깅기획site_code!F189,FIND("_",태깅기획site_code!F189)+1,20))&amp;")")&gt;0,태깅기획site_code!D189&amp;" ("&amp;PROPER(LEFT(태깅기획site_code!F189,FIND("_",태깅기획site_code!F189)-1))&amp;"_"&amp;UPPER(MID(태깅기획site_code!F189,FIND("_",태깅기획site_code!F189)+1,20))&amp;")",IF(COUNTIF(고객법인일정파일!$C$4:$C$200,태깅기획site_code!D189)&gt;0,태깅기획site_code!D189,IF(ISNUMBER(FIND("_",태깅기획site_code!F189)),"",IFERROR(INDEX(고객법인일정파일!$C$4:$C$200,MATCH(태깅기획site_code!D189,$O$4:$O$200,0)),IF(ISNUMBER(FIND("-",태깅기획site_code!D189)),IFERROR(INDEX(고객법인일정파일!$C$4:$C$200,MATCH(LEFT(태깅기획site_code!D189,FIND("-",태깅기획site_code!D189)-1),고객법인일정파일!$C$4:$C$200,0)),""),IF(태깅기획site_code!D189="SCA",IF(RIGHT(태깅기획site_code!F189,3)="_fr",IFERROR(INDEX(고객법인일정파일!$C$4:$C$200,MATCH("SEWA (Africa_FR)",고객법인일정파일!$C$4:$C$200,0)),""),IF(RIGHT(태깅기획site_code!F189,3)="_en",IFERROR(INDEX(고객법인일정파일!$C$4:$C$200,MATCH("SEWA (Africa_EN)",고객법인일정파일!$C$4:$C$200,0)),""),"")),""))))))))</f>
        <v/>
      </c>
    </row>
    <row r="190" spans="15:19">
      <c r="O190" s="11" t="str">
        <f>IF(IF(OR(NOT(ISBLANK(고객법인일정파일!B190)),ISBLANK(고객법인일정파일!C190),고객법인일정파일!C190="Total"),"",IF(ISNUMBER(FIND("-",고객법인일정파일!C190)),LEFT(고객법인일정파일!C190,FIND("-",고객법인일정파일!C190)-1),IF(ISNUMBER(FIND(" ",고객법인일정파일!C190)),LEFT(고객법인일정파일!C190,FIND(" ",고객법인일정파일!C190)-1),고객법인일정파일!C190)))="한총","sec",IF(OR(NOT(ISBLANK(고객법인일정파일!B190)),ISBLANK(고객법인일정파일!C190),고객법인일정파일!C190="Total"),"",IF(ISNUMBER(FIND("-",고객법인일정파일!C190)),LEFT(고객법인일정파일!C190,FIND("-",고객법인일정파일!C190)-1),IF(ISNUMBER(FIND(" ",고객법인일정파일!C190)),LEFT(고객법인일정파일!C190,FIND(" ",고객법인일정파일!C190)-1),고객법인일정파일!C190))))</f>
        <v/>
      </c>
      <c r="P190" s="11" t="str">
        <f>IF(ISBLANK(태깅기획site_code!F190),"",IF(COUNTIF(고객법인일정파일!$C$4:$C$200,태깅기획site_code!D190&amp;"-"&amp;UPPER(IF(ISNUMBER(FIND("_",태깅기획site_code!F190)),LEFT(태깅기획site_code!F190,FIND("_",태깅기획site_code!F190)-1),태깅기획site_code!F190)))&gt;0,태깅기획site_code!D190&amp;"-"&amp;UPPER(IF(ISNUMBER(FIND("_",태깅기획site_code!F190)),LEFT(태깅기획site_code!F190,FIND("_",태깅기획site_code!F190)-1),태깅기획site_code!F190)),IF(COUNTIF(고객법인일정파일!$C$4:$C$200,태깅기획site_code!D190&amp;" ("&amp;PROPER(LEFT(태깅기획site_code!F190,FIND("_",태깅기획site_code!F190)-1))&amp;"_"&amp;UPPER(MID(태깅기획site_code!F190,FIND("_",태깅기획site_code!F190)+1,20))&amp;")")&gt;0,태깅기획site_code!D190&amp;" ("&amp;PROPER(LEFT(태깅기획site_code!F190,FIND("_",태깅기획site_code!F190)-1))&amp;"_"&amp;UPPER(MID(태깅기획site_code!F190,FIND("_",태깅기획site_code!F190)+1,20))&amp;")",IF(COUNTIF(고객법인일정파일!$C$4:$C$200,태깅기획site_code!D190)&gt;0,태깅기획site_code!D190,IF(ISNUMBER(FIND("_",태깅기획site_code!F190)),"",IFERROR(INDEX(고객법인일정파일!$C$4:$C$200,MATCH(태깅기획site_code!D190,$O$4:$O$200,0)),IF(ISNUMBER(FIND("-",태깅기획site_code!D190)),IFERROR(INDEX(고객법인일정파일!$C$4:$C$200,MATCH(LEFT(태깅기획site_code!D190,FIND("-",태깅기획site_code!D190)-1),고객법인일정파일!$C$4:$C$200,0)),""),IF(태깅기획site_code!D190="SCA",IF(RIGHT(태깅기획site_code!F190,3)="_fr",IFERROR(INDEX(고객법인일정파일!$C$4:$C$200,MATCH("SEWA (Africa_FR)",고객법인일정파일!$C$4:$C$200,0)),""),IF(RIGHT(태깅기획site_code!F190,3)="_en",IFERROR(INDEX(고객법인일정파일!$C$4:$C$200,MATCH("SEWA (Africa_EN)",고객법인일정파일!$C$4:$C$200,0)),""),"")),""))))))))</f>
        <v/>
      </c>
    </row>
    <row r="191" spans="15:19">
      <c r="O191" s="11" t="str">
        <f>IF(IF(OR(NOT(ISBLANK(고객법인일정파일!B191)),ISBLANK(고객법인일정파일!C191),고객법인일정파일!C191="Total"),"",IF(ISNUMBER(FIND("-",고객법인일정파일!C191)),LEFT(고객법인일정파일!C191,FIND("-",고객법인일정파일!C191)-1),IF(ISNUMBER(FIND(" ",고객법인일정파일!C191)),LEFT(고객법인일정파일!C191,FIND(" ",고객법인일정파일!C191)-1),고객법인일정파일!C191)))="한총","sec",IF(OR(NOT(ISBLANK(고객법인일정파일!B191)),ISBLANK(고객법인일정파일!C191),고객법인일정파일!C191="Total"),"",IF(ISNUMBER(FIND("-",고객법인일정파일!C191)),LEFT(고객법인일정파일!C191,FIND("-",고객법인일정파일!C191)-1),IF(ISNUMBER(FIND(" ",고객법인일정파일!C191)),LEFT(고객법인일정파일!C191,FIND(" ",고객법인일정파일!C191)-1),고객법인일정파일!C191))))</f>
        <v/>
      </c>
      <c r="P191" s="11" t="str">
        <f>IF(ISBLANK(태깅기획site_code!F191),"",IF(COUNTIF(고객법인일정파일!$C$4:$C$200,태깅기획site_code!D191&amp;"-"&amp;UPPER(IF(ISNUMBER(FIND("_",태깅기획site_code!F191)),LEFT(태깅기획site_code!F191,FIND("_",태깅기획site_code!F191)-1),태깅기획site_code!F191)))&gt;0,태깅기획site_code!D191&amp;"-"&amp;UPPER(IF(ISNUMBER(FIND("_",태깅기획site_code!F191)),LEFT(태깅기획site_code!F191,FIND("_",태깅기획site_code!F191)-1),태깅기획site_code!F191)),IF(COUNTIF(고객법인일정파일!$C$4:$C$200,태깅기획site_code!D191&amp;" ("&amp;PROPER(LEFT(태깅기획site_code!F191,FIND("_",태깅기획site_code!F191)-1))&amp;"_"&amp;UPPER(MID(태깅기획site_code!F191,FIND("_",태깅기획site_code!F191)+1,20))&amp;")")&gt;0,태깅기획site_code!D191&amp;" ("&amp;PROPER(LEFT(태깅기획site_code!F191,FIND("_",태깅기획site_code!F191)-1))&amp;"_"&amp;UPPER(MID(태깅기획site_code!F191,FIND("_",태깅기획site_code!F191)+1,20))&amp;")",IF(COUNTIF(고객법인일정파일!$C$4:$C$200,태깅기획site_code!D191)&gt;0,태깅기획site_code!D191,IF(ISNUMBER(FIND("_",태깅기획site_code!F191)),"",IFERROR(INDEX(고객법인일정파일!$C$4:$C$200,MATCH(태깅기획site_code!D191,$O$4:$O$200,0)),IF(ISNUMBER(FIND("-",태깅기획site_code!D191)),IFERROR(INDEX(고객법인일정파일!$C$4:$C$200,MATCH(LEFT(태깅기획site_code!D191,FIND("-",태깅기획site_code!D191)-1),고객법인일정파일!$C$4:$C$200,0)),""),IF(태깅기획site_code!D191="SCA",IF(RIGHT(태깅기획site_code!F191,3)="_fr",IFERROR(INDEX(고객법인일정파일!$C$4:$C$200,MATCH("SEWA (Africa_FR)",고객법인일정파일!$C$4:$C$200,0)),""),IF(RIGHT(태깅기획site_code!F191,3)="_en",IFERROR(INDEX(고객법인일정파일!$C$4:$C$200,MATCH("SEWA (Africa_EN)",고객법인일정파일!$C$4:$C$200,0)),""),"")),""))))))))</f>
        <v/>
      </c>
    </row>
    <row r="192" spans="15:19">
      <c r="O192" s="11" t="str">
        <f>IF(IF(OR(NOT(ISBLANK(고객법인일정파일!B192)),ISBLANK(고객법인일정파일!C192),고객법인일정파일!C192="Total"),"",IF(ISNUMBER(FIND("-",고객법인일정파일!C192)),LEFT(고객법인일정파일!C192,FIND("-",고객법인일정파일!C192)-1),IF(ISNUMBER(FIND(" ",고객법인일정파일!C192)),LEFT(고객법인일정파일!C192,FIND(" ",고객법인일정파일!C192)-1),고객법인일정파일!C192)))="한총","sec",IF(OR(NOT(ISBLANK(고객법인일정파일!B192)),ISBLANK(고객법인일정파일!C192),고객법인일정파일!C192="Total"),"",IF(ISNUMBER(FIND("-",고객법인일정파일!C192)),LEFT(고객법인일정파일!C192,FIND("-",고객법인일정파일!C192)-1),IF(ISNUMBER(FIND(" ",고객법인일정파일!C192)),LEFT(고객법인일정파일!C192,FIND(" ",고객법인일정파일!C192)-1),고객법인일정파일!C192))))</f>
        <v/>
      </c>
      <c r="P192" s="11" t="str">
        <f>IF(ISBLANK(태깅기획site_code!F192),"",IF(COUNTIF(고객법인일정파일!$C$4:$C$200,태깅기획site_code!D192&amp;"-"&amp;UPPER(IF(ISNUMBER(FIND("_",태깅기획site_code!F192)),LEFT(태깅기획site_code!F192,FIND("_",태깅기획site_code!F192)-1),태깅기획site_code!F192)))&gt;0,태깅기획site_code!D192&amp;"-"&amp;UPPER(IF(ISNUMBER(FIND("_",태깅기획site_code!F192)),LEFT(태깅기획site_code!F192,FIND("_",태깅기획site_code!F192)-1),태깅기획site_code!F192)),IF(COUNTIF(고객법인일정파일!$C$4:$C$200,태깅기획site_code!D192&amp;" ("&amp;PROPER(LEFT(태깅기획site_code!F192,FIND("_",태깅기획site_code!F192)-1))&amp;"_"&amp;UPPER(MID(태깅기획site_code!F192,FIND("_",태깅기획site_code!F192)+1,20))&amp;")")&gt;0,태깅기획site_code!D192&amp;" ("&amp;PROPER(LEFT(태깅기획site_code!F192,FIND("_",태깅기획site_code!F192)-1))&amp;"_"&amp;UPPER(MID(태깅기획site_code!F192,FIND("_",태깅기획site_code!F192)+1,20))&amp;")",IF(COUNTIF(고객법인일정파일!$C$4:$C$200,태깅기획site_code!D192)&gt;0,태깅기획site_code!D192,IF(ISNUMBER(FIND("_",태깅기획site_code!F192)),"",IFERROR(INDEX(고객법인일정파일!$C$4:$C$200,MATCH(태깅기획site_code!D192,$O$4:$O$200,0)),IF(ISNUMBER(FIND("-",태깅기획site_code!D192)),IFERROR(INDEX(고객법인일정파일!$C$4:$C$200,MATCH(LEFT(태깅기획site_code!D192,FIND("-",태깅기획site_code!D192)-1),고객법인일정파일!$C$4:$C$200,0)),""),IF(태깅기획site_code!D192="SCA",IF(RIGHT(태깅기획site_code!F192,3)="_fr",IFERROR(INDEX(고객법인일정파일!$C$4:$C$200,MATCH("SEWA (Africa_FR)",고객법인일정파일!$C$4:$C$200,0)),""),IF(RIGHT(태깅기획site_code!F192,3)="_en",IFERROR(INDEX(고객법인일정파일!$C$4:$C$200,MATCH("SEWA (Africa_EN)",고객법인일정파일!$C$4:$C$200,0)),""),"")),""))))))))</f>
        <v/>
      </c>
    </row>
    <row r="193" spans="16:16">
      <c r="P193" s="11" t="str">
        <f>IF(ISBLANK(태깅기획site_code!F193),"",IF(COUNTIF(고객법인일정파일!$C$4:$C$200,태깅기획site_code!D193&amp;"-"&amp;UPPER(IF(ISNUMBER(FIND("_",태깅기획site_code!F193)),LEFT(태깅기획site_code!F193,FIND("_",태깅기획site_code!F193)-1),태깅기획site_code!F193)))&gt;0,태깅기획site_code!D193&amp;"-"&amp;UPPER(IF(ISNUMBER(FIND("_",태깅기획site_code!F193)),LEFT(태깅기획site_code!F193,FIND("_",태깅기획site_code!F193)-1),태깅기획site_code!F193)),IF(COUNTIF(고객법인일정파일!$C$4:$C$200,태깅기획site_code!D193&amp;" ("&amp;PROPER(LEFT(태깅기획site_code!F193,FIND("_",태깅기획site_code!F193)-1))&amp;"_"&amp;UPPER(MID(태깅기획site_code!F193,FIND("_",태깅기획site_code!F193)+1,20))&amp;")")&gt;0,태깅기획site_code!D193&amp;" ("&amp;PROPER(LEFT(태깅기획site_code!F193,FIND("_",태깅기획site_code!F193)-1))&amp;"_"&amp;UPPER(MID(태깅기획site_code!F193,FIND("_",태깅기획site_code!F193)+1,20))&amp;")",IF(COUNTIF(고객법인일정파일!$C$4:$C$200,태깅기획site_code!D193)&gt;0,태깅기획site_code!D193,IF(ISNUMBER(FIND("_",태깅기획site_code!F193)),"",IFERROR(INDEX(고객법인일정파일!$C$4:$C$200,MATCH(태깅기획site_code!D193,$O$4:$O$200,0)),IF(ISNUMBER(FIND("-",태깅기획site_code!D193)),IFERROR(INDEX(고객법인일정파일!$C$4:$C$200,MATCH(LEFT(태깅기획site_code!D193,FIND("-",태깅기획site_code!D193)-1),고객법인일정파일!$C$4:$C$200,0)),""),IF(태깅기획site_code!D193="SCA",IF(RIGHT(태깅기획site_code!F193,3)="_fr",IFERROR(INDEX(고객법인일정파일!$C$4:$C$200,MATCH("SEWA (Africa_FR)",고객법인일정파일!$C$4:$C$200,0)),""),IF(RIGHT(태깅기획site_code!F193,3)="_en",IFERROR(INDEX(고객법인일정파일!$C$4:$C$200,MATCH("SEWA (Africa_EN)",고객법인일정파일!$C$4:$C$200,0)),""),"")),""))))))))</f>
        <v/>
      </c>
    </row>
    <row r="194" spans="16:16">
      <c r="P194" s="11" t="str">
        <f>IF(ISBLANK(태깅기획site_code!F194),"",IF(COUNTIF(고객법인일정파일!$C$4:$C$200,태깅기획site_code!D194&amp;"-"&amp;UPPER(IF(ISNUMBER(FIND("_",태깅기획site_code!F194)),LEFT(태깅기획site_code!F194,FIND("_",태깅기획site_code!F194)-1),태깅기획site_code!F194)))&gt;0,태깅기획site_code!D194&amp;"-"&amp;UPPER(IF(ISNUMBER(FIND("_",태깅기획site_code!F194)),LEFT(태깅기획site_code!F194,FIND("_",태깅기획site_code!F194)-1),태깅기획site_code!F194)),IF(COUNTIF(고객법인일정파일!$C$4:$C$200,태깅기획site_code!D194&amp;" ("&amp;PROPER(LEFT(태깅기획site_code!F194,FIND("_",태깅기획site_code!F194)-1))&amp;"_"&amp;UPPER(MID(태깅기획site_code!F194,FIND("_",태깅기획site_code!F194)+1,20))&amp;")")&gt;0,태깅기획site_code!D194&amp;" ("&amp;PROPER(LEFT(태깅기획site_code!F194,FIND("_",태깅기획site_code!F194)-1))&amp;"_"&amp;UPPER(MID(태깅기획site_code!F194,FIND("_",태깅기획site_code!F194)+1,20))&amp;")",IF(COUNTIF(고객법인일정파일!$C$4:$C$200,태깅기획site_code!D194)&gt;0,태깅기획site_code!D194,IF(ISNUMBER(FIND("_",태깅기획site_code!F194)),"",IFERROR(INDEX(고객법인일정파일!$C$4:$C$200,MATCH(태깅기획site_code!D194,$O$4:$O$200,0)),IF(ISNUMBER(FIND("-",태깅기획site_code!D194)),IFERROR(INDEX(고객법인일정파일!$C$4:$C$200,MATCH(LEFT(태깅기획site_code!D194,FIND("-",태깅기획site_code!D194)-1),고객법인일정파일!$C$4:$C$200,0)),""),IF(태깅기획site_code!D194="SCA",IF(RIGHT(태깅기획site_code!F194,3)="_fr",IFERROR(INDEX(고객법인일정파일!$C$4:$C$200,MATCH("SEWA (Africa_FR)",고객법인일정파일!$C$4:$C$200,0)),""),IF(RIGHT(태깅기획site_code!F194,3)="_en",IFERROR(INDEX(고객법인일정파일!$C$4:$C$200,MATCH("SEWA (Africa_EN)",고객법인일정파일!$C$4:$C$200,0)),""),"")),""))))))))</f>
        <v/>
      </c>
    </row>
    <row r="195" spans="16:16">
      <c r="P195" s="11" t="str">
        <f>IF(ISBLANK(태깅기획site_code!F195),"",IF(COUNTIF(고객법인일정파일!$C$4:$C$200,태깅기획site_code!D195&amp;"-"&amp;UPPER(IF(ISNUMBER(FIND("_",태깅기획site_code!F195)),LEFT(태깅기획site_code!F195,FIND("_",태깅기획site_code!F195)-1),태깅기획site_code!F195)))&gt;0,태깅기획site_code!D195&amp;"-"&amp;UPPER(IF(ISNUMBER(FIND("_",태깅기획site_code!F195)),LEFT(태깅기획site_code!F195,FIND("_",태깅기획site_code!F195)-1),태깅기획site_code!F195)),IF(COUNTIF(고객법인일정파일!$C$4:$C$200,태깅기획site_code!D195&amp;" ("&amp;PROPER(LEFT(태깅기획site_code!F195,FIND("_",태깅기획site_code!F195)-1))&amp;"_"&amp;UPPER(MID(태깅기획site_code!F195,FIND("_",태깅기획site_code!F195)+1,20))&amp;")")&gt;0,태깅기획site_code!D195&amp;" ("&amp;PROPER(LEFT(태깅기획site_code!F195,FIND("_",태깅기획site_code!F195)-1))&amp;"_"&amp;UPPER(MID(태깅기획site_code!F195,FIND("_",태깅기획site_code!F195)+1,20))&amp;")",IF(COUNTIF(고객법인일정파일!$C$4:$C$200,태깅기획site_code!D195)&gt;0,태깅기획site_code!D195,IF(ISNUMBER(FIND("_",태깅기획site_code!F195)),"",IFERROR(INDEX(고객법인일정파일!$C$4:$C$200,MATCH(태깅기획site_code!D195,$O$4:$O$200,0)),IF(ISNUMBER(FIND("-",태깅기획site_code!D195)),IFERROR(INDEX(고객법인일정파일!$C$4:$C$200,MATCH(LEFT(태깅기획site_code!D195,FIND("-",태깅기획site_code!D195)-1),고객법인일정파일!$C$4:$C$200,0)),""),IF(태깅기획site_code!D195="SCA",IF(RIGHT(태깅기획site_code!F195,3)="_fr",IFERROR(INDEX(고객법인일정파일!$C$4:$C$200,MATCH("SEWA (Africa_FR)",고객법인일정파일!$C$4:$C$200,0)),""),IF(RIGHT(태깅기획site_code!F195,3)="_en",IFERROR(INDEX(고객법인일정파일!$C$4:$C$200,MATCH("SEWA (Africa_EN)",고객법인일정파일!$C$4:$C$200,0)),""),"")),""))))))))</f>
        <v/>
      </c>
    </row>
    <row r="196" spans="16:16">
      <c r="P196" s="11" t="str">
        <f>IF(ISBLANK(태깅기획site_code!F196),"",IF(COUNTIF(고객법인일정파일!$C$4:$C$200,태깅기획site_code!D196&amp;"-"&amp;UPPER(IF(ISNUMBER(FIND("_",태깅기획site_code!F196)),LEFT(태깅기획site_code!F196,FIND("_",태깅기획site_code!F196)-1),태깅기획site_code!F196)))&gt;0,태깅기획site_code!D196&amp;"-"&amp;UPPER(IF(ISNUMBER(FIND("_",태깅기획site_code!F196)),LEFT(태깅기획site_code!F196,FIND("_",태깅기획site_code!F196)-1),태깅기획site_code!F196)),IF(COUNTIF(고객법인일정파일!$C$4:$C$200,태깅기획site_code!D196&amp;" ("&amp;PROPER(LEFT(태깅기획site_code!F196,FIND("_",태깅기획site_code!F196)-1))&amp;"_"&amp;UPPER(MID(태깅기획site_code!F196,FIND("_",태깅기획site_code!F196)+1,20))&amp;")")&gt;0,태깅기획site_code!D196&amp;" ("&amp;PROPER(LEFT(태깅기획site_code!F196,FIND("_",태깅기획site_code!F196)-1))&amp;"_"&amp;UPPER(MID(태깅기획site_code!F196,FIND("_",태깅기획site_code!F196)+1,20))&amp;")",IF(COUNTIF(고객법인일정파일!$C$4:$C$200,태깅기획site_code!D196)&gt;0,태깅기획site_code!D196,IF(ISNUMBER(FIND("_",태깅기획site_code!F196)),"",IFERROR(INDEX(고객법인일정파일!$C$4:$C$200,MATCH(태깅기획site_code!D196,$O$4:$O$200,0)),IF(ISNUMBER(FIND("-",태깅기획site_code!D196)),IFERROR(INDEX(고객법인일정파일!$C$4:$C$200,MATCH(LEFT(태깅기획site_code!D196,FIND("-",태깅기획site_code!D196)-1),고객법인일정파일!$C$4:$C$200,0)),""),IF(태깅기획site_code!D196="SCA",IF(RIGHT(태깅기획site_code!F196,3)="_fr",IFERROR(INDEX(고객법인일정파일!$C$4:$C$200,MATCH("SEWA (Africa_FR)",고객법인일정파일!$C$4:$C$200,0)),""),IF(RIGHT(태깅기획site_code!F196,3)="_en",IFERROR(INDEX(고객법인일정파일!$C$4:$C$200,MATCH("SEWA (Africa_EN)",고객법인일정파일!$C$4:$C$200,0)),""),"")),""))))))))</f>
        <v/>
      </c>
    </row>
    <row r="197" spans="16:16">
      <c r="P197" s="11" t="str">
        <f>IF(ISBLANK(태깅기획site_code!F197),"",IF(COUNTIF(고객법인일정파일!$C$4:$C$200,태깅기획site_code!D197&amp;"-"&amp;UPPER(IF(ISNUMBER(FIND("_",태깅기획site_code!F197)),LEFT(태깅기획site_code!F197,FIND("_",태깅기획site_code!F197)-1),태깅기획site_code!F197)))&gt;0,태깅기획site_code!D197&amp;"-"&amp;UPPER(IF(ISNUMBER(FIND("_",태깅기획site_code!F197)),LEFT(태깅기획site_code!F197,FIND("_",태깅기획site_code!F197)-1),태깅기획site_code!F197)),IF(COUNTIF(고객법인일정파일!$C$4:$C$200,태깅기획site_code!D197&amp;" ("&amp;PROPER(LEFT(태깅기획site_code!F197,FIND("_",태깅기획site_code!F197)-1))&amp;"_"&amp;UPPER(MID(태깅기획site_code!F197,FIND("_",태깅기획site_code!F197)+1,20))&amp;")")&gt;0,태깅기획site_code!D197&amp;" ("&amp;PROPER(LEFT(태깅기획site_code!F197,FIND("_",태깅기획site_code!F197)-1))&amp;"_"&amp;UPPER(MID(태깅기획site_code!F197,FIND("_",태깅기획site_code!F197)+1,20))&amp;")",IF(COUNTIF(고객법인일정파일!$C$4:$C$200,태깅기획site_code!D197)&gt;0,태깅기획site_code!D197,IF(ISNUMBER(FIND("_",태깅기획site_code!F197)),"",IFERROR(INDEX(고객법인일정파일!$C$4:$C$200,MATCH(태깅기획site_code!D197,$O$4:$O$200,0)),IF(ISNUMBER(FIND("-",태깅기획site_code!D197)),IFERROR(INDEX(고객법인일정파일!$C$4:$C$200,MATCH(LEFT(태깅기획site_code!D197,FIND("-",태깅기획site_code!D197)-1),고객법인일정파일!$C$4:$C$200,0)),""),IF(태깅기획site_code!D197="SCA",IF(RIGHT(태깅기획site_code!F197,3)="_fr",IFERROR(INDEX(고객법인일정파일!$C$4:$C$200,MATCH("SEWA (Africa_FR)",고객법인일정파일!$C$4:$C$200,0)),""),IF(RIGHT(태깅기획site_code!F197,3)="_en",IFERROR(INDEX(고객법인일정파일!$C$4:$C$200,MATCH("SEWA (Africa_EN)",고객법인일정파일!$C$4:$C$200,0)),""),"")),""))))))))</f>
        <v/>
      </c>
    </row>
    <row r="198" spans="16:16">
      <c r="P198" s="11" t="str">
        <f>IF(ISBLANK(태깅기획site_code!F198),"",IF(COUNTIF(고객법인일정파일!$C$4:$C$200,태깅기획site_code!D198&amp;"-"&amp;UPPER(IF(ISNUMBER(FIND("_",태깅기획site_code!F198)),LEFT(태깅기획site_code!F198,FIND("_",태깅기획site_code!F198)-1),태깅기획site_code!F198)))&gt;0,태깅기획site_code!D198&amp;"-"&amp;UPPER(IF(ISNUMBER(FIND("_",태깅기획site_code!F198)),LEFT(태깅기획site_code!F198,FIND("_",태깅기획site_code!F198)-1),태깅기획site_code!F198)),IF(COUNTIF(고객법인일정파일!$C$4:$C$200,태깅기획site_code!D198&amp;" ("&amp;PROPER(LEFT(태깅기획site_code!F198,FIND("_",태깅기획site_code!F198)-1))&amp;"_"&amp;UPPER(MID(태깅기획site_code!F198,FIND("_",태깅기획site_code!F198)+1,20))&amp;")")&gt;0,태깅기획site_code!D198&amp;" ("&amp;PROPER(LEFT(태깅기획site_code!F198,FIND("_",태깅기획site_code!F198)-1))&amp;"_"&amp;UPPER(MID(태깅기획site_code!F198,FIND("_",태깅기획site_code!F198)+1,20))&amp;")",IF(COUNTIF(고객법인일정파일!$C$4:$C$200,태깅기획site_code!D198)&gt;0,태깅기획site_code!D198,IF(ISNUMBER(FIND("_",태깅기획site_code!F198)),"",IFERROR(INDEX(고객법인일정파일!$C$4:$C$200,MATCH(태깅기획site_code!D198,$O$4:$O$200,0)),IF(ISNUMBER(FIND("-",태깅기획site_code!D198)),IFERROR(INDEX(고객법인일정파일!$C$4:$C$200,MATCH(LEFT(태깅기획site_code!D198,FIND("-",태깅기획site_code!D198)-1),고객법인일정파일!$C$4:$C$200,0)),""),IF(태깅기획site_code!D198="SCA",IF(RIGHT(태깅기획site_code!F198,3)="_fr",IFERROR(INDEX(고객법인일정파일!$C$4:$C$200,MATCH("SEWA (Africa_FR)",고객법인일정파일!$C$4:$C$200,0)),""),IF(RIGHT(태깅기획site_code!F198,3)="_en",IFERROR(INDEX(고객법인일정파일!$C$4:$C$200,MATCH("SEWA (Africa_EN)",고객법인일정파일!$C$4:$C$200,0)),""),"")),""))))))))</f>
        <v/>
      </c>
    </row>
    <row r="199" spans="16:16">
      <c r="P199" s="11" t="str">
        <f>IF(ISBLANK(태깅기획site_code!F199),"",IF(COUNTIF(고객법인일정파일!$C$4:$C$200,태깅기획site_code!D199&amp;"-"&amp;UPPER(IF(ISNUMBER(FIND("_",태깅기획site_code!F199)),LEFT(태깅기획site_code!F199,FIND("_",태깅기획site_code!F199)-1),태깅기획site_code!F199)))&gt;0,태깅기획site_code!D199&amp;"-"&amp;UPPER(IF(ISNUMBER(FIND("_",태깅기획site_code!F199)),LEFT(태깅기획site_code!F199,FIND("_",태깅기획site_code!F199)-1),태깅기획site_code!F199)),IF(COUNTIF(고객법인일정파일!$C$4:$C$200,태깅기획site_code!D199&amp;" ("&amp;PROPER(LEFT(태깅기획site_code!F199,FIND("_",태깅기획site_code!F199)-1))&amp;"_"&amp;UPPER(MID(태깅기획site_code!F199,FIND("_",태깅기획site_code!F199)+1,20))&amp;")")&gt;0,태깅기획site_code!D199&amp;" ("&amp;PROPER(LEFT(태깅기획site_code!F199,FIND("_",태깅기획site_code!F199)-1))&amp;"_"&amp;UPPER(MID(태깅기획site_code!F199,FIND("_",태깅기획site_code!F199)+1,20))&amp;")",IF(COUNTIF(고객법인일정파일!$C$4:$C$200,태깅기획site_code!D199)&gt;0,태깅기획site_code!D199,IF(ISNUMBER(FIND("_",태깅기획site_code!F199)),"",IFERROR(INDEX(고객법인일정파일!$C$4:$C$200,MATCH(태깅기획site_code!D199,$O$4:$O$200,0)),IF(ISNUMBER(FIND("-",태깅기획site_code!D199)),IFERROR(INDEX(고객법인일정파일!$C$4:$C$200,MATCH(LEFT(태깅기획site_code!D199,FIND("-",태깅기획site_code!D199)-1),고객법인일정파일!$C$4:$C$200,0)),""),IF(태깅기획site_code!D199="SCA",IF(RIGHT(태깅기획site_code!F199,3)="_fr",IFERROR(INDEX(고객법인일정파일!$C$4:$C$200,MATCH("SEWA (Africa_FR)",고객법인일정파일!$C$4:$C$200,0)),""),IF(RIGHT(태깅기획site_code!F199,3)="_en",IFERROR(INDEX(고객법인일정파일!$C$4:$C$200,MATCH("SEWA (Africa_EN)",고객법인일정파일!$C$4:$C$200,0)),""),"")),""))))))))</f>
        <v/>
      </c>
    </row>
    <row r="200" spans="16:16">
      <c r="P200" s="11" t="str">
        <f>IF(ISBLANK(태깅기획site_code!F200),"",IF(COUNTIF(고객법인일정파일!$C$4:$C$200,태깅기획site_code!D200&amp;"-"&amp;UPPER(IF(ISNUMBER(FIND("_",태깅기획site_code!F200)),LEFT(태깅기획site_code!F200,FIND("_",태깅기획site_code!F200)-1),태깅기획site_code!F200)))&gt;0,태깅기획site_code!D200&amp;"-"&amp;UPPER(IF(ISNUMBER(FIND("_",태깅기획site_code!F200)),LEFT(태깅기획site_code!F200,FIND("_",태깅기획site_code!F200)-1),태깅기획site_code!F200)),IF(COUNTIF(고객법인일정파일!$C$4:$C$200,태깅기획site_code!D200&amp;" ("&amp;PROPER(LEFT(태깅기획site_code!F200,FIND("_",태깅기획site_code!F200)-1))&amp;"_"&amp;UPPER(MID(태깅기획site_code!F200,FIND("_",태깅기획site_code!F200)+1,20))&amp;")")&gt;0,태깅기획site_code!D200&amp;" ("&amp;PROPER(LEFT(태깅기획site_code!F200,FIND("_",태깅기획site_code!F200)-1))&amp;"_"&amp;UPPER(MID(태깅기획site_code!F200,FIND("_",태깅기획site_code!F200)+1,20))&amp;")",IF(COUNTIF(고객법인일정파일!$C$4:$C$200,태깅기획site_code!D200)&gt;0,태깅기획site_code!D200,IF(ISNUMBER(FIND("_",태깅기획site_code!F200)),"",IFERROR(INDEX(고객법인일정파일!$C$4:$C$200,MATCH(태깅기획site_code!D200,$O$4:$O$200,0)),IF(ISNUMBER(FIND("-",태깅기획site_code!D200)),IFERROR(INDEX(고객법인일정파일!$C$4:$C$200,MATCH(LEFT(태깅기획site_code!D200,FIND("-",태깅기획site_code!D200)-1),고객법인일정파일!$C$4:$C$200,0)),""),IF(태깅기획site_code!D200="SCA",IF(RIGHT(태깅기획site_code!F200,3)="_fr",IFERROR(INDEX(고객법인일정파일!$C$4:$C$200,MATCH("SEWA (Africa_FR)",고객법인일정파일!$C$4:$C$200,0)),""),IF(RIGHT(태깅기획site_code!F200,3)="_en",IFERROR(INDEX(고객법인일정파일!$C$4:$C$200,MATCH("SEWA (Africa_EN)",고객법인일정파일!$C$4:$C$200,0)),""),"")),""))))))))</f>
        <v/>
      </c>
    </row>
  </sheetData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95"/>
  <sheetViews>
    <sheetView showGridLines="0" zoomScale="85" zoomScaleNormal="85" workbookViewId="0">
      <pane xSplit="1" ySplit="3" topLeftCell="B36" activePane="bottomRight" state="frozen"/>
      <selection pane="topRight" activeCell="B1" sqref="B1"/>
      <selection pane="bottomLeft" activeCell="A4" sqref="A4"/>
      <selection pane="bottomRight" activeCell="B3" sqref="B3"/>
    </sheetView>
  </sheetViews>
  <sheetFormatPr defaultRowHeight="16.5"/>
  <cols>
    <col min="1" max="1" width="1.625" customWidth="1"/>
    <col min="2" max="4" width="9" style="1" customWidth="1"/>
    <col min="5" max="5" width="10.5" style="1" customWidth="1"/>
    <col min="6" max="8" width="9" style="1" customWidth="1"/>
    <col min="9" max="9" width="15.125" style="16" bestFit="1" customWidth="1"/>
    <col min="10" max="10" width="20.125" style="1" bestFit="1" customWidth="1"/>
    <col min="11" max="11" width="16.875" style="1" bestFit="1" customWidth="1"/>
    <col min="12" max="12" width="19" bestFit="1" customWidth="1"/>
  </cols>
  <sheetData>
    <row r="1" spans="2:15">
      <c r="B1" s="133" t="s">
        <v>85</v>
      </c>
      <c r="C1" s="137"/>
      <c r="D1" s="137"/>
      <c r="E1" s="137"/>
      <c r="F1" s="137"/>
      <c r="G1" s="137"/>
      <c r="H1" s="137"/>
      <c r="I1" s="138"/>
      <c r="J1" s="137"/>
      <c r="K1" s="137"/>
      <c r="L1" s="134"/>
      <c r="N1" s="136" t="s">
        <v>301</v>
      </c>
      <c r="O1" s="134"/>
    </row>
    <row r="2" spans="2:15">
      <c r="B2" s="4"/>
      <c r="I2" s="52" t="s">
        <v>280</v>
      </c>
      <c r="J2" s="5" t="s">
        <v>86</v>
      </c>
    </row>
    <row r="3" spans="2:15" ht="17.25" thickBot="1">
      <c r="B3" s="157" t="s">
        <v>87</v>
      </c>
      <c r="C3" s="155" t="s">
        <v>292</v>
      </c>
      <c r="D3" s="158" t="s">
        <v>368</v>
      </c>
      <c r="E3" s="158" t="s">
        <v>88</v>
      </c>
      <c r="F3" s="158" t="s">
        <v>89</v>
      </c>
      <c r="G3" s="158" t="s">
        <v>16</v>
      </c>
      <c r="H3" s="158" t="s">
        <v>90</v>
      </c>
      <c r="I3" s="157" t="s">
        <v>91</v>
      </c>
      <c r="J3" s="159" t="s">
        <v>9</v>
      </c>
      <c r="K3" s="158" t="s">
        <v>92</v>
      </c>
      <c r="L3" s="158" t="s">
        <v>93</v>
      </c>
    </row>
    <row r="4" spans="2:15" ht="17.25" thickTop="1">
      <c r="B4" s="16">
        <v>1</v>
      </c>
      <c r="C4" s="1" t="s">
        <v>77</v>
      </c>
      <c r="D4" s="1" t="s">
        <v>350</v>
      </c>
      <c r="E4" s="1" t="s">
        <v>94</v>
      </c>
      <c r="F4" s="1" t="s">
        <v>95</v>
      </c>
      <c r="G4" s="1" t="s">
        <v>369</v>
      </c>
      <c r="H4" s="1" t="s">
        <v>96</v>
      </c>
      <c r="I4" s="16" t="s">
        <v>20</v>
      </c>
      <c r="J4" s="6" t="s">
        <v>94</v>
      </c>
      <c r="K4" s="1" t="s">
        <v>97</v>
      </c>
      <c r="N4" t="str" cm="1">
        <f t="array" ref="N4:N15">_xlfn._xlws.FILTER(고객법인일정파일!B4:B99,고객법인일정파일!B4:B99&lt;&gt;"")</f>
        <v>N.America</v>
      </c>
      <c r="O4">
        <f>IF(N4="","",IF(N4="Total","",ROW()-3))</f>
        <v>1</v>
      </c>
    </row>
    <row r="5" spans="2:15">
      <c r="B5" s="16">
        <v>2</v>
      </c>
      <c r="C5" s="1" t="s">
        <v>77</v>
      </c>
      <c r="D5" s="1" t="s">
        <v>350</v>
      </c>
      <c r="E5" s="1" t="s">
        <v>94</v>
      </c>
      <c r="F5" s="1" t="s">
        <v>98</v>
      </c>
      <c r="G5" s="1" t="s">
        <v>370</v>
      </c>
      <c r="H5" s="1" t="s">
        <v>96</v>
      </c>
      <c r="I5" s="16" t="s">
        <v>20</v>
      </c>
      <c r="J5" s="6" t="s">
        <v>99</v>
      </c>
      <c r="K5" s="1" t="s">
        <v>97</v>
      </c>
      <c r="N5" t="str">
        <v>EU</v>
      </c>
      <c r="O5">
        <f t="shared" ref="O5:O24" si="0">IF(N5="","",IF(N5="Total","",ROW()-3))</f>
        <v>2</v>
      </c>
    </row>
    <row r="6" spans="2:15">
      <c r="B6" s="16">
        <v>4</v>
      </c>
      <c r="C6" s="1" t="s">
        <v>80</v>
      </c>
      <c r="D6" s="11" t="s">
        <v>371</v>
      </c>
      <c r="E6" s="1" t="s">
        <v>100</v>
      </c>
      <c r="F6" s="1" t="s">
        <v>101</v>
      </c>
      <c r="G6" s="1" t="s">
        <v>372</v>
      </c>
      <c r="H6" s="1" t="s">
        <v>102</v>
      </c>
      <c r="I6" s="16" t="s">
        <v>73</v>
      </c>
      <c r="J6" s="6" t="s">
        <v>103</v>
      </c>
      <c r="K6" s="1" t="s">
        <v>104</v>
      </c>
      <c r="N6" t="str">
        <v>L.America</v>
      </c>
      <c r="O6">
        <f t="shared" si="0"/>
        <v>3</v>
      </c>
    </row>
    <row r="7" spans="2:15">
      <c r="B7" s="16">
        <v>1</v>
      </c>
      <c r="C7" s="1" t="s">
        <v>80</v>
      </c>
      <c r="D7" s="11" t="s">
        <v>371</v>
      </c>
      <c r="E7" s="1" t="s">
        <v>100</v>
      </c>
      <c r="F7" s="1" t="s">
        <v>105</v>
      </c>
      <c r="G7" s="1" t="s">
        <v>373</v>
      </c>
      <c r="H7" s="1" t="s">
        <v>102</v>
      </c>
      <c r="I7" s="16" t="s">
        <v>73</v>
      </c>
      <c r="J7" s="6" t="s">
        <v>106</v>
      </c>
      <c r="K7" s="1" t="s">
        <v>104</v>
      </c>
      <c r="N7" t="str">
        <v>S.E.Asia</v>
      </c>
      <c r="O7">
        <f t="shared" si="0"/>
        <v>4</v>
      </c>
    </row>
    <row r="8" spans="2:15">
      <c r="B8" s="16">
        <v>2</v>
      </c>
      <c r="C8" s="1" t="s">
        <v>80</v>
      </c>
      <c r="D8" s="11" t="s">
        <v>371</v>
      </c>
      <c r="E8" s="1" t="s">
        <v>100</v>
      </c>
      <c r="F8" s="1" t="s">
        <v>107</v>
      </c>
      <c r="G8" s="1" t="s">
        <v>374</v>
      </c>
      <c r="H8" s="1" t="s">
        <v>102</v>
      </c>
      <c r="I8" s="16" t="s">
        <v>73</v>
      </c>
      <c r="J8" s="6" t="s">
        <v>108</v>
      </c>
      <c r="K8" s="1" t="s">
        <v>104</v>
      </c>
      <c r="N8" t="str">
        <v>S.W.Asia</v>
      </c>
      <c r="O8">
        <f t="shared" si="0"/>
        <v>5</v>
      </c>
    </row>
    <row r="9" spans="2:15">
      <c r="B9" s="16">
        <v>6</v>
      </c>
      <c r="C9" s="1" t="s">
        <v>72</v>
      </c>
      <c r="D9" s="1" t="s">
        <v>329</v>
      </c>
      <c r="E9" s="1" t="s">
        <v>109</v>
      </c>
      <c r="F9" s="1" t="s">
        <v>110</v>
      </c>
      <c r="G9" s="1" t="s">
        <v>375</v>
      </c>
      <c r="H9" s="1" t="s">
        <v>102</v>
      </c>
      <c r="I9" s="16" t="s">
        <v>73</v>
      </c>
      <c r="J9" s="6" t="s">
        <v>109</v>
      </c>
      <c r="K9" s="1" t="s">
        <v>104</v>
      </c>
      <c r="N9" t="str">
        <v>MENA</v>
      </c>
      <c r="O9">
        <f t="shared" si="0"/>
        <v>6</v>
      </c>
    </row>
    <row r="10" spans="2:15">
      <c r="B10" s="16">
        <v>6</v>
      </c>
      <c r="C10" s="11" t="s">
        <v>296</v>
      </c>
      <c r="D10" s="1" t="s">
        <v>337</v>
      </c>
      <c r="E10" s="1" t="s">
        <v>111</v>
      </c>
      <c r="F10" s="1" t="s">
        <v>112</v>
      </c>
      <c r="G10" s="1" t="s">
        <v>376</v>
      </c>
      <c r="H10" s="1" t="s">
        <v>377</v>
      </c>
      <c r="I10" s="16" t="s">
        <v>73</v>
      </c>
      <c r="J10" s="6" t="s">
        <v>111</v>
      </c>
      <c r="K10" s="1" t="s">
        <v>104</v>
      </c>
      <c r="N10" t="str">
        <v>CIS</v>
      </c>
      <c r="O10">
        <f t="shared" si="0"/>
        <v>7</v>
      </c>
    </row>
    <row r="11" spans="2:15">
      <c r="B11" s="16">
        <v>8</v>
      </c>
      <c r="C11" s="1" t="s">
        <v>72</v>
      </c>
      <c r="D11" s="1" t="s">
        <v>378</v>
      </c>
      <c r="E11" s="1" t="s">
        <v>113</v>
      </c>
      <c r="F11" s="1" t="s">
        <v>114</v>
      </c>
      <c r="G11" s="1" t="s">
        <v>379</v>
      </c>
      <c r="H11" s="1" t="s">
        <v>96</v>
      </c>
      <c r="I11" s="16" t="s">
        <v>20</v>
      </c>
      <c r="J11" s="6" t="s">
        <v>113</v>
      </c>
      <c r="K11" s="1" t="s">
        <v>97</v>
      </c>
      <c r="N11" t="str">
        <v>Africa</v>
      </c>
      <c r="O11">
        <f t="shared" si="0"/>
        <v>8</v>
      </c>
    </row>
    <row r="12" spans="2:15">
      <c r="B12" s="16">
        <v>9</v>
      </c>
      <c r="C12" s="11" t="s">
        <v>297</v>
      </c>
      <c r="D12" s="1" t="s">
        <v>340</v>
      </c>
      <c r="E12" s="1" t="s">
        <v>115</v>
      </c>
      <c r="F12" s="1" t="s">
        <v>116</v>
      </c>
      <c r="G12" s="1" t="s">
        <v>380</v>
      </c>
      <c r="H12" s="1" t="s">
        <v>96</v>
      </c>
      <c r="I12" s="16" t="s">
        <v>20</v>
      </c>
      <c r="J12" s="6" t="s">
        <v>115</v>
      </c>
      <c r="K12" s="1" t="s">
        <v>97</v>
      </c>
      <c r="N12" t="str">
        <v>China</v>
      </c>
      <c r="O12">
        <f t="shared" si="0"/>
        <v>9</v>
      </c>
    </row>
    <row r="13" spans="2:15">
      <c r="B13" s="16">
        <v>10</v>
      </c>
      <c r="C13" s="1" t="s">
        <v>79</v>
      </c>
      <c r="D13" s="1" t="s">
        <v>381</v>
      </c>
      <c r="E13" s="1" t="s">
        <v>117</v>
      </c>
      <c r="F13" s="1" t="s">
        <v>118</v>
      </c>
      <c r="G13" s="1" t="s">
        <v>382</v>
      </c>
      <c r="H13" s="1" t="s">
        <v>102</v>
      </c>
      <c r="I13" s="16" t="s">
        <v>73</v>
      </c>
      <c r="J13" s="6" t="s">
        <v>117</v>
      </c>
      <c r="K13" s="1" t="s">
        <v>104</v>
      </c>
      <c r="N13" t="str">
        <v>Japan</v>
      </c>
      <c r="O13">
        <f t="shared" si="0"/>
        <v>10</v>
      </c>
    </row>
    <row r="14" spans="2:15">
      <c r="B14" s="16">
        <v>11</v>
      </c>
      <c r="C14" s="1" t="s">
        <v>72</v>
      </c>
      <c r="D14" s="1" t="s">
        <v>329</v>
      </c>
      <c r="E14" s="1" t="s">
        <v>119</v>
      </c>
      <c r="F14" s="1" t="s">
        <v>120</v>
      </c>
      <c r="G14" s="1" t="s">
        <v>383</v>
      </c>
      <c r="H14" s="1" t="s">
        <v>102</v>
      </c>
      <c r="I14" s="16" t="s">
        <v>73</v>
      </c>
      <c r="J14" s="6" t="s">
        <v>119</v>
      </c>
      <c r="K14" s="1" t="s">
        <v>104</v>
      </c>
      <c r="N14" t="str">
        <v>Korea</v>
      </c>
      <c r="O14">
        <f t="shared" si="0"/>
        <v>11</v>
      </c>
    </row>
    <row r="15" spans="2:15">
      <c r="B15" s="16">
        <v>12</v>
      </c>
      <c r="C15" s="11" t="s">
        <v>298</v>
      </c>
      <c r="D15" s="1" t="s">
        <v>349</v>
      </c>
      <c r="E15" s="1" t="s">
        <v>121</v>
      </c>
      <c r="F15" s="1" t="s">
        <v>122</v>
      </c>
      <c r="G15" s="1" t="s">
        <v>384</v>
      </c>
      <c r="H15" s="1" t="s">
        <v>102</v>
      </c>
      <c r="I15" s="16" t="s">
        <v>73</v>
      </c>
      <c r="J15" s="6" t="s">
        <v>121</v>
      </c>
      <c r="K15" s="1" t="s">
        <v>104</v>
      </c>
      <c r="N15" t="str">
        <v>Total</v>
      </c>
      <c r="O15" t="str">
        <f t="shared" si="0"/>
        <v/>
      </c>
    </row>
    <row r="16" spans="2:15">
      <c r="B16" s="16">
        <v>14</v>
      </c>
      <c r="C16" s="1" t="s">
        <v>72</v>
      </c>
      <c r="D16" s="1" t="s">
        <v>385</v>
      </c>
      <c r="E16" s="1" t="s">
        <v>123</v>
      </c>
      <c r="F16" s="1" t="s">
        <v>124</v>
      </c>
      <c r="G16" s="1" t="s">
        <v>386</v>
      </c>
      <c r="H16" s="1" t="s">
        <v>96</v>
      </c>
      <c r="I16" s="16" t="s">
        <v>73</v>
      </c>
      <c r="J16" s="6" t="s">
        <v>125</v>
      </c>
      <c r="K16" s="1" t="s">
        <v>104</v>
      </c>
      <c r="O16" t="str">
        <f t="shared" si="0"/>
        <v/>
      </c>
    </row>
    <row r="17" spans="2:15">
      <c r="B17" s="16">
        <v>11</v>
      </c>
      <c r="C17" s="1" t="s">
        <v>72</v>
      </c>
      <c r="D17" s="1" t="s">
        <v>385</v>
      </c>
      <c r="E17" s="1" t="s">
        <v>123</v>
      </c>
      <c r="F17" s="1" t="s">
        <v>126</v>
      </c>
      <c r="G17" s="1" t="s">
        <v>387</v>
      </c>
      <c r="H17" s="1" t="s">
        <v>96</v>
      </c>
      <c r="I17" s="16" t="s">
        <v>73</v>
      </c>
      <c r="J17" s="6" t="s">
        <v>125</v>
      </c>
      <c r="K17" s="1" t="s">
        <v>104</v>
      </c>
      <c r="O17" t="str">
        <f t="shared" si="0"/>
        <v/>
      </c>
    </row>
    <row r="18" spans="2:15">
      <c r="B18" s="16">
        <v>12</v>
      </c>
      <c r="C18" s="1" t="s">
        <v>72</v>
      </c>
      <c r="D18" s="1" t="s">
        <v>323</v>
      </c>
      <c r="E18" s="1" t="s">
        <v>127</v>
      </c>
      <c r="F18" s="1" t="s">
        <v>128</v>
      </c>
      <c r="G18" s="1" t="s">
        <v>388</v>
      </c>
      <c r="H18" s="1" t="s">
        <v>96</v>
      </c>
      <c r="I18" s="16" t="s">
        <v>73</v>
      </c>
      <c r="J18" s="6" t="s">
        <v>127</v>
      </c>
      <c r="K18" s="1" t="s">
        <v>104</v>
      </c>
      <c r="O18" t="str">
        <f t="shared" si="0"/>
        <v/>
      </c>
    </row>
    <row r="19" spans="2:15">
      <c r="B19" s="16">
        <v>16</v>
      </c>
      <c r="C19" s="11" t="s">
        <v>74</v>
      </c>
      <c r="D19" s="1" t="s">
        <v>332</v>
      </c>
      <c r="E19" s="1" t="s">
        <v>129</v>
      </c>
      <c r="F19" s="1" t="s">
        <v>28</v>
      </c>
      <c r="G19" s="1" t="s">
        <v>389</v>
      </c>
      <c r="H19" s="1" t="s">
        <v>377</v>
      </c>
      <c r="I19" s="16" t="s">
        <v>20</v>
      </c>
      <c r="J19" s="6" t="s">
        <v>129</v>
      </c>
      <c r="K19" s="1" t="s">
        <v>130</v>
      </c>
      <c r="O19" t="str">
        <f t="shared" si="0"/>
        <v/>
      </c>
    </row>
    <row r="20" spans="2:15">
      <c r="B20" s="16">
        <v>16</v>
      </c>
      <c r="C20" s="11" t="s">
        <v>69</v>
      </c>
      <c r="D20" s="1" t="s">
        <v>315</v>
      </c>
      <c r="E20" s="1" t="s">
        <v>131</v>
      </c>
      <c r="F20" s="1" t="s">
        <v>132</v>
      </c>
      <c r="G20" s="1" t="s">
        <v>390</v>
      </c>
      <c r="H20" s="1" t="s">
        <v>96</v>
      </c>
      <c r="I20" s="16" t="s">
        <v>20</v>
      </c>
      <c r="J20" s="6" t="s">
        <v>131</v>
      </c>
      <c r="K20" s="1" t="s">
        <v>97</v>
      </c>
      <c r="O20" t="str">
        <f t="shared" si="0"/>
        <v/>
      </c>
    </row>
    <row r="21" spans="2:15">
      <c r="B21" s="16">
        <v>18</v>
      </c>
      <c r="C21" s="11" t="s">
        <v>69</v>
      </c>
      <c r="D21" s="1" t="s">
        <v>315</v>
      </c>
      <c r="E21" s="1" t="s">
        <v>131</v>
      </c>
      <c r="F21" s="1" t="s">
        <v>133</v>
      </c>
      <c r="G21" s="1" t="s">
        <v>391</v>
      </c>
      <c r="H21" s="1" t="s">
        <v>96</v>
      </c>
      <c r="I21" s="16" t="s">
        <v>20</v>
      </c>
      <c r="J21" s="6" t="s">
        <v>134</v>
      </c>
      <c r="K21" s="1" t="s">
        <v>97</v>
      </c>
      <c r="O21" t="str">
        <f t="shared" si="0"/>
        <v/>
      </c>
    </row>
    <row r="22" spans="2:15">
      <c r="B22" s="16">
        <v>19</v>
      </c>
      <c r="C22" s="1" t="s">
        <v>72</v>
      </c>
      <c r="D22" s="1" t="s">
        <v>378</v>
      </c>
      <c r="E22" s="1" t="s">
        <v>135</v>
      </c>
      <c r="F22" s="1" t="s">
        <v>136</v>
      </c>
      <c r="G22" s="1" t="s">
        <v>392</v>
      </c>
      <c r="H22" s="1" t="s">
        <v>96</v>
      </c>
      <c r="I22" s="16" t="s">
        <v>73</v>
      </c>
      <c r="J22" s="6" t="s">
        <v>135</v>
      </c>
      <c r="K22" s="1" t="s">
        <v>104</v>
      </c>
      <c r="O22" t="str">
        <f t="shared" si="0"/>
        <v/>
      </c>
    </row>
    <row r="23" spans="2:15">
      <c r="B23" s="16">
        <v>20</v>
      </c>
      <c r="C23" s="1" t="s">
        <v>72</v>
      </c>
      <c r="D23" s="1" t="s">
        <v>378</v>
      </c>
      <c r="E23" s="1" t="s">
        <v>135</v>
      </c>
      <c r="F23" s="1" t="s">
        <v>137</v>
      </c>
      <c r="G23" s="1" t="s">
        <v>393</v>
      </c>
      <c r="H23" s="1" t="s">
        <v>96</v>
      </c>
      <c r="I23" s="16" t="s">
        <v>73</v>
      </c>
      <c r="J23" s="6" t="s">
        <v>138</v>
      </c>
      <c r="K23" s="1" t="s">
        <v>104</v>
      </c>
      <c r="O23" t="str">
        <f t="shared" si="0"/>
        <v/>
      </c>
    </row>
    <row r="24" spans="2:15">
      <c r="B24" s="16">
        <v>21</v>
      </c>
      <c r="C24" s="11" t="s">
        <v>296</v>
      </c>
      <c r="D24" s="1" t="s">
        <v>335</v>
      </c>
      <c r="E24" s="1" t="s">
        <v>139</v>
      </c>
      <c r="F24" s="1" t="s">
        <v>140</v>
      </c>
      <c r="G24" s="1" t="s">
        <v>394</v>
      </c>
      <c r="H24" s="1" t="s">
        <v>96</v>
      </c>
      <c r="I24" s="16" t="s">
        <v>20</v>
      </c>
      <c r="J24" s="6" t="s">
        <v>139</v>
      </c>
      <c r="K24" s="1" t="s">
        <v>97</v>
      </c>
      <c r="O24" t="str">
        <f t="shared" si="0"/>
        <v/>
      </c>
    </row>
    <row r="25" spans="2:15">
      <c r="B25" s="16">
        <v>22</v>
      </c>
      <c r="C25" s="1" t="s">
        <v>81</v>
      </c>
      <c r="D25" s="1" t="s">
        <v>364</v>
      </c>
      <c r="E25" s="1" t="s">
        <v>81</v>
      </c>
      <c r="F25" s="1" t="s">
        <v>23</v>
      </c>
      <c r="G25" s="1" t="s">
        <v>395</v>
      </c>
      <c r="H25" s="1" t="s">
        <v>96</v>
      </c>
      <c r="I25" s="16" t="s">
        <v>20</v>
      </c>
      <c r="J25" s="6" t="s">
        <v>81</v>
      </c>
      <c r="K25" s="1" t="s">
        <v>130</v>
      </c>
    </row>
    <row r="26" spans="2:15">
      <c r="B26" s="16">
        <v>24</v>
      </c>
      <c r="C26" s="11" t="s">
        <v>296</v>
      </c>
      <c r="D26" s="1" t="s">
        <v>336</v>
      </c>
      <c r="E26" s="1" t="s">
        <v>141</v>
      </c>
      <c r="F26" s="1" t="s">
        <v>142</v>
      </c>
      <c r="G26" s="1" t="s">
        <v>396</v>
      </c>
      <c r="H26" s="1" t="s">
        <v>96</v>
      </c>
      <c r="I26" s="16" t="s">
        <v>20</v>
      </c>
      <c r="J26" s="6" t="s">
        <v>141</v>
      </c>
      <c r="K26" s="1" t="s">
        <v>97</v>
      </c>
    </row>
    <row r="27" spans="2:15">
      <c r="B27" s="16">
        <v>21</v>
      </c>
      <c r="C27" s="1" t="s">
        <v>72</v>
      </c>
      <c r="D27" s="1" t="s">
        <v>324</v>
      </c>
      <c r="E27" s="1" t="s">
        <v>143</v>
      </c>
      <c r="F27" s="1" t="s">
        <v>144</v>
      </c>
      <c r="G27" s="1" t="s">
        <v>397</v>
      </c>
      <c r="H27" s="1" t="s">
        <v>96</v>
      </c>
      <c r="I27" s="16" t="s">
        <v>20</v>
      </c>
      <c r="J27" s="6" t="s">
        <v>143</v>
      </c>
      <c r="K27" s="1" t="s">
        <v>97</v>
      </c>
    </row>
    <row r="28" spans="2:15">
      <c r="B28" s="16">
        <v>22</v>
      </c>
      <c r="C28" s="1" t="s">
        <v>72</v>
      </c>
      <c r="D28" s="1" t="s">
        <v>317</v>
      </c>
      <c r="E28" s="1" t="s">
        <v>145</v>
      </c>
      <c r="F28" s="1" t="s">
        <v>24</v>
      </c>
      <c r="G28" s="1" t="s">
        <v>398</v>
      </c>
      <c r="H28" s="1" t="s">
        <v>96</v>
      </c>
      <c r="I28" s="16" t="s">
        <v>20</v>
      </c>
      <c r="J28" s="6" t="s">
        <v>145</v>
      </c>
      <c r="K28" s="1" t="s">
        <v>97</v>
      </c>
    </row>
    <row r="29" spans="2:15">
      <c r="B29" s="16">
        <v>26</v>
      </c>
      <c r="C29" s="1" t="s">
        <v>72</v>
      </c>
      <c r="D29" s="1" t="s">
        <v>322</v>
      </c>
      <c r="E29" s="1" t="s">
        <v>146</v>
      </c>
      <c r="F29" s="1" t="s">
        <v>147</v>
      </c>
      <c r="G29" s="1" t="s">
        <v>399</v>
      </c>
      <c r="H29" s="1" t="s">
        <v>96</v>
      </c>
      <c r="I29" s="16" t="s">
        <v>73</v>
      </c>
      <c r="J29" s="6" t="s">
        <v>146</v>
      </c>
      <c r="K29" s="1" t="s">
        <v>104</v>
      </c>
    </row>
    <row r="30" spans="2:15">
      <c r="B30" s="16">
        <v>26</v>
      </c>
      <c r="C30" s="1" t="s">
        <v>72</v>
      </c>
      <c r="D30" s="1" t="s">
        <v>330</v>
      </c>
      <c r="E30" s="1" t="s">
        <v>148</v>
      </c>
      <c r="F30" s="1" t="s">
        <v>149</v>
      </c>
      <c r="G30" s="1" t="s">
        <v>400</v>
      </c>
      <c r="H30" s="1" t="s">
        <v>96</v>
      </c>
      <c r="I30" s="16" t="s">
        <v>73</v>
      </c>
      <c r="J30" s="6" t="s">
        <v>148</v>
      </c>
      <c r="K30" s="1" t="s">
        <v>104</v>
      </c>
    </row>
    <row r="31" spans="2:15">
      <c r="B31" s="16">
        <v>28</v>
      </c>
      <c r="C31" s="1" t="s">
        <v>77</v>
      </c>
      <c r="D31" s="1" t="s">
        <v>401</v>
      </c>
      <c r="E31" s="1" t="s">
        <v>150</v>
      </c>
      <c r="F31" s="1" t="s">
        <v>151</v>
      </c>
      <c r="G31" s="1" t="s">
        <v>402</v>
      </c>
      <c r="H31" s="1" t="s">
        <v>96</v>
      </c>
      <c r="I31" s="16" t="s">
        <v>73</v>
      </c>
      <c r="J31" s="6" t="s">
        <v>150</v>
      </c>
      <c r="K31" s="1" t="s">
        <v>104</v>
      </c>
    </row>
    <row r="32" spans="2:15">
      <c r="B32" s="16">
        <v>29</v>
      </c>
      <c r="C32" s="1" t="s">
        <v>72</v>
      </c>
      <c r="D32" s="1" t="s">
        <v>403</v>
      </c>
      <c r="E32" s="1" t="s">
        <v>152</v>
      </c>
      <c r="F32" s="1" t="s">
        <v>25</v>
      </c>
      <c r="G32" s="1" t="s">
        <v>404</v>
      </c>
      <c r="H32" s="1" t="s">
        <v>96</v>
      </c>
      <c r="I32" s="16" t="s">
        <v>20</v>
      </c>
      <c r="J32" s="6" t="s">
        <v>152</v>
      </c>
      <c r="K32" s="1" t="s">
        <v>97</v>
      </c>
    </row>
    <row r="33" spans="2:12">
      <c r="B33" s="16">
        <v>40</v>
      </c>
      <c r="C33" s="1" t="s">
        <v>72</v>
      </c>
      <c r="D33" s="1" t="s">
        <v>322</v>
      </c>
      <c r="E33" s="1" t="s">
        <v>153</v>
      </c>
      <c r="F33" s="1" t="s">
        <v>154</v>
      </c>
      <c r="G33" s="1" t="s">
        <v>405</v>
      </c>
      <c r="H33" s="1" t="s">
        <v>96</v>
      </c>
      <c r="I33" s="16" t="s">
        <v>73</v>
      </c>
      <c r="J33" s="6" t="s">
        <v>153</v>
      </c>
      <c r="K33" s="1" t="s">
        <v>104</v>
      </c>
    </row>
    <row r="34" spans="2:12">
      <c r="B34" s="16">
        <v>41</v>
      </c>
      <c r="C34" s="1" t="s">
        <v>72</v>
      </c>
      <c r="D34" s="1" t="s">
        <v>318</v>
      </c>
      <c r="E34" s="1" t="s">
        <v>155</v>
      </c>
      <c r="F34" s="1" t="s">
        <v>156</v>
      </c>
      <c r="G34" s="1" t="s">
        <v>406</v>
      </c>
      <c r="H34" s="1" t="s">
        <v>96</v>
      </c>
      <c r="I34" s="16" t="s">
        <v>20</v>
      </c>
      <c r="J34" s="6" t="s">
        <v>155</v>
      </c>
      <c r="K34" s="1" t="s">
        <v>97</v>
      </c>
    </row>
    <row r="35" spans="2:12">
      <c r="B35" s="16">
        <v>42</v>
      </c>
      <c r="C35" s="1" t="s">
        <v>79</v>
      </c>
      <c r="D35" s="1" t="s">
        <v>381</v>
      </c>
      <c r="E35" s="1" t="s">
        <v>157</v>
      </c>
      <c r="F35" s="1" t="s">
        <v>158</v>
      </c>
      <c r="G35" s="1" t="s">
        <v>407</v>
      </c>
      <c r="H35" s="1" t="s">
        <v>102</v>
      </c>
      <c r="I35" s="16" t="s">
        <v>73</v>
      </c>
      <c r="J35" s="6" t="s">
        <v>157</v>
      </c>
      <c r="K35" s="1" t="s">
        <v>104</v>
      </c>
    </row>
    <row r="36" spans="2:12">
      <c r="B36" s="16">
        <v>44</v>
      </c>
      <c r="C36" s="1" t="s">
        <v>72</v>
      </c>
      <c r="D36" s="1" t="s">
        <v>408</v>
      </c>
      <c r="E36" s="1" t="s">
        <v>159</v>
      </c>
      <c r="F36" s="1" t="s">
        <v>160</v>
      </c>
      <c r="G36" s="1" t="s">
        <v>409</v>
      </c>
      <c r="H36" s="1" t="s">
        <v>96</v>
      </c>
      <c r="I36" s="16" t="s">
        <v>73</v>
      </c>
      <c r="J36" s="6" t="s">
        <v>159</v>
      </c>
      <c r="K36" s="1" t="s">
        <v>104</v>
      </c>
    </row>
    <row r="37" spans="2:12">
      <c r="B37" s="16">
        <v>41</v>
      </c>
      <c r="C37" s="1" t="s">
        <v>81</v>
      </c>
      <c r="D37" s="1" t="s">
        <v>365</v>
      </c>
      <c r="E37" s="1" t="s">
        <v>161</v>
      </c>
      <c r="F37" s="1" t="s">
        <v>162</v>
      </c>
      <c r="G37" s="1" t="s">
        <v>410</v>
      </c>
      <c r="H37" s="1" t="s">
        <v>96</v>
      </c>
      <c r="I37" s="16" t="s">
        <v>20</v>
      </c>
      <c r="J37" s="6" t="s">
        <v>161</v>
      </c>
      <c r="K37" s="1" t="s">
        <v>97</v>
      </c>
    </row>
    <row r="38" spans="2:12">
      <c r="B38" s="16">
        <v>42</v>
      </c>
      <c r="C38" s="1" t="s">
        <v>81</v>
      </c>
      <c r="D38" s="1" t="s">
        <v>365</v>
      </c>
      <c r="E38" s="1" t="s">
        <v>161</v>
      </c>
      <c r="F38" s="1" t="s">
        <v>163</v>
      </c>
      <c r="G38" s="1" t="s">
        <v>411</v>
      </c>
      <c r="H38" s="1" t="s">
        <v>96</v>
      </c>
      <c r="I38" s="16" t="s">
        <v>73</v>
      </c>
      <c r="J38" s="6" t="s">
        <v>161</v>
      </c>
      <c r="K38" s="1" t="s">
        <v>104</v>
      </c>
      <c r="L38" s="1" t="s">
        <v>412</v>
      </c>
    </row>
    <row r="39" spans="2:12">
      <c r="B39" s="16">
        <v>46</v>
      </c>
      <c r="C39" s="1" t="s">
        <v>72</v>
      </c>
      <c r="D39" s="1" t="s">
        <v>329</v>
      </c>
      <c r="E39" s="1" t="s">
        <v>164</v>
      </c>
      <c r="F39" s="1" t="s">
        <v>165</v>
      </c>
      <c r="G39" s="1" t="s">
        <v>413</v>
      </c>
      <c r="H39" s="1" t="s">
        <v>96</v>
      </c>
      <c r="I39" s="16" t="s">
        <v>73</v>
      </c>
      <c r="J39" s="6" t="s">
        <v>164</v>
      </c>
      <c r="K39" s="1" t="s">
        <v>104</v>
      </c>
    </row>
    <row r="40" spans="2:12">
      <c r="B40" s="16">
        <v>46</v>
      </c>
      <c r="C40" s="1" t="s">
        <v>72</v>
      </c>
      <c r="D40" s="1" t="s">
        <v>328</v>
      </c>
      <c r="E40" s="1" t="s">
        <v>166</v>
      </c>
      <c r="F40" s="1" t="s">
        <v>167</v>
      </c>
      <c r="G40" s="1" t="s">
        <v>414</v>
      </c>
      <c r="H40" s="1" t="s">
        <v>96</v>
      </c>
      <c r="I40" s="16" t="s">
        <v>20</v>
      </c>
      <c r="J40" s="6" t="s">
        <v>166</v>
      </c>
      <c r="K40" s="1" t="s">
        <v>97</v>
      </c>
    </row>
    <row r="41" spans="2:12">
      <c r="B41" s="16">
        <v>48</v>
      </c>
      <c r="C41" s="11" t="s">
        <v>297</v>
      </c>
      <c r="D41" s="1" t="s">
        <v>342</v>
      </c>
      <c r="E41" s="1" t="s">
        <v>168</v>
      </c>
      <c r="F41" s="1" t="s">
        <v>169</v>
      </c>
      <c r="G41" s="1" t="s">
        <v>415</v>
      </c>
      <c r="H41" s="1" t="s">
        <v>96</v>
      </c>
      <c r="I41" s="16" t="s">
        <v>20</v>
      </c>
      <c r="J41" s="6" t="s">
        <v>168</v>
      </c>
      <c r="K41" s="1" t="s">
        <v>97</v>
      </c>
    </row>
    <row r="42" spans="2:12">
      <c r="B42" s="16">
        <v>49</v>
      </c>
      <c r="C42" s="1" t="s">
        <v>72</v>
      </c>
      <c r="D42" s="1" t="s">
        <v>316</v>
      </c>
      <c r="E42" s="1" t="s">
        <v>170</v>
      </c>
      <c r="F42" s="1" t="s">
        <v>171</v>
      </c>
      <c r="G42" s="1" t="s">
        <v>416</v>
      </c>
      <c r="H42" s="1" t="s">
        <v>417</v>
      </c>
      <c r="I42" s="16" t="s">
        <v>73</v>
      </c>
      <c r="J42" s="6" t="s">
        <v>170</v>
      </c>
      <c r="K42" s="1" t="s">
        <v>104</v>
      </c>
    </row>
    <row r="43" spans="2:12">
      <c r="B43" s="16">
        <v>10</v>
      </c>
      <c r="C43" s="1" t="s">
        <v>77</v>
      </c>
      <c r="D43" s="1" t="s">
        <v>356</v>
      </c>
      <c r="E43" s="1" t="s">
        <v>172</v>
      </c>
      <c r="F43" s="1" t="s">
        <v>173</v>
      </c>
      <c r="G43" s="1" t="s">
        <v>418</v>
      </c>
      <c r="H43" s="1" t="s">
        <v>96</v>
      </c>
      <c r="I43" s="16" t="s">
        <v>73</v>
      </c>
      <c r="J43" s="6" t="s">
        <v>172</v>
      </c>
      <c r="K43" s="1" t="s">
        <v>104</v>
      </c>
    </row>
    <row r="44" spans="2:12">
      <c r="B44" s="16">
        <v>11</v>
      </c>
      <c r="C44" s="11" t="s">
        <v>298</v>
      </c>
      <c r="D44" s="1" t="s">
        <v>349</v>
      </c>
      <c r="E44" s="1" t="s">
        <v>174</v>
      </c>
      <c r="F44" s="1" t="s">
        <v>175</v>
      </c>
      <c r="G44" s="1" t="s">
        <v>419</v>
      </c>
      <c r="H44" s="1" t="s">
        <v>176</v>
      </c>
      <c r="I44" s="16" t="s">
        <v>20</v>
      </c>
      <c r="J44" s="6" t="s">
        <v>174</v>
      </c>
      <c r="K44" s="1" t="s">
        <v>130</v>
      </c>
    </row>
    <row r="45" spans="2:12">
      <c r="B45" s="16">
        <v>12</v>
      </c>
      <c r="C45" s="1" t="s">
        <v>77</v>
      </c>
      <c r="D45" s="1" t="s">
        <v>353</v>
      </c>
      <c r="E45" s="1" t="s">
        <v>177</v>
      </c>
      <c r="F45" s="1" t="s">
        <v>178</v>
      </c>
      <c r="G45" s="1" t="s">
        <v>420</v>
      </c>
      <c r="H45" s="1" t="s">
        <v>96</v>
      </c>
      <c r="I45" s="16" t="s">
        <v>73</v>
      </c>
      <c r="J45" s="6" t="s">
        <v>177</v>
      </c>
      <c r="K45" s="1" t="s">
        <v>104</v>
      </c>
    </row>
    <row r="46" spans="2:12">
      <c r="B46" s="16">
        <v>14</v>
      </c>
      <c r="C46" s="1" t="s">
        <v>77</v>
      </c>
      <c r="D46" s="1" t="s">
        <v>353</v>
      </c>
      <c r="E46" s="1" t="s">
        <v>177</v>
      </c>
      <c r="F46" s="1" t="s">
        <v>179</v>
      </c>
      <c r="G46" s="1" t="s">
        <v>421</v>
      </c>
      <c r="H46" s="1" t="s">
        <v>96</v>
      </c>
      <c r="I46" s="16" t="s">
        <v>73</v>
      </c>
      <c r="J46" s="6" t="s">
        <v>180</v>
      </c>
      <c r="K46" s="1" t="s">
        <v>104</v>
      </c>
    </row>
    <row r="47" spans="2:12">
      <c r="B47" s="16">
        <v>11</v>
      </c>
      <c r="C47" s="1" t="s">
        <v>77</v>
      </c>
      <c r="D47" s="1" t="s">
        <v>422</v>
      </c>
      <c r="E47" s="1" t="s">
        <v>182</v>
      </c>
      <c r="F47" s="1" t="s">
        <v>182</v>
      </c>
      <c r="G47" s="1" t="s">
        <v>423</v>
      </c>
      <c r="H47" s="1" t="s">
        <v>102</v>
      </c>
      <c r="I47" s="16" t="s">
        <v>73</v>
      </c>
      <c r="J47" s="6" t="s">
        <v>181</v>
      </c>
      <c r="K47" s="1" t="s">
        <v>104</v>
      </c>
    </row>
    <row r="48" spans="2:12">
      <c r="B48" s="16">
        <v>12</v>
      </c>
      <c r="C48" s="1" t="s">
        <v>72</v>
      </c>
      <c r="D48" s="1" t="s">
        <v>319</v>
      </c>
      <c r="E48" s="1" t="s">
        <v>183</v>
      </c>
      <c r="F48" s="1" t="s">
        <v>184</v>
      </c>
      <c r="G48" s="1" t="s">
        <v>424</v>
      </c>
      <c r="H48" s="1" t="s">
        <v>96</v>
      </c>
      <c r="I48" s="16" t="s">
        <v>20</v>
      </c>
      <c r="J48" s="6" t="s">
        <v>183</v>
      </c>
      <c r="K48" s="1" t="s">
        <v>97</v>
      </c>
    </row>
    <row r="49" spans="2:11">
      <c r="B49" s="16">
        <v>16</v>
      </c>
      <c r="C49" s="1" t="s">
        <v>82</v>
      </c>
      <c r="D49" s="1" t="s">
        <v>367</v>
      </c>
      <c r="E49" s="1" t="s">
        <v>82</v>
      </c>
      <c r="F49" s="1" t="s">
        <v>185</v>
      </c>
      <c r="G49" s="1" t="s">
        <v>425</v>
      </c>
      <c r="H49" s="1" t="s">
        <v>96</v>
      </c>
      <c r="I49" s="16" t="s">
        <v>73</v>
      </c>
      <c r="J49" s="6" t="s">
        <v>82</v>
      </c>
      <c r="K49" s="1" t="s">
        <v>104</v>
      </c>
    </row>
    <row r="50" spans="2:11">
      <c r="B50" s="16">
        <v>16</v>
      </c>
      <c r="C50" s="1" t="s">
        <v>79</v>
      </c>
      <c r="D50" s="1" t="s">
        <v>358</v>
      </c>
      <c r="E50" s="1" t="s">
        <v>186</v>
      </c>
      <c r="F50" s="1" t="s">
        <v>187</v>
      </c>
      <c r="G50" s="1" t="s">
        <v>426</v>
      </c>
      <c r="H50" s="1" t="s">
        <v>96</v>
      </c>
      <c r="I50" s="16" t="s">
        <v>73</v>
      </c>
      <c r="J50" s="6" t="s">
        <v>188</v>
      </c>
      <c r="K50" s="1" t="s">
        <v>104</v>
      </c>
    </row>
    <row r="51" spans="2:11">
      <c r="B51" s="16">
        <v>18</v>
      </c>
      <c r="C51" s="1" t="s">
        <v>79</v>
      </c>
      <c r="D51" s="1" t="s">
        <v>358</v>
      </c>
      <c r="E51" s="1" t="s">
        <v>186</v>
      </c>
      <c r="F51" s="1" t="s">
        <v>189</v>
      </c>
      <c r="G51" s="1" t="s">
        <v>427</v>
      </c>
      <c r="H51" s="1" t="s">
        <v>96</v>
      </c>
      <c r="I51" s="16" t="s">
        <v>73</v>
      </c>
      <c r="J51" s="6" t="s">
        <v>186</v>
      </c>
      <c r="K51" s="1" t="s">
        <v>104</v>
      </c>
    </row>
    <row r="52" spans="2:11">
      <c r="B52" s="16">
        <v>19</v>
      </c>
      <c r="C52" s="11" t="s">
        <v>296</v>
      </c>
      <c r="D52" s="1" t="s">
        <v>338</v>
      </c>
      <c r="E52" s="1" t="s">
        <v>190</v>
      </c>
      <c r="F52" s="1" t="s">
        <v>191</v>
      </c>
      <c r="G52" s="1" t="s">
        <v>428</v>
      </c>
      <c r="H52" s="1" t="s">
        <v>429</v>
      </c>
      <c r="I52" s="16" t="s">
        <v>73</v>
      </c>
      <c r="J52" s="6" t="s">
        <v>192</v>
      </c>
      <c r="K52" s="1" t="s">
        <v>104</v>
      </c>
    </row>
    <row r="53" spans="2:11">
      <c r="B53" s="16">
        <v>20</v>
      </c>
      <c r="C53" s="11" t="s">
        <v>296</v>
      </c>
      <c r="D53" s="1" t="s">
        <v>338</v>
      </c>
      <c r="E53" s="1" t="s">
        <v>190</v>
      </c>
      <c r="F53" s="1" t="s">
        <v>193</v>
      </c>
      <c r="G53" s="1" t="s">
        <v>430</v>
      </c>
      <c r="H53" s="1" t="s">
        <v>429</v>
      </c>
      <c r="I53" s="16" t="s">
        <v>73</v>
      </c>
      <c r="J53" s="6" t="s">
        <v>194</v>
      </c>
      <c r="K53" s="1" t="s">
        <v>104</v>
      </c>
    </row>
    <row r="54" spans="2:11">
      <c r="B54" s="16">
        <v>21</v>
      </c>
      <c r="C54" s="1" t="s">
        <v>77</v>
      </c>
      <c r="D54" s="1" t="s">
        <v>353</v>
      </c>
      <c r="E54" s="1" t="s">
        <v>195</v>
      </c>
      <c r="F54" s="1" t="s">
        <v>196</v>
      </c>
      <c r="G54" s="1" t="s">
        <v>431</v>
      </c>
      <c r="H54" s="1" t="s">
        <v>102</v>
      </c>
      <c r="I54" s="16" t="s">
        <v>73</v>
      </c>
      <c r="J54" s="6" t="s">
        <v>195</v>
      </c>
      <c r="K54" s="1" t="s">
        <v>104</v>
      </c>
    </row>
    <row r="55" spans="2:11">
      <c r="B55" s="16">
        <v>22</v>
      </c>
      <c r="C55" s="1" t="s">
        <v>77</v>
      </c>
      <c r="D55" s="1" t="s">
        <v>353</v>
      </c>
      <c r="E55" s="1" t="s">
        <v>197</v>
      </c>
      <c r="F55" s="1" t="s">
        <v>198</v>
      </c>
      <c r="G55" s="1" t="s">
        <v>432</v>
      </c>
      <c r="H55" s="1" t="s">
        <v>96</v>
      </c>
      <c r="I55" s="16" t="s">
        <v>73</v>
      </c>
      <c r="J55" s="6" t="s">
        <v>199</v>
      </c>
      <c r="K55" s="1" t="s">
        <v>104</v>
      </c>
    </row>
    <row r="56" spans="2:11">
      <c r="B56" s="16">
        <v>24</v>
      </c>
      <c r="C56" s="1" t="s">
        <v>77</v>
      </c>
      <c r="D56" s="1" t="s">
        <v>353</v>
      </c>
      <c r="E56" s="1" t="s">
        <v>197</v>
      </c>
      <c r="F56" s="1" t="s">
        <v>200</v>
      </c>
      <c r="G56" s="1" t="s">
        <v>433</v>
      </c>
      <c r="H56" s="1" t="s">
        <v>96</v>
      </c>
      <c r="I56" s="16" t="s">
        <v>73</v>
      </c>
      <c r="J56" s="6" t="s">
        <v>201</v>
      </c>
      <c r="K56" s="1" t="s">
        <v>104</v>
      </c>
    </row>
    <row r="57" spans="2:11">
      <c r="B57" s="16">
        <v>21</v>
      </c>
      <c r="C57" s="1" t="s">
        <v>72</v>
      </c>
      <c r="D57" s="1" t="s">
        <v>330</v>
      </c>
      <c r="E57" s="1" t="s">
        <v>202</v>
      </c>
      <c r="F57" s="1" t="s">
        <v>203</v>
      </c>
      <c r="G57" s="1" t="s">
        <v>434</v>
      </c>
      <c r="H57" s="1" t="s">
        <v>96</v>
      </c>
      <c r="I57" s="16" t="s">
        <v>73</v>
      </c>
      <c r="J57" s="6" t="s">
        <v>202</v>
      </c>
      <c r="K57" s="1" t="s">
        <v>104</v>
      </c>
    </row>
    <row r="58" spans="2:11">
      <c r="B58" s="16">
        <v>22</v>
      </c>
      <c r="C58" s="1" t="s">
        <v>72</v>
      </c>
      <c r="D58" s="1" t="s">
        <v>330</v>
      </c>
      <c r="E58" s="1" t="s">
        <v>204</v>
      </c>
      <c r="F58" s="1" t="s">
        <v>205</v>
      </c>
      <c r="G58" s="1" t="s">
        <v>435</v>
      </c>
      <c r="H58" s="1" t="s">
        <v>96</v>
      </c>
      <c r="I58" s="16" t="s">
        <v>73</v>
      </c>
      <c r="J58" s="6" t="s">
        <v>204</v>
      </c>
      <c r="K58" s="1" t="s">
        <v>104</v>
      </c>
    </row>
    <row r="59" spans="2:11">
      <c r="B59" s="16">
        <v>26</v>
      </c>
      <c r="C59" s="1" t="s">
        <v>72</v>
      </c>
      <c r="D59" s="1" t="s">
        <v>329</v>
      </c>
      <c r="E59" s="1" t="s">
        <v>206</v>
      </c>
      <c r="F59" s="1" t="s">
        <v>207</v>
      </c>
      <c r="G59" s="1" t="s">
        <v>436</v>
      </c>
      <c r="H59" s="1" t="s">
        <v>102</v>
      </c>
      <c r="I59" s="16" t="s">
        <v>73</v>
      </c>
      <c r="J59" s="6" t="s">
        <v>206</v>
      </c>
      <c r="K59" s="1" t="s">
        <v>104</v>
      </c>
    </row>
    <row r="60" spans="2:11">
      <c r="B60" s="16">
        <v>26</v>
      </c>
      <c r="C60" s="11" t="s">
        <v>297</v>
      </c>
      <c r="D60" s="1" t="s">
        <v>437</v>
      </c>
      <c r="E60" s="1" t="s">
        <v>208</v>
      </c>
      <c r="F60" s="1" t="s">
        <v>209</v>
      </c>
      <c r="G60" s="1" t="s">
        <v>438</v>
      </c>
      <c r="H60" s="1" t="s">
        <v>102</v>
      </c>
      <c r="I60" s="16" t="s">
        <v>73</v>
      </c>
      <c r="J60" s="6" t="s">
        <v>208</v>
      </c>
      <c r="K60" s="1" t="s">
        <v>104</v>
      </c>
    </row>
    <row r="61" spans="2:11">
      <c r="B61" s="16">
        <v>28</v>
      </c>
      <c r="C61" s="1" t="s">
        <v>79</v>
      </c>
      <c r="D61" s="1" t="s">
        <v>358</v>
      </c>
      <c r="E61" s="1" t="s">
        <v>210</v>
      </c>
      <c r="F61" s="1" t="s">
        <v>211</v>
      </c>
      <c r="G61" s="1" t="s">
        <v>439</v>
      </c>
      <c r="H61" s="1" t="s">
        <v>102</v>
      </c>
      <c r="I61" s="16" t="s">
        <v>73</v>
      </c>
      <c r="J61" s="6" t="s">
        <v>210</v>
      </c>
      <c r="K61" s="1" t="s">
        <v>104</v>
      </c>
    </row>
    <row r="62" spans="2:11">
      <c r="B62" s="16">
        <v>29</v>
      </c>
      <c r="C62" s="11" t="s">
        <v>296</v>
      </c>
      <c r="D62" s="1" t="s">
        <v>334</v>
      </c>
      <c r="E62" s="1" t="s">
        <v>212</v>
      </c>
      <c r="F62" s="1" t="s">
        <v>29</v>
      </c>
      <c r="G62" s="1" t="s">
        <v>440</v>
      </c>
      <c r="H62" s="1" t="s">
        <v>96</v>
      </c>
      <c r="I62" s="16" t="s">
        <v>20</v>
      </c>
      <c r="J62" s="6" t="s">
        <v>212</v>
      </c>
      <c r="K62" s="1" t="s">
        <v>97</v>
      </c>
    </row>
    <row r="63" spans="2:11">
      <c r="B63" s="16">
        <v>60</v>
      </c>
      <c r="C63" s="11" t="s">
        <v>297</v>
      </c>
      <c r="D63" s="1" t="s">
        <v>346</v>
      </c>
      <c r="E63" s="1" t="s">
        <v>213</v>
      </c>
      <c r="F63" s="1" t="s">
        <v>214</v>
      </c>
      <c r="G63" s="1" t="s">
        <v>441</v>
      </c>
      <c r="H63" s="1" t="s">
        <v>96</v>
      </c>
      <c r="I63" s="16" t="s">
        <v>20</v>
      </c>
      <c r="J63" s="6" t="s">
        <v>213</v>
      </c>
      <c r="K63" s="1" t="s">
        <v>97</v>
      </c>
    </row>
    <row r="64" spans="2:11">
      <c r="B64" s="16">
        <v>61</v>
      </c>
      <c r="C64" s="1" t="s">
        <v>77</v>
      </c>
      <c r="D64" s="1" t="s">
        <v>352</v>
      </c>
      <c r="E64" s="1" t="s">
        <v>215</v>
      </c>
      <c r="F64" s="1" t="s">
        <v>216</v>
      </c>
      <c r="G64" s="1" t="s">
        <v>442</v>
      </c>
      <c r="H64" s="1" t="s">
        <v>96</v>
      </c>
      <c r="I64" s="16" t="s">
        <v>73</v>
      </c>
      <c r="J64" s="6" t="s">
        <v>217</v>
      </c>
      <c r="K64" s="1" t="s">
        <v>104</v>
      </c>
    </row>
    <row r="65" spans="2:11">
      <c r="B65" s="16">
        <v>62</v>
      </c>
      <c r="C65" s="1" t="s">
        <v>72</v>
      </c>
      <c r="D65" s="1" t="s">
        <v>385</v>
      </c>
      <c r="E65" s="1" t="s">
        <v>218</v>
      </c>
      <c r="F65" s="1" t="s">
        <v>219</v>
      </c>
      <c r="G65" s="1" t="s">
        <v>443</v>
      </c>
      <c r="H65" s="1" t="s">
        <v>96</v>
      </c>
      <c r="I65" s="16" t="s">
        <v>20</v>
      </c>
      <c r="J65" s="6" t="s">
        <v>218</v>
      </c>
      <c r="K65" s="1" t="s">
        <v>97</v>
      </c>
    </row>
    <row r="66" spans="2:11">
      <c r="B66" s="16">
        <v>64</v>
      </c>
      <c r="C66" s="1" t="s">
        <v>72</v>
      </c>
      <c r="D66" s="1" t="s">
        <v>322</v>
      </c>
      <c r="E66" s="1" t="s">
        <v>220</v>
      </c>
      <c r="F66" s="1" t="s">
        <v>221</v>
      </c>
      <c r="G66" s="1" t="s">
        <v>444</v>
      </c>
      <c r="H66" s="1" t="s">
        <v>96</v>
      </c>
      <c r="I66" s="16" t="s">
        <v>73</v>
      </c>
      <c r="J66" s="6" t="s">
        <v>220</v>
      </c>
      <c r="K66" s="1" t="s">
        <v>104</v>
      </c>
    </row>
    <row r="67" spans="2:11">
      <c r="B67" s="16">
        <v>61</v>
      </c>
      <c r="C67" s="11" t="s">
        <v>297</v>
      </c>
      <c r="D67" s="1" t="s">
        <v>343</v>
      </c>
      <c r="E67" s="1" t="s">
        <v>222</v>
      </c>
      <c r="F67" s="1" t="s">
        <v>223</v>
      </c>
      <c r="G67" s="1" t="s">
        <v>445</v>
      </c>
      <c r="H67" s="1" t="s">
        <v>96</v>
      </c>
      <c r="I67" s="16" t="s">
        <v>20</v>
      </c>
      <c r="J67" s="6" t="s">
        <v>222</v>
      </c>
      <c r="K67" s="1" t="s">
        <v>97</v>
      </c>
    </row>
    <row r="68" spans="2:11">
      <c r="B68" s="16">
        <v>62</v>
      </c>
      <c r="C68" s="11" t="s">
        <v>296</v>
      </c>
      <c r="D68" s="1" t="s">
        <v>339</v>
      </c>
      <c r="E68" s="1" t="s">
        <v>224</v>
      </c>
      <c r="F68" s="1" t="s">
        <v>225</v>
      </c>
      <c r="G68" s="1" t="s">
        <v>446</v>
      </c>
      <c r="H68" s="1" t="s">
        <v>96</v>
      </c>
      <c r="I68" s="16" t="s">
        <v>20</v>
      </c>
      <c r="J68" s="6" t="s">
        <v>224</v>
      </c>
      <c r="K68" s="1" t="s">
        <v>97</v>
      </c>
    </row>
    <row r="69" spans="2:11">
      <c r="B69" s="16">
        <v>66</v>
      </c>
      <c r="C69" s="11" t="s">
        <v>297</v>
      </c>
      <c r="D69" s="1" t="s">
        <v>341</v>
      </c>
      <c r="E69" s="1" t="s">
        <v>226</v>
      </c>
      <c r="F69" s="1" t="s">
        <v>227</v>
      </c>
      <c r="G69" s="1" t="s">
        <v>447</v>
      </c>
      <c r="H69" s="1" t="s">
        <v>96</v>
      </c>
      <c r="I69" s="16" t="s">
        <v>20</v>
      </c>
      <c r="J69" s="6" t="s">
        <v>226</v>
      </c>
      <c r="K69" s="1" t="s">
        <v>97</v>
      </c>
    </row>
    <row r="70" spans="2:11">
      <c r="B70" s="16">
        <v>66</v>
      </c>
      <c r="C70" s="1" t="s">
        <v>77</v>
      </c>
      <c r="D70" s="1" t="s">
        <v>357</v>
      </c>
      <c r="E70" s="1" t="s">
        <v>228</v>
      </c>
      <c r="F70" s="1" t="s">
        <v>229</v>
      </c>
      <c r="G70" s="1" t="s">
        <v>448</v>
      </c>
      <c r="H70" s="1" t="s">
        <v>96</v>
      </c>
      <c r="I70" s="16" t="s">
        <v>73</v>
      </c>
      <c r="J70" s="6" t="s">
        <v>228</v>
      </c>
      <c r="K70" s="1" t="s">
        <v>104</v>
      </c>
    </row>
    <row r="71" spans="2:11">
      <c r="B71" s="16">
        <v>68</v>
      </c>
      <c r="C71" s="1" t="s">
        <v>72</v>
      </c>
      <c r="D71" s="1" t="s">
        <v>325</v>
      </c>
      <c r="E71" s="1" t="s">
        <v>230</v>
      </c>
      <c r="F71" s="1" t="s">
        <v>231</v>
      </c>
      <c r="G71" s="1" t="s">
        <v>449</v>
      </c>
      <c r="H71" s="1" t="s">
        <v>96</v>
      </c>
      <c r="I71" s="16" t="s">
        <v>20</v>
      </c>
      <c r="J71" s="6" t="s">
        <v>230</v>
      </c>
      <c r="K71" s="1" t="s">
        <v>97</v>
      </c>
    </row>
    <row r="72" spans="2:11">
      <c r="B72" s="16">
        <v>69</v>
      </c>
      <c r="C72" s="1" t="s">
        <v>77</v>
      </c>
      <c r="D72" s="1" t="s">
        <v>356</v>
      </c>
      <c r="E72" s="1" t="s">
        <v>232</v>
      </c>
      <c r="F72" s="1" t="s">
        <v>233</v>
      </c>
      <c r="G72" s="1" t="s">
        <v>450</v>
      </c>
      <c r="H72" s="1" t="s">
        <v>102</v>
      </c>
      <c r="I72" s="16" t="s">
        <v>73</v>
      </c>
      <c r="J72" s="6" t="s">
        <v>232</v>
      </c>
      <c r="K72" s="1" t="s">
        <v>104</v>
      </c>
    </row>
    <row r="73" spans="2:11">
      <c r="B73" s="16">
        <v>60</v>
      </c>
      <c r="C73" s="1" t="s">
        <v>72</v>
      </c>
      <c r="D73" s="1" t="s">
        <v>403</v>
      </c>
      <c r="E73" s="1" t="s">
        <v>234</v>
      </c>
      <c r="F73" s="1" t="s">
        <v>235</v>
      </c>
      <c r="G73" s="1" t="s">
        <v>451</v>
      </c>
      <c r="H73" s="1" t="s">
        <v>96</v>
      </c>
      <c r="I73" s="16" t="s">
        <v>73</v>
      </c>
      <c r="J73" s="6" t="s">
        <v>234</v>
      </c>
      <c r="K73" s="1" t="s">
        <v>104</v>
      </c>
    </row>
    <row r="74" spans="2:11">
      <c r="B74" s="16">
        <v>61</v>
      </c>
      <c r="C74" s="11" t="s">
        <v>296</v>
      </c>
      <c r="D74" s="1" t="s">
        <v>338</v>
      </c>
      <c r="E74" s="1" t="s">
        <v>236</v>
      </c>
      <c r="F74" s="1" t="s">
        <v>237</v>
      </c>
      <c r="G74" s="1" t="s">
        <v>452</v>
      </c>
      <c r="H74" s="1" t="s">
        <v>429</v>
      </c>
      <c r="I74" s="16" t="s">
        <v>73</v>
      </c>
      <c r="J74" s="6" t="s">
        <v>236</v>
      </c>
      <c r="K74" s="1" t="s">
        <v>104</v>
      </c>
    </row>
    <row r="75" spans="2:11">
      <c r="B75" s="16">
        <v>62</v>
      </c>
      <c r="C75" s="1" t="s">
        <v>72</v>
      </c>
      <c r="D75" s="1" t="s">
        <v>323</v>
      </c>
      <c r="E75" s="1" t="s">
        <v>238</v>
      </c>
      <c r="F75" s="1" t="s">
        <v>239</v>
      </c>
      <c r="G75" s="1" t="s">
        <v>453</v>
      </c>
      <c r="H75" s="1" t="s">
        <v>96</v>
      </c>
      <c r="I75" s="16" t="s">
        <v>20</v>
      </c>
      <c r="J75" s="6" t="s">
        <v>238</v>
      </c>
      <c r="K75" s="1" t="s">
        <v>97</v>
      </c>
    </row>
    <row r="76" spans="2:11">
      <c r="B76" s="16">
        <v>64</v>
      </c>
      <c r="C76" s="1" t="s">
        <v>72</v>
      </c>
      <c r="D76" s="1" t="s">
        <v>329</v>
      </c>
      <c r="E76" s="1" t="s">
        <v>240</v>
      </c>
      <c r="F76" s="1" t="s">
        <v>241</v>
      </c>
      <c r="G76" s="1" t="s">
        <v>454</v>
      </c>
      <c r="H76" s="1" t="s">
        <v>102</v>
      </c>
      <c r="I76" s="16" t="s">
        <v>73</v>
      </c>
      <c r="J76" s="6" t="s">
        <v>240</v>
      </c>
      <c r="K76" s="1" t="s">
        <v>104</v>
      </c>
    </row>
    <row r="77" spans="2:11">
      <c r="B77" s="16">
        <v>61</v>
      </c>
      <c r="C77" s="1" t="s">
        <v>79</v>
      </c>
      <c r="D77" s="1" t="s">
        <v>381</v>
      </c>
      <c r="E77" s="1" t="s">
        <v>242</v>
      </c>
      <c r="F77" s="1" t="s">
        <v>243</v>
      </c>
      <c r="G77" s="1" t="s">
        <v>455</v>
      </c>
      <c r="H77" s="1" t="s">
        <v>96</v>
      </c>
      <c r="I77" s="16" t="s">
        <v>73</v>
      </c>
      <c r="J77" s="6" t="s">
        <v>242</v>
      </c>
      <c r="K77" s="1" t="s">
        <v>104</v>
      </c>
    </row>
    <row r="78" spans="2:11">
      <c r="B78" s="16">
        <v>62</v>
      </c>
      <c r="C78" s="1" t="s">
        <v>77</v>
      </c>
      <c r="D78" s="1" t="s">
        <v>354</v>
      </c>
      <c r="E78" s="1" t="s">
        <v>244</v>
      </c>
      <c r="F78" s="1" t="s">
        <v>245</v>
      </c>
      <c r="G78" s="1" t="s">
        <v>456</v>
      </c>
      <c r="H78" s="1" t="s">
        <v>96</v>
      </c>
      <c r="I78" s="16" t="s">
        <v>20</v>
      </c>
      <c r="J78" s="6" t="s">
        <v>244</v>
      </c>
      <c r="K78" s="1" t="s">
        <v>97</v>
      </c>
    </row>
    <row r="79" spans="2:11">
      <c r="B79" s="16">
        <v>66</v>
      </c>
      <c r="C79" s="1" t="s">
        <v>77</v>
      </c>
      <c r="D79" s="1" t="s">
        <v>354</v>
      </c>
      <c r="E79" s="1" t="s">
        <v>244</v>
      </c>
      <c r="F79" s="1" t="s">
        <v>246</v>
      </c>
      <c r="G79" s="1" t="s">
        <v>457</v>
      </c>
      <c r="H79" s="1" t="s">
        <v>96</v>
      </c>
      <c r="I79" s="16" t="s">
        <v>20</v>
      </c>
      <c r="J79" s="6" t="s">
        <v>247</v>
      </c>
      <c r="K79" s="1" t="s">
        <v>97</v>
      </c>
    </row>
    <row r="80" spans="2:11">
      <c r="B80" s="16">
        <v>66</v>
      </c>
      <c r="C80" s="1" t="s">
        <v>72</v>
      </c>
      <c r="D80" s="1" t="s">
        <v>322</v>
      </c>
      <c r="E80" s="1" t="s">
        <v>248</v>
      </c>
      <c r="F80" s="1" t="s">
        <v>249</v>
      </c>
      <c r="G80" s="1" t="s">
        <v>458</v>
      </c>
      <c r="H80" s="1" t="s">
        <v>96</v>
      </c>
      <c r="I80" s="16" t="s">
        <v>20</v>
      </c>
      <c r="J80" s="6" t="s">
        <v>248</v>
      </c>
      <c r="K80" s="1" t="s">
        <v>97</v>
      </c>
    </row>
    <row r="81" spans="2:11">
      <c r="B81" s="16">
        <v>68</v>
      </c>
      <c r="C81" s="1" t="s">
        <v>83</v>
      </c>
      <c r="D81" s="1" t="s">
        <v>459</v>
      </c>
      <c r="E81" s="1" t="s">
        <v>83</v>
      </c>
      <c r="F81" s="1" t="s">
        <v>27</v>
      </c>
      <c r="G81" s="1" t="s">
        <v>460</v>
      </c>
      <c r="H81" s="1" t="s">
        <v>461</v>
      </c>
      <c r="I81" s="16" t="s">
        <v>20</v>
      </c>
      <c r="J81" s="6" t="s">
        <v>83</v>
      </c>
      <c r="K81" s="1" t="s">
        <v>130</v>
      </c>
    </row>
    <row r="82" spans="2:11">
      <c r="B82" s="16">
        <v>69</v>
      </c>
      <c r="C82" s="11" t="s">
        <v>297</v>
      </c>
      <c r="D82" s="1" t="s">
        <v>348</v>
      </c>
      <c r="E82" s="1" t="s">
        <v>250</v>
      </c>
      <c r="F82" s="1" t="s">
        <v>251</v>
      </c>
      <c r="G82" s="1" t="s">
        <v>462</v>
      </c>
      <c r="H82" s="1" t="s">
        <v>96</v>
      </c>
      <c r="I82" s="16" t="s">
        <v>20</v>
      </c>
      <c r="J82" s="6" t="s">
        <v>250</v>
      </c>
      <c r="K82" s="1" t="s">
        <v>97</v>
      </c>
    </row>
    <row r="83" spans="2:11">
      <c r="B83" s="16">
        <v>80</v>
      </c>
      <c r="C83" s="1" t="s">
        <v>72</v>
      </c>
      <c r="D83" s="1" t="s">
        <v>329</v>
      </c>
      <c r="E83" s="1" t="s">
        <v>252</v>
      </c>
      <c r="F83" s="1" t="s">
        <v>253</v>
      </c>
      <c r="G83" s="1" t="s">
        <v>463</v>
      </c>
      <c r="H83" s="1" t="s">
        <v>96</v>
      </c>
      <c r="I83" s="16" t="s">
        <v>73</v>
      </c>
      <c r="J83" s="6" t="s">
        <v>252</v>
      </c>
      <c r="K83" s="1" t="s">
        <v>104</v>
      </c>
    </row>
    <row r="84" spans="2:11">
      <c r="B84" s="16">
        <v>81</v>
      </c>
      <c r="C84" s="1" t="s">
        <v>72</v>
      </c>
      <c r="D84" s="1" t="s">
        <v>324</v>
      </c>
      <c r="E84" s="1" t="s">
        <v>254</v>
      </c>
      <c r="F84" s="1" t="s">
        <v>255</v>
      </c>
      <c r="G84" s="1" t="s">
        <v>464</v>
      </c>
      <c r="H84" s="1" t="s">
        <v>96</v>
      </c>
      <c r="I84" s="16" t="s">
        <v>73</v>
      </c>
      <c r="J84" s="6" t="s">
        <v>254</v>
      </c>
      <c r="K84" s="1" t="s">
        <v>104</v>
      </c>
    </row>
    <row r="85" spans="2:11">
      <c r="B85" s="16">
        <v>82</v>
      </c>
      <c r="C85" s="11" t="s">
        <v>297</v>
      </c>
      <c r="D85" s="1" t="s">
        <v>437</v>
      </c>
      <c r="E85" s="1" t="s">
        <v>256</v>
      </c>
      <c r="F85" s="1" t="s">
        <v>257</v>
      </c>
      <c r="G85" s="1" t="s">
        <v>465</v>
      </c>
      <c r="H85" s="1" t="s">
        <v>96</v>
      </c>
      <c r="I85" s="16" t="s">
        <v>20</v>
      </c>
      <c r="J85" s="6" t="s">
        <v>256</v>
      </c>
      <c r="K85" s="1" t="s">
        <v>97</v>
      </c>
    </row>
    <row r="86" spans="2:11">
      <c r="B86" s="16">
        <v>84</v>
      </c>
      <c r="C86" s="1" t="s">
        <v>77</v>
      </c>
      <c r="D86" s="1" t="s">
        <v>351</v>
      </c>
      <c r="E86" s="1" t="s">
        <v>258</v>
      </c>
      <c r="F86" s="1" t="s">
        <v>30</v>
      </c>
      <c r="G86" s="1" t="s">
        <v>466</v>
      </c>
      <c r="H86" s="1" t="s">
        <v>96</v>
      </c>
      <c r="I86" s="16" t="s">
        <v>20</v>
      </c>
      <c r="J86" s="6" t="s">
        <v>258</v>
      </c>
      <c r="K86" s="1" t="s">
        <v>97</v>
      </c>
    </row>
    <row r="87" spans="2:11">
      <c r="B87" s="16">
        <v>81</v>
      </c>
      <c r="C87" s="1" t="s">
        <v>81</v>
      </c>
      <c r="D87" s="1" t="s">
        <v>366</v>
      </c>
      <c r="E87" s="1" t="s">
        <v>259</v>
      </c>
      <c r="F87" s="1" t="s">
        <v>260</v>
      </c>
      <c r="G87" s="1" t="s">
        <v>467</v>
      </c>
      <c r="H87" s="1" t="s">
        <v>96</v>
      </c>
      <c r="I87" s="16" t="s">
        <v>20</v>
      </c>
      <c r="J87" s="6" t="s">
        <v>259</v>
      </c>
      <c r="K87" s="1" t="s">
        <v>97</v>
      </c>
    </row>
    <row r="88" spans="2:11">
      <c r="B88" s="16">
        <v>82</v>
      </c>
      <c r="C88" s="1" t="s">
        <v>72</v>
      </c>
      <c r="D88" s="1" t="s">
        <v>331</v>
      </c>
      <c r="E88" s="1" t="s">
        <v>261</v>
      </c>
      <c r="F88" s="1" t="s">
        <v>262</v>
      </c>
      <c r="G88" s="1" t="s">
        <v>468</v>
      </c>
      <c r="H88" s="1" t="s">
        <v>96</v>
      </c>
      <c r="I88" s="16" t="s">
        <v>73</v>
      </c>
      <c r="J88" s="6" t="s">
        <v>261</v>
      </c>
      <c r="K88" s="1" t="s">
        <v>104</v>
      </c>
    </row>
    <row r="89" spans="2:11">
      <c r="B89" s="16">
        <v>86</v>
      </c>
      <c r="C89" s="1" t="s">
        <v>72</v>
      </c>
      <c r="D89" s="1" t="s">
        <v>316</v>
      </c>
      <c r="E89" s="1" t="s">
        <v>263</v>
      </c>
      <c r="F89" s="1" t="s">
        <v>26</v>
      </c>
      <c r="G89" s="1" t="s">
        <v>469</v>
      </c>
      <c r="H89" s="1" t="s">
        <v>96</v>
      </c>
      <c r="I89" s="16" t="s">
        <v>20</v>
      </c>
      <c r="J89" s="6" t="s">
        <v>263</v>
      </c>
      <c r="K89" s="1" t="s">
        <v>97</v>
      </c>
    </row>
    <row r="90" spans="2:11">
      <c r="B90" s="16">
        <v>86</v>
      </c>
      <c r="C90" s="11" t="s">
        <v>69</v>
      </c>
      <c r="D90" s="1" t="s">
        <v>313</v>
      </c>
      <c r="E90" s="1" t="s">
        <v>264</v>
      </c>
      <c r="F90" s="1" t="s">
        <v>31</v>
      </c>
      <c r="G90" s="1" t="s">
        <v>470</v>
      </c>
      <c r="H90" s="1" t="s">
        <v>176</v>
      </c>
      <c r="I90" s="16" t="s">
        <v>20</v>
      </c>
      <c r="J90" s="6" t="s">
        <v>265</v>
      </c>
      <c r="K90" s="1" t="s">
        <v>130</v>
      </c>
    </row>
    <row r="91" spans="2:11">
      <c r="B91" s="16">
        <v>88</v>
      </c>
      <c r="C91" s="11" t="s">
        <v>296</v>
      </c>
      <c r="D91" s="1" t="s">
        <v>338</v>
      </c>
      <c r="E91" s="1" t="s">
        <v>266</v>
      </c>
      <c r="F91" s="1" t="s">
        <v>267</v>
      </c>
      <c r="G91" s="1" t="s">
        <v>471</v>
      </c>
      <c r="H91" s="1" t="s">
        <v>429</v>
      </c>
      <c r="I91" s="16" t="s">
        <v>73</v>
      </c>
      <c r="J91" s="6" t="s">
        <v>266</v>
      </c>
      <c r="K91" s="1" t="s">
        <v>104</v>
      </c>
    </row>
    <row r="92" spans="2:11">
      <c r="B92" s="16">
        <v>89</v>
      </c>
      <c r="C92" s="1" t="s">
        <v>79</v>
      </c>
      <c r="D92" s="1" t="s">
        <v>472</v>
      </c>
      <c r="E92" s="1" t="s">
        <v>268</v>
      </c>
      <c r="F92" s="1" t="s">
        <v>269</v>
      </c>
      <c r="G92" s="1" t="s">
        <v>473</v>
      </c>
      <c r="H92" s="1" t="s">
        <v>102</v>
      </c>
      <c r="I92" s="16" t="s">
        <v>73</v>
      </c>
      <c r="J92" s="6" t="s">
        <v>270</v>
      </c>
      <c r="K92" s="1" t="s">
        <v>104</v>
      </c>
    </row>
    <row r="93" spans="2:11">
      <c r="B93" s="16">
        <v>90</v>
      </c>
      <c r="C93" s="1" t="s">
        <v>79</v>
      </c>
      <c r="D93" s="1" t="s">
        <v>472</v>
      </c>
      <c r="E93" s="1" t="s">
        <v>268</v>
      </c>
      <c r="F93" s="1" t="s">
        <v>271</v>
      </c>
      <c r="G93" s="1" t="s">
        <v>474</v>
      </c>
      <c r="H93" s="1" t="s">
        <v>102</v>
      </c>
      <c r="I93" s="16" t="s">
        <v>73</v>
      </c>
      <c r="J93" s="6" t="s">
        <v>268</v>
      </c>
      <c r="K93" s="1" t="s">
        <v>104</v>
      </c>
    </row>
    <row r="94" spans="2:11">
      <c r="B94" s="16">
        <v>91</v>
      </c>
      <c r="C94" s="11" t="s">
        <v>297</v>
      </c>
      <c r="D94" s="1" t="s">
        <v>344</v>
      </c>
      <c r="E94" s="1" t="s">
        <v>272</v>
      </c>
      <c r="F94" s="1" t="s">
        <v>273</v>
      </c>
      <c r="G94" s="1" t="s">
        <v>475</v>
      </c>
      <c r="H94" s="1" t="s">
        <v>96</v>
      </c>
      <c r="I94" s="16" t="s">
        <v>20</v>
      </c>
      <c r="J94" s="6" t="s">
        <v>272</v>
      </c>
      <c r="K94" s="1" t="s">
        <v>97</v>
      </c>
    </row>
    <row r="95" spans="2:11">
      <c r="B95" s="16">
        <v>92</v>
      </c>
      <c r="C95" s="1" t="s">
        <v>80</v>
      </c>
      <c r="D95" s="1" t="s">
        <v>476</v>
      </c>
      <c r="E95" s="1" t="s">
        <v>274</v>
      </c>
      <c r="F95" s="1" t="s">
        <v>275</v>
      </c>
      <c r="G95" s="1" t="s">
        <v>477</v>
      </c>
      <c r="H95" s="1" t="s">
        <v>96</v>
      </c>
      <c r="I95" s="16" t="s">
        <v>20</v>
      </c>
      <c r="J95" s="6" t="s">
        <v>274</v>
      </c>
      <c r="K95" s="1" t="s">
        <v>97</v>
      </c>
    </row>
  </sheetData>
  <phoneticPr fontId="16" type="noConversion"/>
  <conditionalFormatting sqref="B4:L95">
    <cfRule type="expression" dxfId="0" priority="1">
      <formula>MOD(ROW(),2)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4b9f97-4dbe-4c28-8535-c5017c2cedd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651F3E450DD794FA565A8C17238251E" ma:contentTypeVersion="13" ma:contentTypeDescription="새 문서를 만듭니다." ma:contentTypeScope="" ma:versionID="67745049e239f738766ac5ff09ec0906">
  <xsd:schema xmlns:xsd="http://www.w3.org/2001/XMLSchema" xmlns:xs="http://www.w3.org/2001/XMLSchema" xmlns:p="http://schemas.microsoft.com/office/2006/metadata/properties" xmlns:ns2="574b9f97-4dbe-4c28-8535-c5017c2cedd7" targetNamespace="http://schemas.microsoft.com/office/2006/metadata/properties" ma:root="true" ma:fieldsID="0b538c1ad2a6c9cb2589c685b98bba9e" ns2:_="">
    <xsd:import namespace="574b9f97-4dbe-4c28-8535-c5017c2ce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4b9f97-4dbe-4c28-8535-c5017c2ce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93c75221-6d37-4f95-92e8-0b0ea71968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52C373-DA32-4CFC-AEC5-7BB4041CB8FD}">
  <ds:schemaRefs>
    <ds:schemaRef ds:uri="http://schemas.microsoft.com/office/2006/metadata/properties"/>
    <ds:schemaRef ds:uri="http://schemas.microsoft.com/office/infopath/2007/PartnerControls"/>
    <ds:schemaRef ds:uri="574b9f97-4dbe-4c28-8535-c5017c2cedd7"/>
  </ds:schemaRefs>
</ds:datastoreItem>
</file>

<file path=customXml/itemProps2.xml><?xml version="1.0" encoding="utf-8"?>
<ds:datastoreItem xmlns:ds="http://schemas.openxmlformats.org/officeDocument/2006/customXml" ds:itemID="{F507C87B-6D52-450C-A9F0-7B7CB0D7D7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D688A6-8FAF-4165-9F1D-1A0458C125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4b9f97-4dbe-4c28-8535-c5017c2ce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MASTER</vt:lpstr>
      <vt:lpstr>Appendix_URL</vt:lpstr>
      <vt:lpstr>RAW_tier</vt:lpstr>
      <vt:lpstr>RAW_URL,PageName</vt:lpstr>
      <vt:lpstr>api용</vt:lpstr>
      <vt:lpstr>고객법인일정파일</vt:lpstr>
      <vt:lpstr>태깅기획site_code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Jonghyun Park</cp:lastModifiedBy>
  <cp:revision/>
  <dcterms:created xsi:type="dcterms:W3CDTF">2026-03-23T01:55:55Z</dcterms:created>
  <dcterms:modified xsi:type="dcterms:W3CDTF">2026-03-26T09:58:45Z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0x0101009651F3E450DD794FA565A8C17238251E</vt:lpwstr>
  </property>
  <property fmtid="{D5CDD505-2E9C-101B-9397-08002B2CF9AE}" pid="3" name="MediaServiceImageTags">
    <vt:lpwstr/>
  </property>
</Properties>
</file>