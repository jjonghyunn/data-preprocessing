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d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sample_md_schedule (법인명 익명화)</t>
        </is>
      </c>
    </row>
    <row r="2">
      <c r="A2" t="inlineStr">
        <is>
          <t>* 법인명은 CORP-XX 형식으로, 담당자는 가명으로 대체됨</t>
        </is>
      </c>
    </row>
    <row r="3">
      <c r="A3" t="inlineStr">
        <is>
          <t>#</t>
        </is>
      </c>
      <c r="B3" t="inlineStr">
        <is>
          <t>RHQ</t>
        </is>
      </c>
      <c r="C3" t="inlineStr">
        <is>
          <t>Subs</t>
        </is>
      </c>
      <c r="D3" t="inlineStr">
        <is>
          <t>Country</t>
        </is>
      </c>
      <c r="E3" t="inlineStr">
        <is>
          <t>RS</t>
        </is>
      </c>
      <c r="F3" t="inlineStr">
        <is>
          <t>site_code</t>
        </is>
      </c>
      <c r="G3" t="inlineStr">
        <is>
          <t>start_date</t>
        </is>
      </c>
      <c r="H3" t="inlineStr">
        <is>
          <t>end_date</t>
        </is>
      </c>
      <c r="M3" t="inlineStr">
        <is>
          <t>Tier</t>
        </is>
      </c>
      <c r="N3" t="inlineStr">
        <is>
          <t>RHQ</t>
        </is>
      </c>
      <c r="O3" t="inlineStr">
        <is>
          <t>Subs</t>
        </is>
      </c>
      <c r="P3" t="inlineStr">
        <is>
          <t>Country</t>
        </is>
      </c>
      <c r="Q3" t="inlineStr">
        <is>
          <t>RS</t>
        </is>
      </c>
      <c r="R3" t="inlineStr">
        <is>
          <t>site_code</t>
        </is>
      </c>
      <c r="S3" t="inlineStr">
        <is>
          <t>start_date</t>
        </is>
      </c>
      <c r="T3" t="inlineStr">
        <is>
          <t>end_date</t>
        </is>
      </c>
      <c r="U3" t="inlineStr">
        <is>
          <t>추천제외</t>
        </is>
      </c>
      <c r="Z3" t="inlineStr">
        <is>
          <t>#</t>
        </is>
      </c>
      <c r="AA3" t="inlineStr">
        <is>
          <t>RHQ</t>
        </is>
      </c>
      <c r="AB3" t="inlineStr">
        <is>
          <t>Subsidiary</t>
        </is>
      </c>
      <c r="AC3" t="inlineStr">
        <is>
          <t>Country</t>
        </is>
      </c>
      <c r="AD3" t="inlineStr">
        <is>
          <t>SiteCode</t>
        </is>
      </c>
      <c r="AE3" t="inlineStr">
        <is>
          <t>URL</t>
        </is>
      </c>
      <c r="AF3" t="inlineStr">
        <is>
          <t>Platform</t>
        </is>
      </c>
      <c r="AG3" t="inlineStr">
        <is>
          <t>App</t>
        </is>
      </c>
      <c r="AH3" t="inlineStr">
        <is>
          <t>RS</t>
        </is>
      </c>
      <c r="AL3" t="inlineStr">
        <is>
          <t>AR_clean</t>
        </is>
      </c>
      <c r="AM3" t="inlineStr">
        <is>
          <t>AR_key</t>
        </is>
      </c>
      <c r="AN3" t="inlineStr">
        <is>
          <t>Participation</t>
        </is>
      </c>
      <c r="AO3" t="inlineStr">
        <is>
          <t>start_raw</t>
        </is>
      </c>
      <c r="AP3" t="inlineStr">
        <is>
          <t>end_raw</t>
        </is>
      </c>
      <c r="AS3" t="inlineStr">
        <is>
          <t>사용 안됨 체크</t>
        </is>
      </c>
      <c r="AT3" t="inlineStr">
        <is>
          <t>Region</t>
        </is>
      </c>
      <c r="AU3" t="inlineStr">
        <is>
          <t>Subs</t>
        </is>
      </c>
      <c r="AV3" t="inlineStr">
        <is>
          <t>PIC</t>
        </is>
      </c>
      <c r="AW3" t="inlineStr">
        <is>
          <t>Participation</t>
        </is>
      </c>
      <c r="AX3" t="inlineStr">
        <is>
          <t>Starts at</t>
        </is>
      </c>
      <c r="AY3" t="inlineStr">
        <is>
          <t>(Week)</t>
        </is>
      </c>
      <c r="AZ3" t="inlineStr">
        <is>
          <t>Ends at</t>
        </is>
      </c>
      <c r="BA3" t="inlineStr">
        <is>
          <t>(Week)</t>
        </is>
      </c>
      <c r="BB3" t="inlineStr">
        <is>
          <t>Note</t>
        </is>
      </c>
    </row>
    <row r="4">
      <c r="A4">
        <f>SORT(UNIQUE(FILTER(M4:T200,(Q4:Q200&lt;&gt;"")*(S4:S200&lt;&gt;"")*(U4:U200&lt;&gt;"O"))))</f>
        <v/>
      </c>
      <c r="N4">
        <f>IF(ISBLANK(AD4),"",AA4)</f>
        <v/>
      </c>
      <c r="O4">
        <f>IF(ISBLANK(AD4),"",IF(AM4="한총","CORP-KR",IF(LEN(TRIM(AM4))=0,AB4,AM4)))</f>
        <v/>
      </c>
      <c r="P4">
        <f>IF(ISBLANK(AD4),"",AC4)</f>
        <v/>
      </c>
      <c r="Q4">
        <f>IF(ISBLANK(AD4),"",AH4)</f>
        <v/>
      </c>
      <c r="R4">
        <f>IF(ISBLANK(Z4),"",AD4)</f>
        <v/>
      </c>
      <c r="S4">
        <f>IF(ISBLANK(AD4),"",IF(AN4="X","X",AO4))</f>
        <v/>
      </c>
      <c r="T4">
        <f>IF(ISBLANK(AD4),"",IF(AN4="X","",AP4))</f>
        <v/>
      </c>
      <c r="Z4" t="n">
        <v>1</v>
      </c>
      <c r="AA4" t="inlineStr">
        <is>
          <t>EU</t>
        </is>
      </c>
      <c r="AB4" t="inlineStr">
        <is>
          <t>CORP-UK</t>
        </is>
      </c>
      <c r="AC4" t="inlineStr">
        <is>
          <t>United Kingdom</t>
        </is>
      </c>
      <c r="AD4" t="inlineStr">
        <is>
          <t>uk</t>
        </is>
      </c>
      <c r="AE4" t="inlineStr">
        <is>
          <t>example.com/uk/</t>
        </is>
      </c>
      <c r="AF4" t="inlineStr">
        <is>
          <t>HQ Shop</t>
        </is>
      </c>
      <c r="AG4" t="inlineStr">
        <is>
          <t>O</t>
        </is>
      </c>
      <c r="AH4">
        <f>IF(ISBLANK(AD4),"",IF(ISNUMBER(FIND("_",AD4)),AC4&amp;" ("&amp;MID(AD4,FIND("_",AD4)+1,20)&amp;")",AC4))</f>
        <v/>
      </c>
      <c r="AL4">
        <f>IF(OR(NOT(ISBLANK(AT4)),ISBLANK(AU4),AU4="Total"),"",IF(ISNUMBER(FIND("-",AU4)),LEFT(AU4,FIND("-",AU4)-1),IF(ISNUMBER(FIND(" ",AU4)),LEFT(AU4,FIND(" ",AU4)-1),AU4)))</f>
        <v/>
      </c>
      <c r="AM4">
        <f>IF(ISBLANK(AD4),"",IF(COUNTIF($AU$4:$AU$200,AB4&amp;"-"&amp;UPPER(IF(ISNUMBER(FIND("_",AD4)),LEFT(AD4,FIND("_",AD4)-1),AD4)))&gt;0,AB4&amp;"-"&amp;UPPER(IF(ISNUMBER(FIND("_",AD4)),LEFT(AD4,FIND("_",AD4)-1),AD4)),IF(COUNTIF($AU$4:$AU$200,AB4&amp;" ("&amp;PROPER(LEFT(AD4,FIND("_",AD4)-1))&amp;"_"&amp;UPPER(MID(AD4,FIND("_",AD4)+1,20))&amp;")")&gt;0,AB4&amp;" ("&amp;PROPER(LEFT(AD4,FIND("_",AD4)-1))&amp;"_"&amp;UPPER(MID(AD4,FIND("_",AD4)+1,20))&amp;")",IF(COUNTIF($AU$4:$AU$200,AB4)&gt;0,AB4,IF(ISNUMBER(FIND("_",AD4)),"",IFERROR(INDEX($AU$4:$AU$200,MATCH(AB4,$AL$4:$AL$200,0)),IF(ISNUMBER(FIND("-",AB4)),IFERROR(INDEX($AU$4:$AU$200,MATCH(LEFT(AB4,FIND("-",AB4)-1),$AU$4:$AU$200,0)),""),IF(AB4="CORP-CA",IF(RIGHT(AD4,3)="_fr",IFERROR(INDEX($AU$4:$AU$200,MATCH("CORP-WA (Africa_FR)",$AU$4:$AU$200,0)),""),IF(RIGHT(AD4,3)="_en",IFERROR(INDEX($AU$4:$AU$200,MATCH("CORP-WA (Africa_EN)",$AU$4:$AU$200,0)),""),"")),"")))))))))</f>
        <v/>
      </c>
      <c r="AN4">
        <f>IF(LEN(TRIM(AM4))=0,"",IFERROR(INDEX($AW$4:$AW$200,MATCH(AM4,$AU$4:$AU$200,0)),""))</f>
        <v/>
      </c>
      <c r="AO4">
        <f>IF(OR(LEN(TRIM(AM4))=0,AN4="X",AN4&lt;&gt;"O"),"",IFERROR(INDEX($AX$4:$AX$200,MATCH(AM4,$AU$4:$AU$200,0)),""))</f>
        <v/>
      </c>
      <c r="AP4">
        <f>IF(OR(LEN(TRIM(AM4))=0,AN4="X",AN4&lt;&gt;"O"),"",IFERROR(INDEX($AZ$4:$AZ$200,MATCH(AM4,$AU$4:$AU$200,0)),""))</f>
        <v/>
      </c>
      <c r="AT4" t="inlineStr">
        <is>
          <t>EU Region</t>
        </is>
      </c>
      <c r="AU4" t="inlineStr">
        <is>
          <t>Total</t>
        </is>
      </c>
    </row>
    <row r="5">
      <c r="N5">
        <f>IF(ISBLANK(AD5),"",AA5)</f>
        <v/>
      </c>
      <c r="O5">
        <f>IF(ISBLANK(AD5),"",IF(AM5="한총","CORP-KR",IF(LEN(TRIM(AM5))=0,AB5,AM5)))</f>
        <v/>
      </c>
      <c r="P5">
        <f>IF(ISBLANK(AD5),"",AC5)</f>
        <v/>
      </c>
      <c r="Q5">
        <f>IF(ISBLANK(AD5),"",AH5)</f>
        <v/>
      </c>
      <c r="R5">
        <f>IF(ISBLANK(Z5),"",AD5)</f>
        <v/>
      </c>
      <c r="S5">
        <f>IF(ISBLANK(AD5),"",IF(AN5="X","X",AO5))</f>
        <v/>
      </c>
      <c r="T5">
        <f>IF(ISBLANK(AD5),"",IF(AN5="X","",AP5))</f>
        <v/>
      </c>
      <c r="Z5" t="n">
        <v>2</v>
      </c>
      <c r="AA5" t="inlineStr">
        <is>
          <t>EU</t>
        </is>
      </c>
      <c r="AB5" t="inlineStr">
        <is>
          <t>CORP-UK</t>
        </is>
      </c>
      <c r="AC5" t="inlineStr">
        <is>
          <t>Ireland</t>
        </is>
      </c>
      <c r="AD5" t="inlineStr">
        <is>
          <t>ie</t>
        </is>
      </c>
      <c r="AE5" t="inlineStr">
        <is>
          <t>example.com/ie/</t>
        </is>
      </c>
      <c r="AF5" t="inlineStr">
        <is>
          <t>HQ Shop</t>
        </is>
      </c>
      <c r="AG5" t="inlineStr">
        <is>
          <t>O</t>
        </is>
      </c>
      <c r="AH5">
        <f>IF(ISBLANK(AD5),"",IF(ISNUMBER(FIND("_",AD5)),AC5&amp;" ("&amp;MID(AD5,FIND("_",AD5)+1,20)&amp;")",AC5))</f>
        <v/>
      </c>
      <c r="AL5">
        <f>IF(OR(NOT(ISBLANK(AT5)),ISBLANK(AU5),AU5="Total"),"",IF(ISNUMBER(FIND("-",AU5)),LEFT(AU5,FIND("-",AU5)-1),IF(ISNUMBER(FIND(" ",AU5)),LEFT(AU5,FIND(" ",AU5)-1),AU5)))</f>
        <v/>
      </c>
      <c r="AM5">
        <f>IF(ISBLANK(AD5),"",IF(COUNTIF($AU$4:$AU$200,AB5&amp;"-"&amp;UPPER(IF(ISNUMBER(FIND("_",AD5)),LEFT(AD5,FIND("_",AD5)-1),AD5)))&gt;0,AB5&amp;"-"&amp;UPPER(IF(ISNUMBER(FIND("_",AD5)),LEFT(AD5,FIND("_",AD5)-1),AD5)),IF(COUNTIF($AU$4:$AU$200,AB5&amp;" ("&amp;PROPER(LEFT(AD5,FIND("_",AD5)-1))&amp;"_"&amp;UPPER(MID(AD5,FIND("_",AD5)+1,20))&amp;")")&gt;0,AB5&amp;" ("&amp;PROPER(LEFT(AD5,FIND("_",AD5)-1))&amp;"_"&amp;UPPER(MID(AD5,FIND("_",AD5)+1,20))&amp;")",IF(COUNTIF($AU$4:$AU$200,AB5)&gt;0,AB5,IF(ISNUMBER(FIND("_",AD5)),"",IFERROR(INDEX($AU$4:$AU$200,MATCH(AB5,$AL$4:$AL$200,0)),IF(ISNUMBER(FIND("-",AB5)),IFERROR(INDEX($AU$4:$AU$200,MATCH(LEFT(AB5,FIND("-",AB5)-1),$AU$4:$AU$200,0)),""),IF(AB5="CORP-CA",IF(RIGHT(AD5,3)="_fr",IFERROR(INDEX($AU$4:$AU$200,MATCH("CORP-WA (Africa_FR)",$AU$4:$AU$200,0)),""),IF(RIGHT(AD5,3)="_en",IFERROR(INDEX($AU$4:$AU$200,MATCH("CORP-WA (Africa_EN)",$AU$4:$AU$200,0)),""),"")),"")))))))))</f>
        <v/>
      </c>
      <c r="AN5">
        <f>IF(LEN(TRIM(AM5))=0,"",IFERROR(INDEX($AW$4:$AW$200,MATCH(AM5,$AU$4:$AU$200,0)),""))</f>
        <v/>
      </c>
      <c r="AO5">
        <f>IF(OR(LEN(TRIM(AM5))=0,AN5="X",AN5&lt;&gt;"O"),"",IFERROR(INDEX($AX$4:$AX$200,MATCH(AM5,$AU$4:$AU$200,0)),""))</f>
        <v/>
      </c>
      <c r="AP5">
        <f>IF(OR(LEN(TRIM(AM5))=0,AN5="X",AN5&lt;&gt;"O"),"",IFERROR(INDEX($AZ$4:$AZ$200,MATCH(AM5,$AU$4:$AU$200,0)),""))</f>
        <v/>
      </c>
      <c r="AS5">
        <f>IF((AW5="X")+(AW5=""),"",IF(COUNTIF($O$4:$O$191,IF(AU5="한총","CORP-KR",AU5))&gt;0,"","사용 안됨"))</f>
        <v/>
      </c>
      <c r="AU5" t="inlineStr">
        <is>
          <t>CORP-UK</t>
        </is>
      </c>
      <c r="AV5" t="inlineStr">
        <is>
          <t>홍길동</t>
        </is>
      </c>
      <c r="AW5" t="inlineStr">
        <is>
          <t>O</t>
        </is>
      </c>
      <c r="AX5" t="inlineStr">
        <is>
          <t>2026-04-01</t>
        </is>
      </c>
      <c r="AY5" t="inlineStr">
        <is>
          <t>W14</t>
        </is>
      </c>
      <c r="AZ5" t="inlineStr">
        <is>
          <t>2026-05-31</t>
        </is>
      </c>
      <c r="BA5" t="inlineStr">
        <is>
          <t>W22</t>
        </is>
      </c>
    </row>
    <row r="6">
      <c r="N6">
        <f>IF(ISBLANK(AD6),"",AA6)</f>
        <v/>
      </c>
      <c r="O6">
        <f>IF(ISBLANK(AD6),"",IF(AM6="한총","CORP-KR",IF(LEN(TRIM(AM6))=0,AB6,AM6)))</f>
        <v/>
      </c>
      <c r="P6">
        <f>IF(ISBLANK(AD6),"",AC6)</f>
        <v/>
      </c>
      <c r="Q6">
        <f>IF(ISBLANK(AD6),"",AH6)</f>
        <v/>
      </c>
      <c r="R6">
        <f>IF(ISBLANK(Z6),"",AD6)</f>
        <v/>
      </c>
      <c r="S6">
        <f>IF(ISBLANK(AD6),"",IF(AN6="X","X",AO6))</f>
        <v/>
      </c>
      <c r="T6">
        <f>IF(ISBLANK(AD6),"",IF(AN6="X","",AP6))</f>
        <v/>
      </c>
      <c r="Z6" t="n">
        <v>3</v>
      </c>
      <c r="AA6" t="inlineStr">
        <is>
          <t>EU</t>
        </is>
      </c>
      <c r="AB6" t="inlineStr">
        <is>
          <t>CORP-BN</t>
        </is>
      </c>
      <c r="AC6" t="inlineStr">
        <is>
          <t>Belgium</t>
        </is>
      </c>
      <c r="AD6" t="inlineStr">
        <is>
          <t>be</t>
        </is>
      </c>
      <c r="AE6" t="inlineStr">
        <is>
          <t>example.com/be/</t>
        </is>
      </c>
      <c r="AF6" t="inlineStr">
        <is>
          <t>HQ Shop</t>
        </is>
      </c>
      <c r="AG6" t="inlineStr">
        <is>
          <t>X</t>
        </is>
      </c>
      <c r="AH6">
        <f>IF(ISBLANK(AD6),"",IF(ISNUMBER(FIND("_",AD6)),AC6&amp;" ("&amp;MID(AD6,FIND("_",AD6)+1,20)&amp;")",AC6))</f>
        <v/>
      </c>
      <c r="AL6">
        <f>IF(OR(NOT(ISBLANK(AT6)),ISBLANK(AU6),AU6="Total"),"",IF(ISNUMBER(FIND("-",AU6)),LEFT(AU6,FIND("-",AU6)-1),IF(ISNUMBER(FIND(" ",AU6)),LEFT(AU6,FIND(" ",AU6)-1),AU6)))</f>
        <v/>
      </c>
      <c r="AM6">
        <f>IF(ISBLANK(AD6),"",IF(COUNTIF($AU$4:$AU$200,AB6&amp;"-"&amp;UPPER(IF(ISNUMBER(FIND("_",AD6)),LEFT(AD6,FIND("_",AD6)-1),AD6)))&gt;0,AB6&amp;"-"&amp;UPPER(IF(ISNUMBER(FIND("_",AD6)),LEFT(AD6,FIND("_",AD6)-1),AD6)),IF(COUNTIF($AU$4:$AU$200,AB6&amp;" ("&amp;PROPER(LEFT(AD6,FIND("_",AD6)-1))&amp;"_"&amp;UPPER(MID(AD6,FIND("_",AD6)+1,20))&amp;")")&gt;0,AB6&amp;" ("&amp;PROPER(LEFT(AD6,FIND("_",AD6)-1))&amp;"_"&amp;UPPER(MID(AD6,FIND("_",AD6)+1,20))&amp;")",IF(COUNTIF($AU$4:$AU$200,AB6)&gt;0,AB6,IF(ISNUMBER(FIND("_",AD6)),"",IFERROR(INDEX($AU$4:$AU$200,MATCH(AB6,$AL$4:$AL$200,0)),IF(ISNUMBER(FIND("-",AB6)),IFERROR(INDEX($AU$4:$AU$200,MATCH(LEFT(AB6,FIND("-",AB6)-1),$AU$4:$AU$200,0)),""),IF(AB6="CORP-CA",IF(RIGHT(AD6,3)="_fr",IFERROR(INDEX($AU$4:$AU$200,MATCH("CORP-WA (Africa_FR)",$AU$4:$AU$200,0)),""),IF(RIGHT(AD6,3)="_en",IFERROR(INDEX($AU$4:$AU$200,MATCH("CORP-WA (Africa_EN)",$AU$4:$AU$200,0)),""),"")),"")))))))))</f>
        <v/>
      </c>
      <c r="AN6">
        <f>IF(LEN(TRIM(AM6))=0,"",IFERROR(INDEX($AW$4:$AW$200,MATCH(AM6,$AU$4:$AU$200,0)),""))</f>
        <v/>
      </c>
      <c r="AO6">
        <f>IF(OR(LEN(TRIM(AM6))=0,AN6="X",AN6&lt;&gt;"O"),"",IFERROR(INDEX($AX$4:$AX$200,MATCH(AM6,$AU$4:$AU$200,0)),""))</f>
        <v/>
      </c>
      <c r="AP6">
        <f>IF(OR(LEN(TRIM(AM6))=0,AN6="X",AN6&lt;&gt;"O"),"",IFERROR(INDEX($AZ$4:$AZ$200,MATCH(AM6,$AU$4:$AU$200,0)),""))</f>
        <v/>
      </c>
      <c r="AS6">
        <f>IF((AW6="X")+(AW6=""),"",IF(COUNTIF($O$4:$O$191,IF(AU6="한총","CORP-KR",AU6))&gt;0,"","사용 안됨"))</f>
        <v/>
      </c>
      <c r="AU6" t="inlineStr">
        <is>
          <t>CORP-UK-IE</t>
        </is>
      </c>
      <c r="AV6" t="inlineStr">
        <is>
          <t>김철수</t>
        </is>
      </c>
      <c r="AW6" t="inlineStr">
        <is>
          <t>O</t>
        </is>
      </c>
      <c r="AX6" t="inlineStr">
        <is>
          <t>2026-04-15</t>
        </is>
      </c>
      <c r="AY6" t="inlineStr">
        <is>
          <t>W16</t>
        </is>
      </c>
      <c r="AZ6" t="inlineStr">
        <is>
          <t>2026-05-31</t>
        </is>
      </c>
      <c r="BA6" t="inlineStr">
        <is>
          <t>W22</t>
        </is>
      </c>
    </row>
    <row r="7">
      <c r="N7">
        <f>IF(ISBLANK(AD7),"",AA7)</f>
        <v/>
      </c>
      <c r="O7">
        <f>IF(ISBLANK(AD7),"",IF(AM7="한총","CORP-KR",IF(LEN(TRIM(AM7))=0,AB7,AM7)))</f>
        <v/>
      </c>
      <c r="P7">
        <f>IF(ISBLANK(AD7),"",AC7)</f>
        <v/>
      </c>
      <c r="Q7">
        <f>IF(ISBLANK(AD7),"",AH7)</f>
        <v/>
      </c>
      <c r="R7">
        <f>IF(ISBLANK(Z7),"",AD7)</f>
        <v/>
      </c>
      <c r="S7">
        <f>IF(ISBLANK(AD7),"",IF(AN7="X","X",AO7))</f>
        <v/>
      </c>
      <c r="T7">
        <f>IF(ISBLANK(AD7),"",IF(AN7="X","",AP7))</f>
        <v/>
      </c>
      <c r="Z7" t="n">
        <v>4</v>
      </c>
      <c r="AA7" t="inlineStr">
        <is>
          <t>AF</t>
        </is>
      </c>
      <c r="AB7" t="inlineStr">
        <is>
          <t>CORP-WA</t>
        </is>
      </c>
      <c r="AC7" t="inlineStr">
        <is>
          <t>Africa</t>
        </is>
      </c>
      <c r="AD7" t="inlineStr">
        <is>
          <t>africa_en</t>
        </is>
      </c>
      <c r="AE7" t="inlineStr">
        <is>
          <t>example.com/africa-en/</t>
        </is>
      </c>
      <c r="AF7" t="inlineStr">
        <is>
          <t>HQ Shop</t>
        </is>
      </c>
      <c r="AG7" t="inlineStr">
        <is>
          <t>X</t>
        </is>
      </c>
      <c r="AH7">
        <f>IF(ISBLANK(AD7),"",IF(ISNUMBER(FIND("_",AD7)),AC7&amp;" ("&amp;MID(AD7,FIND("_",AD7)+1,20)&amp;")",AC7))</f>
        <v/>
      </c>
      <c r="AL7">
        <f>IF(OR(NOT(ISBLANK(AT7)),ISBLANK(AU7),AU7="Total"),"",IF(ISNUMBER(FIND("-",AU7)),LEFT(AU7,FIND("-",AU7)-1),IF(ISNUMBER(FIND(" ",AU7)),LEFT(AU7,FIND(" ",AU7)-1),AU7)))</f>
        <v/>
      </c>
      <c r="AM7">
        <f>IF(ISBLANK(AD7),"",IF(COUNTIF($AU$4:$AU$200,AB7&amp;"-"&amp;UPPER(IF(ISNUMBER(FIND("_",AD7)),LEFT(AD7,FIND("_",AD7)-1),AD7)))&gt;0,AB7&amp;"-"&amp;UPPER(IF(ISNUMBER(FIND("_",AD7)),LEFT(AD7,FIND("_",AD7)-1),AD7)),IF(COUNTIF($AU$4:$AU$200,AB7&amp;" ("&amp;PROPER(LEFT(AD7,FIND("_",AD7)-1))&amp;"_"&amp;UPPER(MID(AD7,FIND("_",AD7)+1,20))&amp;")")&gt;0,AB7&amp;" ("&amp;PROPER(LEFT(AD7,FIND("_",AD7)-1))&amp;"_"&amp;UPPER(MID(AD7,FIND("_",AD7)+1,20))&amp;")",IF(COUNTIF($AU$4:$AU$200,AB7)&gt;0,AB7,IF(ISNUMBER(FIND("_",AD7)),"",IFERROR(INDEX($AU$4:$AU$200,MATCH(AB7,$AL$4:$AL$200,0)),IF(ISNUMBER(FIND("-",AB7)),IFERROR(INDEX($AU$4:$AU$200,MATCH(LEFT(AB7,FIND("-",AB7)-1),$AU$4:$AU$200,0)),""),IF(AB7="CORP-CA",IF(RIGHT(AD7,3)="_fr",IFERROR(INDEX($AU$4:$AU$200,MATCH("CORP-WA (Africa_FR)",$AU$4:$AU$200,0)),""),IF(RIGHT(AD7,3)="_en",IFERROR(INDEX($AU$4:$AU$200,MATCH("CORP-WA (Africa_EN)",$AU$4:$AU$200,0)),""),"")),"")))))))))</f>
        <v/>
      </c>
      <c r="AN7">
        <f>IF(LEN(TRIM(AM7))=0,"",IFERROR(INDEX($AW$4:$AW$200,MATCH(AM7,$AU$4:$AU$200,0)),""))</f>
        <v/>
      </c>
      <c r="AO7">
        <f>IF(OR(LEN(TRIM(AM7))=0,AN7="X",AN7&lt;&gt;"O"),"",IFERROR(INDEX($AX$4:$AX$200,MATCH(AM7,$AU$4:$AU$200,0)),""))</f>
        <v/>
      </c>
      <c r="AP7">
        <f>IF(OR(LEN(TRIM(AM7))=0,AN7="X",AN7&lt;&gt;"O"),"",IFERROR(INDEX($AZ$4:$AZ$200,MATCH(AM7,$AU$4:$AU$200,0)),""))</f>
        <v/>
      </c>
      <c r="AS7">
        <f>IF((AW7="X")+(AW7=""),"",IF(COUNTIF($O$4:$O$191,IF(AU7="한총","CORP-KR",AU7))&gt;0,"","사용 안됨"))</f>
        <v/>
      </c>
      <c r="AU7" t="inlineStr">
        <is>
          <t>CORP-BN-BE</t>
        </is>
      </c>
      <c r="AV7" t="inlineStr">
        <is>
          <t>이영희</t>
        </is>
      </c>
      <c r="AW7" t="inlineStr">
        <is>
          <t>X</t>
        </is>
      </c>
      <c r="BB7" t="inlineStr">
        <is>
          <t>Not participating</t>
        </is>
      </c>
    </row>
    <row r="8">
      <c r="N8">
        <f>IF(ISBLANK(AD8),"",AA8)</f>
        <v/>
      </c>
      <c r="O8">
        <f>IF(ISBLANK(AD8),"",IF(AM8="한총","CORP-KR",IF(LEN(TRIM(AM8))=0,AB8,AM8)))</f>
        <v/>
      </c>
      <c r="P8">
        <f>IF(ISBLANK(AD8),"",AC8)</f>
        <v/>
      </c>
      <c r="Q8">
        <f>IF(ISBLANK(AD8),"",AH8)</f>
        <v/>
      </c>
      <c r="R8">
        <f>IF(ISBLANK(Z8),"",AD8)</f>
        <v/>
      </c>
      <c r="S8">
        <f>IF(ISBLANK(AD8),"",IF(AN8="X","X",AO8))</f>
        <v/>
      </c>
      <c r="T8">
        <f>IF(ISBLANK(AD8),"",IF(AN8="X","",AP8))</f>
        <v/>
      </c>
      <c r="Z8" t="n">
        <v>5</v>
      </c>
      <c r="AA8" t="inlineStr">
        <is>
          <t>AF</t>
        </is>
      </c>
      <c r="AB8" t="inlineStr">
        <is>
          <t>CORP-WA</t>
        </is>
      </c>
      <c r="AC8" t="inlineStr">
        <is>
          <t>Africa</t>
        </is>
      </c>
      <c r="AD8" t="inlineStr">
        <is>
          <t>africa_fr</t>
        </is>
      </c>
      <c r="AE8" t="inlineStr">
        <is>
          <t>example.com/africa-fr/</t>
        </is>
      </c>
      <c r="AF8" t="inlineStr">
        <is>
          <t>HQ Shop</t>
        </is>
      </c>
      <c r="AG8" t="inlineStr">
        <is>
          <t>X</t>
        </is>
      </c>
      <c r="AH8">
        <f>IF(ISBLANK(AD8),"",IF(ISNUMBER(FIND("_",AD8)),AC8&amp;" ("&amp;MID(AD8,FIND("_",AD8)+1,20)&amp;")",AC8))</f>
        <v/>
      </c>
      <c r="AL8">
        <f>IF(OR(NOT(ISBLANK(AT8)),ISBLANK(AU8),AU8="Total"),"",IF(ISNUMBER(FIND("-",AU8)),LEFT(AU8,FIND("-",AU8)-1),IF(ISNUMBER(FIND(" ",AU8)),LEFT(AU8,FIND(" ",AU8)-1),AU8)))</f>
        <v/>
      </c>
      <c r="AM8">
        <f>IF(ISBLANK(AD8),"",IF(COUNTIF($AU$4:$AU$200,AB8&amp;"-"&amp;UPPER(IF(ISNUMBER(FIND("_",AD8)),LEFT(AD8,FIND("_",AD8)-1),AD8)))&gt;0,AB8&amp;"-"&amp;UPPER(IF(ISNUMBER(FIND("_",AD8)),LEFT(AD8,FIND("_",AD8)-1),AD8)),IF(COUNTIF($AU$4:$AU$200,AB8&amp;" ("&amp;PROPER(LEFT(AD8,FIND("_",AD8)-1))&amp;"_"&amp;UPPER(MID(AD8,FIND("_",AD8)+1,20))&amp;")")&gt;0,AB8&amp;" ("&amp;PROPER(LEFT(AD8,FIND("_",AD8)-1))&amp;"_"&amp;UPPER(MID(AD8,FIND("_",AD8)+1,20))&amp;")",IF(COUNTIF($AU$4:$AU$200,AB8)&gt;0,AB8,IF(ISNUMBER(FIND("_",AD8)),"",IFERROR(INDEX($AU$4:$AU$200,MATCH(AB8,$AL$4:$AL$200,0)),IF(ISNUMBER(FIND("-",AB8)),IFERROR(INDEX($AU$4:$AU$200,MATCH(LEFT(AB8,FIND("-",AB8)-1),$AU$4:$AU$200,0)),""),IF(AB8="CORP-CA",IF(RIGHT(AD8,3)="_fr",IFERROR(INDEX($AU$4:$AU$200,MATCH("CORP-WA (Africa_FR)",$AU$4:$AU$200,0)),""),IF(RIGHT(AD8,3)="_en",IFERROR(INDEX($AU$4:$AU$200,MATCH("CORP-WA (Africa_EN)",$AU$4:$AU$200,0)),""),"")),"")))))))))</f>
        <v/>
      </c>
      <c r="AN8">
        <f>IF(LEN(TRIM(AM8))=0,"",IFERROR(INDEX($AW$4:$AW$200,MATCH(AM8,$AU$4:$AU$200,0)),""))</f>
        <v/>
      </c>
      <c r="AO8">
        <f>IF(OR(LEN(TRIM(AM8))=0,AN8="X",AN8&lt;&gt;"O"),"",IFERROR(INDEX($AX$4:$AX$200,MATCH(AM8,$AU$4:$AU$200,0)),""))</f>
        <v/>
      </c>
      <c r="AP8">
        <f>IF(OR(LEN(TRIM(AM8))=0,AN8="X",AN8&lt;&gt;"O"),"",IFERROR(INDEX($AZ$4:$AZ$200,MATCH(AM8,$AU$4:$AU$200,0)),""))</f>
        <v/>
      </c>
      <c r="AT8" t="inlineStr">
        <is>
          <t>AF Region</t>
        </is>
      </c>
      <c r="AU8" t="inlineStr">
        <is>
          <t>Total</t>
        </is>
      </c>
    </row>
    <row r="9">
      <c r="N9">
        <f>IF(ISBLANK(AD9),"",AA9)</f>
        <v/>
      </c>
      <c r="O9">
        <f>IF(ISBLANK(AD9),"",IF(AM9="한총","CORP-KR",IF(LEN(TRIM(AM9))=0,AB9,AM9)))</f>
        <v/>
      </c>
      <c r="P9">
        <f>IF(ISBLANK(AD9),"",AC9)</f>
        <v/>
      </c>
      <c r="Q9">
        <f>IF(ISBLANK(AD9),"",AH9)</f>
        <v/>
      </c>
      <c r="R9">
        <f>IF(ISBLANK(Z9),"",AD9)</f>
        <v/>
      </c>
      <c r="S9">
        <f>IF(ISBLANK(AD9),"",IF(AN9="X","X",AO9))</f>
        <v/>
      </c>
      <c r="T9">
        <f>IF(ISBLANK(AD9),"",IF(AN9="X","",AP9))</f>
        <v/>
      </c>
      <c r="Z9" t="n">
        <v>6</v>
      </c>
      <c r="AA9" t="inlineStr">
        <is>
          <t>AF</t>
        </is>
      </c>
      <c r="AB9" t="inlineStr">
        <is>
          <t>CORP-WA</t>
        </is>
      </c>
      <c r="AC9" t="inlineStr">
        <is>
          <t>Africa</t>
        </is>
      </c>
      <c r="AD9" t="inlineStr">
        <is>
          <t>africa_pt</t>
        </is>
      </c>
      <c r="AE9" t="inlineStr">
        <is>
          <t>example.com/africa-pt/</t>
        </is>
      </c>
      <c r="AF9" t="inlineStr">
        <is>
          <t>HQ Shop</t>
        </is>
      </c>
      <c r="AG9" t="inlineStr">
        <is>
          <t>X</t>
        </is>
      </c>
      <c r="AH9">
        <f>IF(ISBLANK(AD9),"",IF(ISNUMBER(FIND("_",AD9)),AC9&amp;" ("&amp;MID(AD9,FIND("_",AD9)+1,20)&amp;")",AC9))</f>
        <v/>
      </c>
      <c r="AL9">
        <f>IF(OR(NOT(ISBLANK(AT9)),ISBLANK(AU9),AU9="Total"),"",IF(ISNUMBER(FIND("-",AU9)),LEFT(AU9,FIND("-",AU9)-1),IF(ISNUMBER(FIND(" ",AU9)),LEFT(AU9,FIND(" ",AU9)-1),AU9)))</f>
        <v/>
      </c>
      <c r="AM9">
        <f>IF(ISBLANK(AD9),"",IF(COUNTIF($AU$4:$AU$200,AB9&amp;"-"&amp;UPPER(IF(ISNUMBER(FIND("_",AD9)),LEFT(AD9,FIND("_",AD9)-1),AD9)))&gt;0,AB9&amp;"-"&amp;UPPER(IF(ISNUMBER(FIND("_",AD9)),LEFT(AD9,FIND("_",AD9)-1),AD9)),IF(COUNTIF($AU$4:$AU$200,AB9&amp;" ("&amp;PROPER(LEFT(AD9,FIND("_",AD9)-1))&amp;"_"&amp;UPPER(MID(AD9,FIND("_",AD9)+1,20))&amp;")")&gt;0,AB9&amp;" ("&amp;PROPER(LEFT(AD9,FIND("_",AD9)-1))&amp;"_"&amp;UPPER(MID(AD9,FIND("_",AD9)+1,20))&amp;")",IF(COUNTIF($AU$4:$AU$200,AB9)&gt;0,AB9,IF(ISNUMBER(FIND("_",AD9)),"",IFERROR(INDEX($AU$4:$AU$200,MATCH(AB9,$AL$4:$AL$200,0)),IF(ISNUMBER(FIND("-",AB9)),IFERROR(INDEX($AU$4:$AU$200,MATCH(LEFT(AB9,FIND("-",AB9)-1),$AU$4:$AU$200,0)),""),IF(AB9="CORP-CA",IF(RIGHT(AD9,3)="_fr",IFERROR(INDEX($AU$4:$AU$200,MATCH("CORP-WA (Africa_FR)",$AU$4:$AU$200,0)),""),IF(RIGHT(AD9,3)="_en",IFERROR(INDEX($AU$4:$AU$200,MATCH("CORP-WA (Africa_EN)",$AU$4:$AU$200,0)),""),"")),"")))))))))</f>
        <v/>
      </c>
      <c r="AN9">
        <f>IF(LEN(TRIM(AM9))=0,"",IFERROR(INDEX($AW$4:$AW$200,MATCH(AM9,$AU$4:$AU$200,0)),""))</f>
        <v/>
      </c>
      <c r="AO9">
        <f>IF(OR(LEN(TRIM(AM9))=0,AN9="X",AN9&lt;&gt;"O"),"",IFERROR(INDEX($AX$4:$AX$200,MATCH(AM9,$AU$4:$AU$200,0)),""))</f>
        <v/>
      </c>
      <c r="AP9">
        <f>IF(OR(LEN(TRIM(AM9))=0,AN9="X",AN9&lt;&gt;"O"),"",IFERROR(INDEX($AZ$4:$AZ$200,MATCH(AM9,$AU$4:$AU$200,0)),""))</f>
        <v/>
      </c>
      <c r="AS9">
        <f>IF((AW9="X")+(AW9=""),"",IF(COUNTIF($O$4:$O$191,IF(AU9="한총","CORP-KR",AU9))&gt;0,"","사용 안됨"))</f>
        <v/>
      </c>
      <c r="AU9" t="inlineStr">
        <is>
          <t>CORP-WA (Africa_EN)</t>
        </is>
      </c>
      <c r="AV9" t="inlineStr">
        <is>
          <t>박민준</t>
        </is>
      </c>
      <c r="AW9" t="inlineStr">
        <is>
          <t>O</t>
        </is>
      </c>
      <c r="AX9" t="inlineStr">
        <is>
          <t>2026-04-01</t>
        </is>
      </c>
      <c r="AY9" t="inlineStr">
        <is>
          <t>W14</t>
        </is>
      </c>
      <c r="AZ9" t="inlineStr">
        <is>
          <t>2026-05-31</t>
        </is>
      </c>
      <c r="BA9" t="inlineStr">
        <is>
          <t>W22</t>
        </is>
      </c>
    </row>
    <row r="10">
      <c r="N10">
        <f>IF(ISBLANK(AD10),"",AA10)</f>
        <v/>
      </c>
      <c r="O10">
        <f>IF(ISBLANK(AD10),"",IF(AM10="한총","CORP-KR",IF(LEN(TRIM(AM10))=0,AB10,AM10)))</f>
        <v/>
      </c>
      <c r="P10">
        <f>IF(ISBLANK(AD10),"",AC10)</f>
        <v/>
      </c>
      <c r="Q10">
        <f>IF(ISBLANK(AD10),"",AH10)</f>
        <v/>
      </c>
      <c r="R10">
        <f>IF(ISBLANK(Z10),"",AD10)</f>
        <v/>
      </c>
      <c r="S10">
        <f>IF(ISBLANK(AD10),"",IF(AN10="X","X",AO10))</f>
        <v/>
      </c>
      <c r="T10">
        <f>IF(ISBLANK(AD10),"",IF(AN10="X","",AP10))</f>
        <v/>
      </c>
      <c r="Z10" t="n">
        <v>7</v>
      </c>
      <c r="AA10" t="inlineStr">
        <is>
          <t>AP</t>
        </is>
      </c>
      <c r="AB10" t="inlineStr">
        <is>
          <t>한총</t>
        </is>
      </c>
      <c r="AC10" t="inlineStr">
        <is>
          <t>Korea</t>
        </is>
      </c>
      <c r="AD10" t="inlineStr">
        <is>
          <t>kr</t>
        </is>
      </c>
      <c r="AE10" t="inlineStr">
        <is>
          <t>example.com/kr/</t>
        </is>
      </c>
      <c r="AF10" t="inlineStr">
        <is>
          <t>HQ Shop</t>
        </is>
      </c>
      <c r="AG10" t="inlineStr">
        <is>
          <t>O</t>
        </is>
      </c>
      <c r="AH10">
        <f>IF(ISBLANK(AD10),"",IF(ISNUMBER(FIND("_",AD10)),AC10&amp;" ("&amp;MID(AD10,FIND("_",AD10)+1,20)&amp;")",AC10))</f>
        <v/>
      </c>
      <c r="AL10">
        <f>IF(OR(NOT(ISBLANK(AT10)),ISBLANK(AU10),AU10="Total"),"",IF(ISNUMBER(FIND("-",AU10)),LEFT(AU10,FIND("-",AU10)-1),IF(ISNUMBER(FIND(" ",AU10)),LEFT(AU10,FIND(" ",AU10)-1),AU10)))</f>
        <v/>
      </c>
      <c r="AM10">
        <f>IF(ISBLANK(AD10),"",IF(COUNTIF($AU$4:$AU$200,AB10&amp;"-"&amp;UPPER(IF(ISNUMBER(FIND("_",AD10)),LEFT(AD10,FIND("_",AD10)-1),AD10)))&gt;0,AB10&amp;"-"&amp;UPPER(IF(ISNUMBER(FIND("_",AD10)),LEFT(AD10,FIND("_",AD10)-1),AD10)),IF(COUNTIF($AU$4:$AU$200,AB10&amp;" ("&amp;PROPER(LEFT(AD10,FIND("_",AD10)-1))&amp;"_"&amp;UPPER(MID(AD10,FIND("_",AD10)+1,20))&amp;")")&gt;0,AB10&amp;" ("&amp;PROPER(LEFT(AD10,FIND("_",AD10)-1))&amp;"_"&amp;UPPER(MID(AD10,FIND("_",AD10)+1,20))&amp;")",IF(COUNTIF($AU$4:$AU$200,AB10)&gt;0,AB10,IF(ISNUMBER(FIND("_",AD10)),"",IFERROR(INDEX($AU$4:$AU$200,MATCH(AB10,$AL$4:$AL$200,0)),IF(ISNUMBER(FIND("-",AB10)),IFERROR(INDEX($AU$4:$AU$200,MATCH(LEFT(AB10,FIND("-",AB10)-1),$AU$4:$AU$200,0)),""),IF(AB10="CORP-CA",IF(RIGHT(AD10,3)="_fr",IFERROR(INDEX($AU$4:$AU$200,MATCH("CORP-WA (Africa_FR)",$AU$4:$AU$200,0)),""),IF(RIGHT(AD10,3)="_en",IFERROR(INDEX($AU$4:$AU$200,MATCH("CORP-WA (Africa_EN)",$AU$4:$AU$200,0)),""),"")),"")))))))))</f>
        <v/>
      </c>
      <c r="AN10">
        <f>IF(LEN(TRIM(AM10))=0,"",IFERROR(INDEX($AW$4:$AW$200,MATCH(AM10,$AU$4:$AU$200,0)),""))</f>
        <v/>
      </c>
      <c r="AO10">
        <f>IF(OR(LEN(TRIM(AM10))=0,AN10="X",AN10&lt;&gt;"O"),"",IFERROR(INDEX($AX$4:$AX$200,MATCH(AM10,$AU$4:$AU$200,0)),""))</f>
        <v/>
      </c>
      <c r="AP10">
        <f>IF(OR(LEN(TRIM(AM10))=0,AN10="X",AN10&lt;&gt;"O"),"",IFERROR(INDEX($AZ$4:$AZ$200,MATCH(AM10,$AU$4:$AU$200,0)),""))</f>
        <v/>
      </c>
      <c r="AS10">
        <f>IF((AW10="X")+(AW10=""),"",IF(COUNTIF($O$4:$O$191,IF(AU10="한총","CORP-KR",AU10))&gt;0,"","사용 안됨"))</f>
        <v/>
      </c>
      <c r="AU10" t="inlineStr">
        <is>
          <t>CORP-WA (Africa_FR)</t>
        </is>
      </c>
      <c r="AV10" t="inlineStr">
        <is>
          <t>최수진</t>
        </is>
      </c>
      <c r="AW10" t="inlineStr">
        <is>
          <t>X</t>
        </is>
      </c>
    </row>
    <row r="11">
      <c r="N11">
        <f>IF(ISBLANK(AD11),"",AA11)</f>
        <v/>
      </c>
      <c r="O11">
        <f>IF(ISBLANK(AD11),"",IF(AM11="한총","CORP-KR",IF(LEN(TRIM(AM11))=0,AB11,AM11)))</f>
        <v/>
      </c>
      <c r="P11">
        <f>IF(ISBLANK(AD11),"",AC11)</f>
        <v/>
      </c>
      <c r="Q11">
        <f>IF(ISBLANK(AD11),"",AH11)</f>
        <v/>
      </c>
      <c r="R11">
        <f>IF(ISBLANK(Z11),"",AD11)</f>
        <v/>
      </c>
      <c r="S11">
        <f>IF(ISBLANK(AD11),"",IF(AN11="X","X",AO11))</f>
        <v/>
      </c>
      <c r="T11">
        <f>IF(ISBLANK(AD11),"",IF(AN11="X","",AP11))</f>
        <v/>
      </c>
      <c r="Z11" t="n">
        <v>8</v>
      </c>
      <c r="AA11" t="inlineStr">
        <is>
          <t>AF</t>
        </is>
      </c>
      <c r="AB11" t="inlineStr">
        <is>
          <t>CORP-SA</t>
        </is>
      </c>
      <c r="AC11" t="inlineStr">
        <is>
          <t>South Africa</t>
        </is>
      </c>
      <c r="AD11" t="inlineStr">
        <is>
          <t>za</t>
        </is>
      </c>
      <c r="AE11" t="inlineStr">
        <is>
          <t>example.com/za/</t>
        </is>
      </c>
      <c r="AF11" t="inlineStr">
        <is>
          <t>HQ Shop</t>
        </is>
      </c>
      <c r="AG11" t="inlineStr">
        <is>
          <t>X</t>
        </is>
      </c>
      <c r="AH11">
        <f>IF(ISBLANK(AD11),"",IF(ISNUMBER(FIND("_",AD11)),AC11&amp;" ("&amp;MID(AD11,FIND("_",AD11)+1,20)&amp;")",AC11))</f>
        <v/>
      </c>
      <c r="AL11">
        <f>IF(OR(NOT(ISBLANK(AT11)),ISBLANK(AU11),AU11="Total"),"",IF(ISNUMBER(FIND("-",AU11)),LEFT(AU11,FIND("-",AU11)-1),IF(ISNUMBER(FIND(" ",AU11)),LEFT(AU11,FIND(" ",AU11)-1),AU11)))</f>
        <v/>
      </c>
      <c r="AM11">
        <f>IF(ISBLANK(AD11),"",IF(COUNTIF($AU$4:$AU$200,AB11&amp;"-"&amp;UPPER(IF(ISNUMBER(FIND("_",AD11)),LEFT(AD11,FIND("_",AD11)-1),AD11)))&gt;0,AB11&amp;"-"&amp;UPPER(IF(ISNUMBER(FIND("_",AD11)),LEFT(AD11,FIND("_",AD11)-1),AD11)),IF(COUNTIF($AU$4:$AU$200,AB11&amp;" ("&amp;PROPER(LEFT(AD11,FIND("_",AD11)-1))&amp;"_"&amp;UPPER(MID(AD11,FIND("_",AD11)+1,20))&amp;")")&gt;0,AB11&amp;" ("&amp;PROPER(LEFT(AD11,FIND("_",AD11)-1))&amp;"_"&amp;UPPER(MID(AD11,FIND("_",AD11)+1,20))&amp;")",IF(COUNTIF($AU$4:$AU$200,AB11)&gt;0,AB11,IF(ISNUMBER(FIND("_",AD11)),"",IFERROR(INDEX($AU$4:$AU$200,MATCH(AB11,$AL$4:$AL$200,0)),IF(ISNUMBER(FIND("-",AB11)),IFERROR(INDEX($AU$4:$AU$200,MATCH(LEFT(AB11,FIND("-",AB11)-1),$AU$4:$AU$200,0)),""),IF(AB11="CORP-CA",IF(RIGHT(AD11,3)="_fr",IFERROR(INDEX($AU$4:$AU$200,MATCH("CORP-WA (Africa_FR)",$AU$4:$AU$200,0)),""),IF(RIGHT(AD11,3)="_en",IFERROR(INDEX($AU$4:$AU$200,MATCH("CORP-WA (Africa_EN)",$AU$4:$AU$200,0)),""),"")),"")))))))))</f>
        <v/>
      </c>
      <c r="AN11">
        <f>IF(LEN(TRIM(AM11))=0,"",IFERROR(INDEX($AW$4:$AW$200,MATCH(AM11,$AU$4:$AU$200,0)),""))</f>
        <v/>
      </c>
      <c r="AO11">
        <f>IF(OR(LEN(TRIM(AM11))=0,AN11="X",AN11&lt;&gt;"O"),"",IFERROR(INDEX($AX$4:$AX$200,MATCH(AM11,$AU$4:$AU$200,0)),""))</f>
        <v/>
      </c>
      <c r="AP11">
        <f>IF(OR(LEN(TRIM(AM11))=0,AN11="X",AN11&lt;&gt;"O"),"",IFERROR(INDEX($AZ$4:$AZ$200,MATCH(AM11,$AU$4:$AU$200,0)),""))</f>
        <v/>
      </c>
      <c r="AT11" t="inlineStr">
        <is>
          <t>AP Region</t>
        </is>
      </c>
      <c r="AU11" t="inlineStr">
        <is>
          <t>Total</t>
        </is>
      </c>
    </row>
    <row r="12">
      <c r="AL12">
        <f>IF(OR(NOT(ISBLANK(AT12)),ISBLANK(AU12),AU12="Total"),"",IF(ISNUMBER(FIND("-",AU12)),LEFT(AU12,FIND("-",AU12)-1),IF(ISNUMBER(FIND(" ",AU12)),LEFT(AU12,FIND(" ",AU12)-1),AU12)))</f>
        <v/>
      </c>
      <c r="AS12">
        <f>IF((AW12="X")+(AW12=""),"",IF(COUNTIF($O$4:$O$191,IF(AU12="한총","CORP-KR",AU12))&gt;0,"","사용 안됨"))</f>
        <v/>
      </c>
      <c r="AU12" t="inlineStr">
        <is>
          <t>한총</t>
        </is>
      </c>
      <c r="AV12" t="inlineStr">
        <is>
          <t>정다영</t>
        </is>
      </c>
      <c r="AW12" t="inlineStr">
        <is>
          <t>O</t>
        </is>
      </c>
      <c r="AX12" t="inlineStr">
        <is>
          <t>2026-04-08</t>
        </is>
      </c>
      <c r="AY12" t="inlineStr">
        <is>
          <t>W15</t>
        </is>
      </c>
      <c r="AZ12" t="inlineStr">
        <is>
          <t>2026-05-31</t>
        </is>
      </c>
      <c r="BA12" t="inlineStr">
        <is>
          <t>W22</t>
        </is>
      </c>
    </row>
    <row r="13">
      <c r="AL13">
        <f>IF(OR(NOT(ISBLANK(AT13)),ISBLANK(AU13),AU13="Total"),"",IF(ISNUMBER(FIND("-",AU13)),LEFT(AU13,FIND("-",AU13)-1),IF(ISNUMBER(FIND(" ",AU13)),LEFT(AU13,FIND(" ",AU13)-1),AU13)))</f>
        <v/>
      </c>
      <c r="AS13">
        <f>IF((AW13="X")+(AW13=""),"",IF(COUNTIF($O$4:$O$191,IF(AU13="한총","CORP-KR",AU13))&gt;0,"","사용 안됨"))</f>
        <v/>
      </c>
      <c r="AU13" t="inlineStr">
        <is>
          <t>CORP-SA (ZA)</t>
        </is>
      </c>
      <c r="AV13" t="inlineStr">
        <is>
          <t>강민서</t>
        </is>
      </c>
      <c r="BB13" t="inlineStr">
        <is>
          <t>TBC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2026-03-25T04:43:00Z</dcterms:created>
  <dcterms:modified xmlns:dcterms="http://purl.org/dc/terms/" xmlns:xsi="http://www.w3.org/2001/XMLSchema-instance" xsi:type="dcterms:W3CDTF">2026-03-25T04:43:00Z</dcterms:modified>
</cp:coreProperties>
</file>