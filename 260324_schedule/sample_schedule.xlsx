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nxmail-my.sharepoint.com/personal/jonghyun_park_concentrix_com/Documents/pjh/2.data/99.PY,SQL-250429/00.py_notebook/260324_md_schedule/"/>
    </mc:Choice>
  </mc:AlternateContent>
  <xr:revisionPtr revIDLastSave="164" documentId="13_ncr:1_{A295E2CF-B424-486F-92AC-5669B4982352}" xr6:coauthVersionLast="47" xr6:coauthVersionMax="47" xr10:uidLastSave="{4A268348-6014-449E-96CB-19E83329845E}"/>
  <bookViews>
    <workbookView xWindow="28680" yWindow="-120" windowWidth="29040" windowHeight="16440" xr2:uid="{00000000-000D-0000-FFFF-FFFF00000000}"/>
  </bookViews>
  <sheets>
    <sheet name="schedule_conve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00" i="1" l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3" i="1"/>
  <c r="O93" i="1" s="1"/>
  <c r="AM92" i="1"/>
  <c r="O92" i="1" s="1"/>
  <c r="AM79" i="1"/>
  <c r="O79" i="1" s="1"/>
  <c r="AM64" i="1"/>
  <c r="AM56" i="1"/>
  <c r="O56" i="1" s="1"/>
  <c r="AM53" i="1"/>
  <c r="AM51" i="1"/>
  <c r="AM50" i="1"/>
  <c r="AM46" i="1"/>
  <c r="O46" i="1" s="1"/>
  <c r="AM45" i="1"/>
  <c r="O45" i="1" s="1"/>
  <c r="AM38" i="1"/>
  <c r="AM23" i="1"/>
  <c r="AM21" i="1"/>
  <c r="O21" i="1" s="1"/>
  <c r="AM17" i="1"/>
  <c r="O17" i="1" s="1"/>
  <c r="AM8" i="1"/>
  <c r="O8" i="1" s="1"/>
  <c r="AM7" i="1"/>
  <c r="O7" i="1" s="1"/>
  <c r="AM6" i="1"/>
  <c r="O6" i="1" s="1"/>
  <c r="AM5" i="1"/>
  <c r="O5" i="1" s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64" i="1"/>
  <c r="O53" i="1"/>
  <c r="O51" i="1"/>
  <c r="O50" i="1"/>
  <c r="O38" i="1"/>
  <c r="O23" i="1"/>
  <c r="AR8" i="1"/>
  <c r="AR28" i="1"/>
  <c r="AR36" i="1"/>
  <c r="AR45" i="1"/>
  <c r="AR47" i="1"/>
  <c r="AR56" i="1"/>
  <c r="AR58" i="1"/>
  <c r="AR63" i="1"/>
  <c r="AR67" i="1"/>
  <c r="AR69" i="1"/>
  <c r="AR5" i="1"/>
  <c r="AL192" i="1" l="1"/>
  <c r="AL191" i="1"/>
  <c r="AL190" i="1"/>
  <c r="AL189" i="1"/>
  <c r="AL188" i="1"/>
  <c r="AL187" i="1"/>
  <c r="AL186" i="1"/>
  <c r="AL185" i="1"/>
  <c r="AL184" i="1"/>
  <c r="AL183" i="1"/>
  <c r="AL182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52" i="1"/>
  <c r="AL151" i="1"/>
  <c r="AL150" i="1"/>
  <c r="AL149" i="1"/>
  <c r="AL148" i="1"/>
  <c r="AL147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T141" i="1"/>
  <c r="S141" i="1"/>
  <c r="R141" i="1"/>
  <c r="Q141" i="1"/>
  <c r="P141" i="1"/>
  <c r="N141" i="1"/>
  <c r="T140" i="1"/>
  <c r="S140" i="1"/>
  <c r="R140" i="1"/>
  <c r="Q140" i="1"/>
  <c r="P140" i="1"/>
  <c r="N140" i="1"/>
  <c r="T139" i="1"/>
  <c r="S139" i="1"/>
  <c r="R139" i="1"/>
  <c r="Q139" i="1"/>
  <c r="P139" i="1"/>
  <c r="N139" i="1"/>
  <c r="T138" i="1"/>
  <c r="S138" i="1"/>
  <c r="R138" i="1"/>
  <c r="Q138" i="1"/>
  <c r="P138" i="1"/>
  <c r="N138" i="1"/>
  <c r="T137" i="1"/>
  <c r="S137" i="1"/>
  <c r="R137" i="1"/>
  <c r="Q137" i="1"/>
  <c r="P137" i="1"/>
  <c r="N137" i="1"/>
  <c r="T136" i="1"/>
  <c r="S136" i="1"/>
  <c r="R136" i="1"/>
  <c r="Q136" i="1"/>
  <c r="P136" i="1"/>
  <c r="N136" i="1"/>
  <c r="T135" i="1"/>
  <c r="S135" i="1"/>
  <c r="R135" i="1"/>
  <c r="Q135" i="1"/>
  <c r="P135" i="1"/>
  <c r="N135" i="1"/>
  <c r="T134" i="1"/>
  <c r="S134" i="1"/>
  <c r="R134" i="1"/>
  <c r="Q134" i="1"/>
  <c r="P134" i="1"/>
  <c r="N134" i="1"/>
  <c r="T133" i="1"/>
  <c r="S133" i="1"/>
  <c r="R133" i="1"/>
  <c r="Q133" i="1"/>
  <c r="P133" i="1"/>
  <c r="N133" i="1"/>
  <c r="T132" i="1"/>
  <c r="S132" i="1"/>
  <c r="R132" i="1"/>
  <c r="Q132" i="1"/>
  <c r="P132" i="1"/>
  <c r="N132" i="1"/>
  <c r="T131" i="1"/>
  <c r="S131" i="1"/>
  <c r="R131" i="1"/>
  <c r="Q131" i="1"/>
  <c r="P131" i="1"/>
  <c r="N131" i="1"/>
  <c r="T130" i="1"/>
  <c r="S130" i="1"/>
  <c r="R130" i="1"/>
  <c r="Q130" i="1"/>
  <c r="P130" i="1"/>
  <c r="N130" i="1"/>
  <c r="T129" i="1"/>
  <c r="S129" i="1"/>
  <c r="R129" i="1"/>
  <c r="Q129" i="1"/>
  <c r="P129" i="1"/>
  <c r="N129" i="1"/>
  <c r="T128" i="1"/>
  <c r="S128" i="1"/>
  <c r="R128" i="1"/>
  <c r="Q128" i="1"/>
  <c r="P128" i="1"/>
  <c r="N128" i="1"/>
  <c r="T127" i="1"/>
  <c r="S127" i="1"/>
  <c r="R127" i="1"/>
  <c r="Q127" i="1"/>
  <c r="P127" i="1"/>
  <c r="N127" i="1"/>
  <c r="T126" i="1"/>
  <c r="S126" i="1"/>
  <c r="R126" i="1"/>
  <c r="Q126" i="1"/>
  <c r="P126" i="1"/>
  <c r="N126" i="1"/>
  <c r="T125" i="1"/>
  <c r="S125" i="1"/>
  <c r="R125" i="1"/>
  <c r="Q125" i="1"/>
  <c r="P125" i="1"/>
  <c r="N125" i="1"/>
  <c r="T124" i="1"/>
  <c r="S124" i="1"/>
  <c r="R124" i="1"/>
  <c r="Q124" i="1"/>
  <c r="P124" i="1"/>
  <c r="N124" i="1"/>
  <c r="T123" i="1"/>
  <c r="S123" i="1"/>
  <c r="R123" i="1"/>
  <c r="Q123" i="1"/>
  <c r="P123" i="1"/>
  <c r="N123" i="1"/>
  <c r="T122" i="1"/>
  <c r="S122" i="1"/>
  <c r="R122" i="1"/>
  <c r="Q122" i="1"/>
  <c r="P122" i="1"/>
  <c r="N122" i="1"/>
  <c r="T121" i="1"/>
  <c r="S121" i="1"/>
  <c r="R121" i="1"/>
  <c r="Q121" i="1"/>
  <c r="P121" i="1"/>
  <c r="N121" i="1"/>
  <c r="T120" i="1"/>
  <c r="S120" i="1"/>
  <c r="R120" i="1"/>
  <c r="Q120" i="1"/>
  <c r="P120" i="1"/>
  <c r="N120" i="1"/>
  <c r="T119" i="1"/>
  <c r="S119" i="1"/>
  <c r="R119" i="1"/>
  <c r="Q119" i="1"/>
  <c r="P119" i="1"/>
  <c r="N119" i="1"/>
  <c r="T118" i="1"/>
  <c r="S118" i="1"/>
  <c r="R118" i="1"/>
  <c r="Q118" i="1"/>
  <c r="P118" i="1"/>
  <c r="N118" i="1"/>
  <c r="T117" i="1"/>
  <c r="S117" i="1"/>
  <c r="R117" i="1"/>
  <c r="Q117" i="1"/>
  <c r="P117" i="1"/>
  <c r="N117" i="1"/>
  <c r="T116" i="1"/>
  <c r="S116" i="1"/>
  <c r="R116" i="1"/>
  <c r="Q116" i="1"/>
  <c r="P116" i="1"/>
  <c r="N116" i="1"/>
  <c r="T115" i="1"/>
  <c r="S115" i="1"/>
  <c r="R115" i="1"/>
  <c r="Q115" i="1"/>
  <c r="P115" i="1"/>
  <c r="N115" i="1"/>
  <c r="T114" i="1"/>
  <c r="S114" i="1"/>
  <c r="R114" i="1"/>
  <c r="Q114" i="1"/>
  <c r="P114" i="1"/>
  <c r="N114" i="1"/>
  <c r="T113" i="1"/>
  <c r="S113" i="1"/>
  <c r="R113" i="1"/>
  <c r="Q113" i="1"/>
  <c r="P113" i="1"/>
  <c r="N113" i="1"/>
  <c r="T112" i="1"/>
  <c r="S112" i="1"/>
  <c r="R112" i="1"/>
  <c r="Q112" i="1"/>
  <c r="P112" i="1"/>
  <c r="N112" i="1"/>
  <c r="T111" i="1"/>
  <c r="S111" i="1"/>
  <c r="R111" i="1"/>
  <c r="Q111" i="1"/>
  <c r="P111" i="1"/>
  <c r="N111" i="1"/>
  <c r="T110" i="1"/>
  <c r="S110" i="1"/>
  <c r="R110" i="1"/>
  <c r="Q110" i="1"/>
  <c r="P110" i="1"/>
  <c r="N110" i="1"/>
  <c r="T109" i="1"/>
  <c r="S109" i="1"/>
  <c r="R109" i="1"/>
  <c r="Q109" i="1"/>
  <c r="P109" i="1"/>
  <c r="N109" i="1"/>
  <c r="T108" i="1"/>
  <c r="S108" i="1"/>
  <c r="R108" i="1"/>
  <c r="Q108" i="1"/>
  <c r="P108" i="1"/>
  <c r="N108" i="1"/>
  <c r="T107" i="1"/>
  <c r="S107" i="1"/>
  <c r="R107" i="1"/>
  <c r="Q107" i="1"/>
  <c r="P107" i="1"/>
  <c r="N107" i="1"/>
  <c r="T106" i="1"/>
  <c r="S106" i="1"/>
  <c r="R106" i="1"/>
  <c r="Q106" i="1"/>
  <c r="P106" i="1"/>
  <c r="N106" i="1"/>
  <c r="T105" i="1"/>
  <c r="S105" i="1"/>
  <c r="R105" i="1"/>
  <c r="Q105" i="1"/>
  <c r="P105" i="1"/>
  <c r="N105" i="1"/>
  <c r="T104" i="1"/>
  <c r="S104" i="1"/>
  <c r="R104" i="1"/>
  <c r="Q104" i="1"/>
  <c r="P104" i="1"/>
  <c r="N104" i="1"/>
  <c r="T103" i="1"/>
  <c r="S103" i="1"/>
  <c r="R103" i="1"/>
  <c r="Q103" i="1"/>
  <c r="P103" i="1"/>
  <c r="N103" i="1"/>
  <c r="T102" i="1"/>
  <c r="S102" i="1"/>
  <c r="R102" i="1"/>
  <c r="Q102" i="1"/>
  <c r="P102" i="1"/>
  <c r="N102" i="1"/>
  <c r="T101" i="1"/>
  <c r="S101" i="1"/>
  <c r="R101" i="1"/>
  <c r="Q101" i="1"/>
  <c r="P101" i="1"/>
  <c r="N101" i="1"/>
  <c r="T100" i="1"/>
  <c r="S100" i="1"/>
  <c r="R100" i="1"/>
  <c r="Q100" i="1"/>
  <c r="P100" i="1"/>
  <c r="N100" i="1"/>
  <c r="T99" i="1"/>
  <c r="S99" i="1"/>
  <c r="R99" i="1"/>
  <c r="Q99" i="1"/>
  <c r="P99" i="1"/>
  <c r="N99" i="1"/>
  <c r="T98" i="1"/>
  <c r="S98" i="1"/>
  <c r="R98" i="1"/>
  <c r="Q98" i="1"/>
  <c r="P98" i="1"/>
  <c r="N98" i="1"/>
  <c r="T97" i="1"/>
  <c r="S97" i="1"/>
  <c r="R97" i="1"/>
  <c r="Q97" i="1"/>
  <c r="P97" i="1"/>
  <c r="N97" i="1"/>
  <c r="T96" i="1"/>
  <c r="S96" i="1"/>
  <c r="R96" i="1"/>
  <c r="Q96" i="1"/>
  <c r="P96" i="1"/>
  <c r="N96" i="1"/>
  <c r="R95" i="1"/>
  <c r="Q95" i="1"/>
  <c r="P95" i="1"/>
  <c r="N95" i="1"/>
  <c r="R94" i="1"/>
  <c r="Q94" i="1"/>
  <c r="P94" i="1"/>
  <c r="N94" i="1"/>
  <c r="R93" i="1"/>
  <c r="Q93" i="1"/>
  <c r="P93" i="1"/>
  <c r="N93" i="1"/>
  <c r="R92" i="1"/>
  <c r="Q92" i="1"/>
  <c r="P92" i="1"/>
  <c r="N92" i="1"/>
  <c r="R91" i="1"/>
  <c r="Q91" i="1"/>
  <c r="P91" i="1"/>
  <c r="N91" i="1"/>
  <c r="R90" i="1"/>
  <c r="Q90" i="1"/>
  <c r="P90" i="1"/>
  <c r="N90" i="1"/>
  <c r="R89" i="1"/>
  <c r="Q89" i="1"/>
  <c r="P89" i="1"/>
  <c r="N89" i="1"/>
  <c r="R88" i="1"/>
  <c r="Q88" i="1"/>
  <c r="P88" i="1"/>
  <c r="N88" i="1"/>
  <c r="R87" i="1"/>
  <c r="Q87" i="1"/>
  <c r="P87" i="1"/>
  <c r="N87" i="1"/>
  <c r="R86" i="1"/>
  <c r="Q86" i="1"/>
  <c r="P86" i="1"/>
  <c r="N86" i="1"/>
  <c r="R85" i="1"/>
  <c r="Q85" i="1"/>
  <c r="P85" i="1"/>
  <c r="N85" i="1"/>
  <c r="R84" i="1"/>
  <c r="Q84" i="1"/>
  <c r="P84" i="1"/>
  <c r="N84" i="1"/>
  <c r="R83" i="1"/>
  <c r="Q83" i="1"/>
  <c r="P83" i="1"/>
  <c r="N83" i="1"/>
  <c r="R82" i="1"/>
  <c r="Q82" i="1"/>
  <c r="P82" i="1"/>
  <c r="N82" i="1"/>
  <c r="R81" i="1"/>
  <c r="Q81" i="1"/>
  <c r="P81" i="1"/>
  <c r="N81" i="1"/>
  <c r="R80" i="1"/>
  <c r="Q80" i="1"/>
  <c r="P80" i="1"/>
  <c r="N80" i="1"/>
  <c r="R79" i="1"/>
  <c r="Q79" i="1"/>
  <c r="P79" i="1"/>
  <c r="N79" i="1"/>
  <c r="R78" i="1"/>
  <c r="Q78" i="1"/>
  <c r="P78" i="1"/>
  <c r="N78" i="1"/>
  <c r="R77" i="1"/>
  <c r="Q77" i="1"/>
  <c r="P77" i="1"/>
  <c r="N77" i="1"/>
  <c r="R76" i="1"/>
  <c r="Q76" i="1"/>
  <c r="P76" i="1"/>
  <c r="N76" i="1"/>
  <c r="R75" i="1"/>
  <c r="Q75" i="1"/>
  <c r="P75" i="1"/>
  <c r="N75" i="1"/>
  <c r="R74" i="1"/>
  <c r="Q74" i="1"/>
  <c r="P74" i="1"/>
  <c r="N74" i="1"/>
  <c r="R73" i="1"/>
  <c r="Q73" i="1"/>
  <c r="P73" i="1"/>
  <c r="N73" i="1"/>
  <c r="R72" i="1"/>
  <c r="Q72" i="1"/>
  <c r="P72" i="1"/>
  <c r="N72" i="1"/>
  <c r="R71" i="1"/>
  <c r="Q71" i="1"/>
  <c r="P71" i="1"/>
  <c r="N71" i="1"/>
  <c r="R70" i="1"/>
  <c r="Q70" i="1"/>
  <c r="P70" i="1"/>
  <c r="N70" i="1"/>
  <c r="R69" i="1"/>
  <c r="Q69" i="1"/>
  <c r="P69" i="1"/>
  <c r="N69" i="1"/>
  <c r="R68" i="1"/>
  <c r="Q68" i="1"/>
  <c r="P68" i="1"/>
  <c r="N68" i="1"/>
  <c r="R67" i="1"/>
  <c r="Q67" i="1"/>
  <c r="P67" i="1"/>
  <c r="N67" i="1"/>
  <c r="R66" i="1"/>
  <c r="Q66" i="1"/>
  <c r="P66" i="1"/>
  <c r="N66" i="1"/>
  <c r="R65" i="1"/>
  <c r="Q65" i="1"/>
  <c r="P65" i="1"/>
  <c r="N65" i="1"/>
  <c r="R64" i="1"/>
  <c r="Q64" i="1"/>
  <c r="P64" i="1"/>
  <c r="N64" i="1"/>
  <c r="R63" i="1"/>
  <c r="Q63" i="1"/>
  <c r="P63" i="1"/>
  <c r="N63" i="1"/>
  <c r="R62" i="1"/>
  <c r="Q62" i="1"/>
  <c r="P62" i="1"/>
  <c r="N62" i="1"/>
  <c r="R61" i="1"/>
  <c r="Q61" i="1"/>
  <c r="P61" i="1"/>
  <c r="N61" i="1"/>
  <c r="R60" i="1"/>
  <c r="Q60" i="1"/>
  <c r="P60" i="1"/>
  <c r="N60" i="1"/>
  <c r="R59" i="1"/>
  <c r="Q59" i="1"/>
  <c r="P59" i="1"/>
  <c r="N59" i="1"/>
  <c r="R58" i="1"/>
  <c r="Q58" i="1"/>
  <c r="P58" i="1"/>
  <c r="N58" i="1"/>
  <c r="R57" i="1"/>
  <c r="Q57" i="1"/>
  <c r="P57" i="1"/>
  <c r="N57" i="1"/>
  <c r="Q56" i="1"/>
  <c r="R56" i="1"/>
  <c r="P56" i="1"/>
  <c r="N56" i="1"/>
  <c r="Q55" i="1"/>
  <c r="R55" i="1"/>
  <c r="P55" i="1"/>
  <c r="N55" i="1"/>
  <c r="Q54" i="1"/>
  <c r="R54" i="1"/>
  <c r="P54" i="1"/>
  <c r="N54" i="1"/>
  <c r="Q53" i="1"/>
  <c r="R53" i="1"/>
  <c r="P53" i="1"/>
  <c r="N53" i="1"/>
  <c r="Q52" i="1"/>
  <c r="R52" i="1"/>
  <c r="P52" i="1"/>
  <c r="N52" i="1"/>
  <c r="Q51" i="1"/>
  <c r="R51" i="1"/>
  <c r="P51" i="1"/>
  <c r="N51" i="1"/>
  <c r="Q50" i="1"/>
  <c r="R50" i="1"/>
  <c r="P50" i="1"/>
  <c r="N50" i="1"/>
  <c r="Q49" i="1"/>
  <c r="R49" i="1"/>
  <c r="P49" i="1"/>
  <c r="N49" i="1"/>
  <c r="Q48" i="1"/>
  <c r="R48" i="1"/>
  <c r="P48" i="1"/>
  <c r="N48" i="1"/>
  <c r="Q47" i="1"/>
  <c r="R47" i="1"/>
  <c r="P47" i="1"/>
  <c r="N47" i="1"/>
  <c r="Q46" i="1"/>
  <c r="R46" i="1"/>
  <c r="P46" i="1"/>
  <c r="N46" i="1"/>
  <c r="Q45" i="1"/>
  <c r="R45" i="1"/>
  <c r="P45" i="1"/>
  <c r="N45" i="1"/>
  <c r="Q44" i="1"/>
  <c r="R44" i="1"/>
  <c r="P44" i="1"/>
  <c r="N44" i="1"/>
  <c r="Q43" i="1"/>
  <c r="R43" i="1"/>
  <c r="P43" i="1"/>
  <c r="N43" i="1"/>
  <c r="Q42" i="1"/>
  <c r="R42" i="1"/>
  <c r="P42" i="1"/>
  <c r="N42" i="1"/>
  <c r="Q41" i="1"/>
  <c r="R41" i="1"/>
  <c r="P41" i="1"/>
  <c r="N41" i="1"/>
  <c r="R40" i="1"/>
  <c r="Q40" i="1"/>
  <c r="P40" i="1"/>
  <c r="N40" i="1"/>
  <c r="Q39" i="1"/>
  <c r="R39" i="1"/>
  <c r="P39" i="1"/>
  <c r="N39" i="1"/>
  <c r="Q38" i="1"/>
  <c r="R38" i="1"/>
  <c r="P38" i="1"/>
  <c r="N38" i="1"/>
  <c r="Q37" i="1"/>
  <c r="R37" i="1"/>
  <c r="P37" i="1"/>
  <c r="N37" i="1"/>
  <c r="Q36" i="1"/>
  <c r="R36" i="1"/>
  <c r="P36" i="1"/>
  <c r="N36" i="1"/>
  <c r="Q35" i="1"/>
  <c r="R35" i="1"/>
  <c r="P35" i="1"/>
  <c r="N35" i="1"/>
  <c r="Q34" i="1"/>
  <c r="R34" i="1"/>
  <c r="P34" i="1"/>
  <c r="N34" i="1"/>
  <c r="Q33" i="1"/>
  <c r="R33" i="1"/>
  <c r="P33" i="1"/>
  <c r="N33" i="1"/>
  <c r="Q32" i="1"/>
  <c r="R32" i="1"/>
  <c r="P32" i="1"/>
  <c r="N32" i="1"/>
  <c r="Q31" i="1"/>
  <c r="R31" i="1"/>
  <c r="P31" i="1"/>
  <c r="N31" i="1"/>
  <c r="Q30" i="1"/>
  <c r="R30" i="1"/>
  <c r="P30" i="1"/>
  <c r="N30" i="1"/>
  <c r="Q29" i="1"/>
  <c r="R29" i="1"/>
  <c r="P29" i="1"/>
  <c r="N29" i="1"/>
  <c r="Q28" i="1"/>
  <c r="R28" i="1"/>
  <c r="P28" i="1"/>
  <c r="N28" i="1"/>
  <c r="Q27" i="1"/>
  <c r="R27" i="1"/>
  <c r="P27" i="1"/>
  <c r="N27" i="1"/>
  <c r="Q26" i="1"/>
  <c r="R26" i="1"/>
  <c r="P26" i="1"/>
  <c r="N26" i="1"/>
  <c r="Q25" i="1"/>
  <c r="R25" i="1"/>
  <c r="P25" i="1"/>
  <c r="N25" i="1"/>
  <c r="Q24" i="1"/>
  <c r="R24" i="1"/>
  <c r="P24" i="1"/>
  <c r="N24" i="1"/>
  <c r="Q23" i="1"/>
  <c r="R23" i="1"/>
  <c r="P23" i="1"/>
  <c r="N23" i="1"/>
  <c r="Q22" i="1"/>
  <c r="R22" i="1"/>
  <c r="P22" i="1"/>
  <c r="N22" i="1"/>
  <c r="Q21" i="1"/>
  <c r="R21" i="1"/>
  <c r="P21" i="1"/>
  <c r="N21" i="1"/>
  <c r="Q20" i="1"/>
  <c r="R20" i="1"/>
  <c r="P20" i="1"/>
  <c r="N20" i="1"/>
  <c r="Q19" i="1"/>
  <c r="R19" i="1"/>
  <c r="P19" i="1"/>
  <c r="N19" i="1"/>
  <c r="Q18" i="1"/>
  <c r="R18" i="1"/>
  <c r="P18" i="1"/>
  <c r="N18" i="1"/>
  <c r="Q17" i="1"/>
  <c r="R17" i="1"/>
  <c r="P17" i="1"/>
  <c r="N17" i="1"/>
  <c r="Q16" i="1"/>
  <c r="R16" i="1"/>
  <c r="P16" i="1"/>
  <c r="N16" i="1"/>
  <c r="Q15" i="1"/>
  <c r="R15" i="1"/>
  <c r="P15" i="1"/>
  <c r="N15" i="1"/>
  <c r="Q14" i="1"/>
  <c r="R14" i="1"/>
  <c r="P14" i="1"/>
  <c r="N14" i="1"/>
  <c r="Q13" i="1"/>
  <c r="R13" i="1"/>
  <c r="P13" i="1"/>
  <c r="N13" i="1"/>
  <c r="Q12" i="1"/>
  <c r="R12" i="1"/>
  <c r="P12" i="1"/>
  <c r="N12" i="1"/>
  <c r="Q11" i="1"/>
  <c r="R11" i="1"/>
  <c r="P11" i="1"/>
  <c r="N11" i="1"/>
  <c r="Q10" i="1"/>
  <c r="R10" i="1"/>
  <c r="P10" i="1"/>
  <c r="N10" i="1"/>
  <c r="Q9" i="1"/>
  <c r="R9" i="1"/>
  <c r="P9" i="1"/>
  <c r="N9" i="1"/>
  <c r="Q8" i="1"/>
  <c r="R8" i="1"/>
  <c r="P8" i="1"/>
  <c r="N8" i="1"/>
  <c r="Q7" i="1"/>
  <c r="R7" i="1"/>
  <c r="P7" i="1"/>
  <c r="N7" i="1"/>
  <c r="Q6" i="1"/>
  <c r="R6" i="1"/>
  <c r="P6" i="1"/>
  <c r="N6" i="1"/>
  <c r="Q5" i="1"/>
  <c r="R5" i="1"/>
  <c r="P5" i="1"/>
  <c r="N5" i="1"/>
  <c r="Q4" i="1"/>
  <c r="R4" i="1"/>
  <c r="P4" i="1"/>
  <c r="N4" i="1"/>
  <c r="AM91" i="1" l="1"/>
  <c r="O91" i="1" s="1"/>
  <c r="AM90" i="1"/>
  <c r="O90" i="1" s="1"/>
  <c r="AM78" i="1"/>
  <c r="O78" i="1" s="1"/>
  <c r="AM66" i="1"/>
  <c r="O66" i="1" s="1"/>
  <c r="AM54" i="1"/>
  <c r="O54" i="1" s="1"/>
  <c r="AM42" i="1"/>
  <c r="O42" i="1" s="1"/>
  <c r="AM30" i="1"/>
  <c r="O30" i="1" s="1"/>
  <c r="AM18" i="1"/>
  <c r="O18" i="1" s="1"/>
  <c r="AM89" i="1"/>
  <c r="O89" i="1" s="1"/>
  <c r="AM77" i="1"/>
  <c r="O77" i="1" s="1"/>
  <c r="AM65" i="1"/>
  <c r="O65" i="1" s="1"/>
  <c r="AM41" i="1"/>
  <c r="O41" i="1" s="1"/>
  <c r="AM29" i="1"/>
  <c r="O29" i="1" s="1"/>
  <c r="AM88" i="1"/>
  <c r="O88" i="1" s="1"/>
  <c r="AM76" i="1"/>
  <c r="O76" i="1" s="1"/>
  <c r="AM52" i="1"/>
  <c r="O52" i="1" s="1"/>
  <c r="AM40" i="1"/>
  <c r="O40" i="1" s="1"/>
  <c r="AM28" i="1"/>
  <c r="O28" i="1" s="1"/>
  <c r="AM16" i="1"/>
  <c r="O16" i="1" s="1"/>
  <c r="AM4" i="1"/>
  <c r="O4" i="1" s="1"/>
  <c r="AM87" i="1"/>
  <c r="O87" i="1" s="1"/>
  <c r="AM75" i="1"/>
  <c r="O75" i="1" s="1"/>
  <c r="AM63" i="1"/>
  <c r="O63" i="1" s="1"/>
  <c r="AM39" i="1"/>
  <c r="O39" i="1" s="1"/>
  <c r="AM27" i="1"/>
  <c r="O27" i="1" s="1"/>
  <c r="AM15" i="1"/>
  <c r="O15" i="1" s="1"/>
  <c r="AM26" i="1"/>
  <c r="O26" i="1" s="1"/>
  <c r="AM32" i="1"/>
  <c r="O32" i="1" s="1"/>
  <c r="AM31" i="1"/>
  <c r="O31" i="1" s="1"/>
  <c r="AM86" i="1"/>
  <c r="O86" i="1" s="1"/>
  <c r="AM74" i="1"/>
  <c r="O74" i="1" s="1"/>
  <c r="AM62" i="1"/>
  <c r="O62" i="1" s="1"/>
  <c r="AM14" i="1"/>
  <c r="O14" i="1" s="1"/>
  <c r="AM20" i="1"/>
  <c r="O20" i="1" s="1"/>
  <c r="AM55" i="1"/>
  <c r="O55" i="1" s="1"/>
  <c r="AM85" i="1"/>
  <c r="O85" i="1" s="1"/>
  <c r="AM73" i="1"/>
  <c r="O73" i="1" s="1"/>
  <c r="AM61" i="1"/>
  <c r="O61" i="1" s="1"/>
  <c r="AM49" i="1"/>
  <c r="O49" i="1" s="1"/>
  <c r="AM37" i="1"/>
  <c r="O37" i="1" s="1"/>
  <c r="AM25" i="1"/>
  <c r="O25" i="1" s="1"/>
  <c r="AM13" i="1"/>
  <c r="O13" i="1" s="1"/>
  <c r="AM68" i="1"/>
  <c r="O68" i="1" s="1"/>
  <c r="AM84" i="1"/>
  <c r="O84" i="1" s="1"/>
  <c r="AM72" i="1"/>
  <c r="O72" i="1" s="1"/>
  <c r="AM60" i="1"/>
  <c r="O60" i="1" s="1"/>
  <c r="AM48" i="1"/>
  <c r="O48" i="1" s="1"/>
  <c r="AM36" i="1"/>
  <c r="O36" i="1" s="1"/>
  <c r="AM24" i="1"/>
  <c r="O24" i="1" s="1"/>
  <c r="AM12" i="1"/>
  <c r="O12" i="1" s="1"/>
  <c r="AM11" i="1"/>
  <c r="O11" i="1" s="1"/>
  <c r="AM80" i="1"/>
  <c r="O80" i="1" s="1"/>
  <c r="AM67" i="1"/>
  <c r="O67" i="1" s="1"/>
  <c r="AM95" i="1"/>
  <c r="O95" i="1" s="1"/>
  <c r="AM83" i="1"/>
  <c r="O83" i="1" s="1"/>
  <c r="AM71" i="1"/>
  <c r="O71" i="1" s="1"/>
  <c r="AM59" i="1"/>
  <c r="O59" i="1" s="1"/>
  <c r="AM47" i="1"/>
  <c r="O47" i="1" s="1"/>
  <c r="AM35" i="1"/>
  <c r="O35" i="1" s="1"/>
  <c r="AM10" i="1"/>
  <c r="O10" i="1" s="1"/>
  <c r="AR18" i="1" s="1"/>
  <c r="AM44" i="1"/>
  <c r="O44" i="1" s="1"/>
  <c r="AM43" i="1"/>
  <c r="O43" i="1" s="1"/>
  <c r="AM94" i="1"/>
  <c r="O94" i="1" s="1"/>
  <c r="AM82" i="1"/>
  <c r="O82" i="1" s="1"/>
  <c r="AM70" i="1"/>
  <c r="O70" i="1" s="1"/>
  <c r="AM58" i="1"/>
  <c r="O58" i="1" s="1"/>
  <c r="AM34" i="1"/>
  <c r="O34" i="1" s="1"/>
  <c r="AM22" i="1"/>
  <c r="O22" i="1" s="1"/>
  <c r="AM19" i="1"/>
  <c r="O19" i="1" s="1"/>
  <c r="AM81" i="1"/>
  <c r="O81" i="1" s="1"/>
  <c r="AM69" i="1"/>
  <c r="O69" i="1" s="1"/>
  <c r="AM57" i="1"/>
  <c r="O57" i="1" s="1"/>
  <c r="AM33" i="1"/>
  <c r="O33" i="1" s="1"/>
  <c r="AM9" i="1"/>
  <c r="O9" i="1" s="1"/>
  <c r="AN4" i="1"/>
  <c r="AO4" i="1" s="1"/>
  <c r="AN5" i="1"/>
  <c r="AO5" i="1" s="1"/>
  <c r="S5" i="1" s="1"/>
  <c r="AN16" i="1"/>
  <c r="AP16" i="1" s="1"/>
  <c r="AN18" i="1"/>
  <c r="AP18" i="1" s="1"/>
  <c r="T18" i="1" s="1"/>
  <c r="AN19" i="1"/>
  <c r="AP19" i="1" s="1"/>
  <c r="T19" i="1" s="1"/>
  <c r="AN21" i="1"/>
  <c r="AO21" i="1" s="1"/>
  <c r="S21" i="1" s="1"/>
  <c r="AN23" i="1"/>
  <c r="AP23" i="1" s="1"/>
  <c r="T23" i="1" s="1"/>
  <c r="AN28" i="1"/>
  <c r="AP28" i="1" s="1"/>
  <c r="AN40" i="1"/>
  <c r="AP40" i="1" s="1"/>
  <c r="AN42" i="1"/>
  <c r="AN45" i="1"/>
  <c r="AO45" i="1" s="1"/>
  <c r="S45" i="1" s="1"/>
  <c r="AN52" i="1"/>
  <c r="AP52" i="1" s="1"/>
  <c r="AN55" i="1"/>
  <c r="AO55" i="1" s="1"/>
  <c r="S55" i="1" s="1"/>
  <c r="AN59" i="1"/>
  <c r="AO59" i="1" s="1"/>
  <c r="S59" i="1" s="1"/>
  <c r="AN61" i="1"/>
  <c r="AP61" i="1" s="1"/>
  <c r="AN74" i="1"/>
  <c r="AN82" i="1"/>
  <c r="AN83" i="1"/>
  <c r="AN86" i="1"/>
  <c r="AN87" i="1"/>
  <c r="AN88" i="1"/>
  <c r="AN89" i="1"/>
  <c r="AN90" i="1"/>
  <c r="AN91" i="1"/>
  <c r="AN92" i="1"/>
  <c r="AN93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43" i="1"/>
  <c r="AN70" i="1"/>
  <c r="AN44" i="1"/>
  <c r="AO44" i="1" s="1"/>
  <c r="S44" i="1" s="1"/>
  <c r="AN14" i="1"/>
  <c r="AN30" i="1"/>
  <c r="AO30" i="1" s="1"/>
  <c r="AN11" i="1"/>
  <c r="AP11" i="1" s="1"/>
  <c r="T11" i="1" s="1"/>
  <c r="AN26" i="1"/>
  <c r="AP26" i="1" s="1"/>
  <c r="AN54" i="1"/>
  <c r="AO54" i="1" s="1"/>
  <c r="S54" i="1" s="1"/>
  <c r="AN62" i="1"/>
  <c r="AN71" i="1"/>
  <c r="AN38" i="1"/>
  <c r="AN32" i="1"/>
  <c r="AN72" i="1"/>
  <c r="AN56" i="1"/>
  <c r="AP56" i="1" s="1"/>
  <c r="AN68" i="1"/>
  <c r="AN80" i="1"/>
  <c r="AN22" i="1"/>
  <c r="AO22" i="1" s="1"/>
  <c r="AN34" i="1"/>
  <c r="AO34" i="1" s="1"/>
  <c r="AN46" i="1"/>
  <c r="AP46" i="1" s="1"/>
  <c r="AN66" i="1"/>
  <c r="AN78" i="1"/>
  <c r="AN12" i="1"/>
  <c r="AO12" i="1" s="1"/>
  <c r="AN64" i="1"/>
  <c r="AN76" i="1"/>
  <c r="AN24" i="1"/>
  <c r="AO24" i="1" s="1"/>
  <c r="AN37" i="1"/>
  <c r="AP37" i="1" s="1"/>
  <c r="AN49" i="1"/>
  <c r="AP49" i="1" s="1"/>
  <c r="AN15" i="1"/>
  <c r="AP15" i="1" s="1"/>
  <c r="AN27" i="1"/>
  <c r="AN67" i="1"/>
  <c r="AN79" i="1"/>
  <c r="AN17" i="1"/>
  <c r="AN29" i="1"/>
  <c r="AO29" i="1" s="1"/>
  <c r="AN53" i="1"/>
  <c r="AN20" i="1" l="1"/>
  <c r="AN60" i="1"/>
  <c r="AO60" i="1" s="1"/>
  <c r="S60" i="1" s="1"/>
  <c r="AN9" i="1"/>
  <c r="AP9" i="1" s="1"/>
  <c r="AP21" i="1"/>
  <c r="T21" i="1" s="1"/>
  <c r="AN75" i="1"/>
  <c r="AN84" i="1"/>
  <c r="AN58" i="1"/>
  <c r="AR29" i="1"/>
  <c r="AP20" i="1"/>
  <c r="T20" i="1" s="1"/>
  <c r="AN77" i="1"/>
  <c r="AO23" i="1"/>
  <c r="S23" i="1" s="1"/>
  <c r="AN48" i="1"/>
  <c r="AP48" i="1" s="1"/>
  <c r="T48" i="1" s="1"/>
  <c r="AR12" i="1"/>
  <c r="AR31" i="1"/>
  <c r="AR39" i="1"/>
  <c r="AR10" i="1"/>
  <c r="AR62" i="1"/>
  <c r="AR7" i="1"/>
  <c r="AR46" i="1"/>
  <c r="AR20" i="1"/>
  <c r="AR50" i="1"/>
  <c r="AR61" i="1"/>
  <c r="AR64" i="1"/>
  <c r="AR26" i="1"/>
  <c r="AR52" i="1"/>
  <c r="AR54" i="1"/>
  <c r="AN39" i="1"/>
  <c r="AR68" i="1"/>
  <c r="AR59" i="1"/>
  <c r="AN33" i="1"/>
  <c r="AN85" i="1"/>
  <c r="AN65" i="1"/>
  <c r="AN81" i="1"/>
  <c r="AP81" i="1" s="1"/>
  <c r="AR49" i="1"/>
  <c r="AR15" i="1"/>
  <c r="AR35" i="1"/>
  <c r="AR27" i="1"/>
  <c r="AR65" i="1"/>
  <c r="AR19" i="1"/>
  <c r="AR37" i="1"/>
  <c r="AR9" i="1"/>
  <c r="AR22" i="1"/>
  <c r="AR14" i="1"/>
  <c r="AR53" i="1"/>
  <c r="AR24" i="1"/>
  <c r="AR40" i="1"/>
  <c r="AR16" i="1"/>
  <c r="AN57" i="1"/>
  <c r="AP57" i="1" s="1"/>
  <c r="T57" i="1" s="1"/>
  <c r="AN41" i="1"/>
  <c r="AO41" i="1" s="1"/>
  <c r="AN94" i="1"/>
  <c r="AR25" i="1"/>
  <c r="AR51" i="1"/>
  <c r="AR57" i="1"/>
  <c r="AR23" i="1"/>
  <c r="AR41" i="1"/>
  <c r="AR43" i="1"/>
  <c r="AR11" i="1"/>
  <c r="AN10" i="1"/>
  <c r="AO10" i="1" s="1"/>
  <c r="AN63" i="1"/>
  <c r="AO63" i="1" s="1"/>
  <c r="S63" i="1" s="1"/>
  <c r="AR13" i="1"/>
  <c r="AR38" i="1"/>
  <c r="AR21" i="1"/>
  <c r="AR66" i="1"/>
  <c r="AR70" i="1"/>
  <c r="AR42" i="1"/>
  <c r="AR60" i="1"/>
  <c r="AR34" i="1"/>
  <c r="AR32" i="1"/>
  <c r="AR30" i="1"/>
  <c r="AR6" i="1"/>
  <c r="AR44" i="1"/>
  <c r="AR17" i="1"/>
  <c r="AR48" i="1"/>
  <c r="AR33" i="1"/>
  <c r="AR55" i="1"/>
  <c r="AO18" i="1"/>
  <c r="S18" i="1" s="1"/>
  <c r="T16" i="1"/>
  <c r="AO16" i="1"/>
  <c r="S16" i="1" s="1"/>
  <c r="T52" i="1"/>
  <c r="AO52" i="1"/>
  <c r="S52" i="1" s="1"/>
  <c r="AP74" i="1"/>
  <c r="T74" i="1" s="1"/>
  <c r="AP63" i="1"/>
  <c r="T63" i="1" s="1"/>
  <c r="AP45" i="1"/>
  <c r="T45" i="1" s="1"/>
  <c r="AP60" i="1"/>
  <c r="T60" i="1" s="1"/>
  <c r="AO11" i="1"/>
  <c r="S11" i="1" s="1"/>
  <c r="AO74" i="1"/>
  <c r="S74" i="1" s="1"/>
  <c r="AP33" i="1"/>
  <c r="AO28" i="1"/>
  <c r="S28" i="1" s="1"/>
  <c r="AP55" i="1"/>
  <c r="T55" i="1" s="1"/>
  <c r="AP5" i="1"/>
  <c r="T5" i="1" s="1"/>
  <c r="AP59" i="1"/>
  <c r="T59" i="1" s="1"/>
  <c r="AP42" i="1"/>
  <c r="T42" i="1" s="1"/>
  <c r="AO61" i="1"/>
  <c r="S61" i="1" s="1"/>
  <c r="AO19" i="1"/>
  <c r="S19" i="1" s="1"/>
  <c r="AO42" i="1"/>
  <c r="T40" i="1"/>
  <c r="T61" i="1"/>
  <c r="S42" i="1"/>
  <c r="T28" i="1"/>
  <c r="AO40" i="1"/>
  <c r="S40" i="1" s="1"/>
  <c r="S4" i="1"/>
  <c r="AP4" i="1"/>
  <c r="T4" i="1" s="1"/>
  <c r="AN7" i="1"/>
  <c r="AP7" i="1" s="1"/>
  <c r="AN13" i="1"/>
  <c r="AO13" i="1" s="1"/>
  <c r="S13" i="1" s="1"/>
  <c r="AP77" i="1"/>
  <c r="T77" i="1" s="1"/>
  <c r="AP65" i="1"/>
  <c r="T65" i="1" s="1"/>
  <c r="AP79" i="1"/>
  <c r="T79" i="1" s="1"/>
  <c r="AP67" i="1"/>
  <c r="T67" i="1" s="1"/>
  <c r="AP76" i="1"/>
  <c r="T76" i="1" s="1"/>
  <c r="AP64" i="1"/>
  <c r="T64" i="1" s="1"/>
  <c r="AO78" i="1"/>
  <c r="S78" i="1" s="1"/>
  <c r="AO66" i="1"/>
  <c r="S66" i="1" s="1"/>
  <c r="AO80" i="1"/>
  <c r="S80" i="1" s="1"/>
  <c r="AO68" i="1"/>
  <c r="S68" i="1" s="1"/>
  <c r="AP72" i="1"/>
  <c r="T72" i="1"/>
  <c r="AO71" i="1"/>
  <c r="S71" i="1" s="1"/>
  <c r="AP62" i="1"/>
  <c r="T62" i="1" s="1"/>
  <c r="AO75" i="1"/>
  <c r="S75" i="1" s="1"/>
  <c r="AO58" i="1"/>
  <c r="S58" i="1" s="1"/>
  <c r="AO70" i="1"/>
  <c r="S70" i="1" s="1"/>
  <c r="AP179" i="1"/>
  <c r="AO179" i="1"/>
  <c r="AP178" i="1"/>
  <c r="AO178" i="1"/>
  <c r="AP177" i="1"/>
  <c r="AO177" i="1"/>
  <c r="AP176" i="1"/>
  <c r="AO176" i="1"/>
  <c r="AP175" i="1"/>
  <c r="AO175" i="1"/>
  <c r="AP174" i="1"/>
  <c r="AO174" i="1"/>
  <c r="AP173" i="1"/>
  <c r="AO173" i="1"/>
  <c r="AP172" i="1"/>
  <c r="AO172" i="1"/>
  <c r="AP171" i="1"/>
  <c r="AO171" i="1"/>
  <c r="AP170" i="1"/>
  <c r="AO170" i="1"/>
  <c r="AP169" i="1"/>
  <c r="AO169" i="1"/>
  <c r="AP168" i="1"/>
  <c r="AO168" i="1"/>
  <c r="AP167" i="1"/>
  <c r="AO167" i="1"/>
  <c r="AP166" i="1"/>
  <c r="AO166" i="1"/>
  <c r="AP165" i="1"/>
  <c r="AO165" i="1"/>
  <c r="AP164" i="1"/>
  <c r="AO164" i="1"/>
  <c r="AP163" i="1"/>
  <c r="AO163" i="1"/>
  <c r="AP162" i="1"/>
  <c r="AO162" i="1"/>
  <c r="AP161" i="1"/>
  <c r="AO161" i="1"/>
  <c r="AP160" i="1"/>
  <c r="AO160" i="1"/>
  <c r="AP159" i="1"/>
  <c r="AO159" i="1"/>
  <c r="AP158" i="1"/>
  <c r="AO158" i="1"/>
  <c r="AP157" i="1"/>
  <c r="AO157" i="1"/>
  <c r="AP156" i="1"/>
  <c r="AO156" i="1"/>
  <c r="AP155" i="1"/>
  <c r="AO155" i="1"/>
  <c r="AP154" i="1"/>
  <c r="AO154" i="1"/>
  <c r="AP153" i="1"/>
  <c r="AO153" i="1"/>
  <c r="AP152" i="1"/>
  <c r="AO152" i="1"/>
  <c r="AP151" i="1"/>
  <c r="AO151" i="1"/>
  <c r="AP150" i="1"/>
  <c r="AO150" i="1"/>
  <c r="AP149" i="1"/>
  <c r="AO149" i="1"/>
  <c r="AP148" i="1"/>
  <c r="AO148" i="1"/>
  <c r="AP147" i="1"/>
  <c r="AO147" i="1"/>
  <c r="AP146" i="1"/>
  <c r="AO146" i="1"/>
  <c r="AP145" i="1"/>
  <c r="AO145" i="1"/>
  <c r="AP144" i="1"/>
  <c r="AO144" i="1"/>
  <c r="AP143" i="1"/>
  <c r="AO143" i="1"/>
  <c r="AP142" i="1"/>
  <c r="AO142" i="1"/>
  <c r="AP141" i="1"/>
  <c r="AO141" i="1"/>
  <c r="AP140" i="1"/>
  <c r="AO140" i="1"/>
  <c r="AP139" i="1"/>
  <c r="AO139" i="1"/>
  <c r="AP138" i="1"/>
  <c r="AO138" i="1"/>
  <c r="AP137" i="1"/>
  <c r="AO137" i="1"/>
  <c r="AP136" i="1"/>
  <c r="AO136" i="1"/>
  <c r="AP135" i="1"/>
  <c r="AO135" i="1"/>
  <c r="AP134" i="1"/>
  <c r="AO134" i="1"/>
  <c r="AP133" i="1"/>
  <c r="AO133" i="1"/>
  <c r="AP132" i="1"/>
  <c r="AO132" i="1"/>
  <c r="AP131" i="1"/>
  <c r="AO131" i="1"/>
  <c r="AP130" i="1"/>
  <c r="AO130" i="1"/>
  <c r="AP129" i="1"/>
  <c r="AO129" i="1"/>
  <c r="AP128" i="1"/>
  <c r="AO128" i="1"/>
  <c r="AP127" i="1"/>
  <c r="AO127" i="1"/>
  <c r="AP126" i="1"/>
  <c r="AO126" i="1"/>
  <c r="AP125" i="1"/>
  <c r="AO125" i="1"/>
  <c r="AP124" i="1"/>
  <c r="AO124" i="1"/>
  <c r="AP123" i="1"/>
  <c r="AO123" i="1"/>
  <c r="AP122" i="1"/>
  <c r="AO122" i="1"/>
  <c r="AP121" i="1"/>
  <c r="AO121" i="1"/>
  <c r="AP120" i="1"/>
  <c r="AO120" i="1"/>
  <c r="AP119" i="1"/>
  <c r="AO119" i="1"/>
  <c r="AP118" i="1"/>
  <c r="AO118" i="1"/>
  <c r="AP117" i="1"/>
  <c r="AO117" i="1"/>
  <c r="AP116" i="1"/>
  <c r="AO116" i="1"/>
  <c r="AP115" i="1"/>
  <c r="AO115" i="1"/>
  <c r="AP114" i="1"/>
  <c r="AO114" i="1"/>
  <c r="AP113" i="1"/>
  <c r="AO113" i="1"/>
  <c r="AP112" i="1"/>
  <c r="AO112" i="1"/>
  <c r="AP111" i="1"/>
  <c r="AO111" i="1"/>
  <c r="AP110" i="1"/>
  <c r="AO110" i="1"/>
  <c r="AP109" i="1"/>
  <c r="AO109" i="1"/>
  <c r="AP108" i="1"/>
  <c r="AO108" i="1"/>
  <c r="AP107" i="1"/>
  <c r="AO107" i="1"/>
  <c r="AP106" i="1"/>
  <c r="AO106" i="1"/>
  <c r="AP105" i="1"/>
  <c r="AO105" i="1"/>
  <c r="AP104" i="1"/>
  <c r="AO104" i="1"/>
  <c r="AP103" i="1"/>
  <c r="AO103" i="1"/>
  <c r="AP102" i="1"/>
  <c r="AO102" i="1"/>
  <c r="AP101" i="1"/>
  <c r="AO101" i="1"/>
  <c r="AP100" i="1"/>
  <c r="AO100" i="1"/>
  <c r="AP99" i="1"/>
  <c r="AO99" i="1"/>
  <c r="AP98" i="1"/>
  <c r="AO98" i="1"/>
  <c r="AP97" i="1"/>
  <c r="AO97" i="1"/>
  <c r="AP96" i="1"/>
  <c r="AO96" i="1"/>
  <c r="AP95" i="1"/>
  <c r="T95" i="1" s="1"/>
  <c r="AO95" i="1"/>
  <c r="S95" i="1" s="1"/>
  <c r="AP94" i="1"/>
  <c r="T94" i="1" s="1"/>
  <c r="AO94" i="1"/>
  <c r="S94" i="1" s="1"/>
  <c r="AP93" i="1"/>
  <c r="T93" i="1" s="1"/>
  <c r="AO93" i="1"/>
  <c r="S93" i="1" s="1"/>
  <c r="AP92" i="1"/>
  <c r="T92" i="1" s="1"/>
  <c r="AO92" i="1"/>
  <c r="S92" i="1" s="1"/>
  <c r="AP91" i="1"/>
  <c r="T91" i="1" s="1"/>
  <c r="AO91" i="1"/>
  <c r="S91" i="1" s="1"/>
  <c r="AP90" i="1"/>
  <c r="T90" i="1" s="1"/>
  <c r="AO90" i="1"/>
  <c r="S90" i="1" s="1"/>
  <c r="AP89" i="1"/>
  <c r="T89" i="1" s="1"/>
  <c r="AO89" i="1"/>
  <c r="S89" i="1" s="1"/>
  <c r="AP88" i="1"/>
  <c r="T88" i="1" s="1"/>
  <c r="AO88" i="1"/>
  <c r="S88" i="1" s="1"/>
  <c r="AP87" i="1"/>
  <c r="T87" i="1" s="1"/>
  <c r="AO87" i="1"/>
  <c r="S87" i="1" s="1"/>
  <c r="AP86" i="1"/>
  <c r="T86" i="1" s="1"/>
  <c r="AO86" i="1"/>
  <c r="S86" i="1" s="1"/>
  <c r="AP85" i="1"/>
  <c r="T85" i="1" s="1"/>
  <c r="AO85" i="1"/>
  <c r="S85" i="1" s="1"/>
  <c r="AP84" i="1"/>
  <c r="T84" i="1" s="1"/>
  <c r="AO84" i="1"/>
  <c r="S84" i="1" s="1"/>
  <c r="AP83" i="1"/>
  <c r="T83" i="1" s="1"/>
  <c r="AO83" i="1"/>
  <c r="S83" i="1" s="1"/>
  <c r="AP82" i="1"/>
  <c r="T82" i="1" s="1"/>
  <c r="AO82" i="1"/>
  <c r="S82" i="1" s="1"/>
  <c r="AP66" i="1"/>
  <c r="T66" i="1" s="1"/>
  <c r="AP54" i="1"/>
  <c r="T54" i="1" s="1"/>
  <c r="AP75" i="1"/>
  <c r="T75" i="1" s="1"/>
  <c r="AO67" i="1"/>
  <c r="S67" i="1" s="1"/>
  <c r="AP22" i="1"/>
  <c r="T22" i="1" s="1"/>
  <c r="AO9" i="1"/>
  <c r="AO76" i="1"/>
  <c r="S76" i="1" s="1"/>
  <c r="AP44" i="1"/>
  <c r="T44" i="1" s="1"/>
  <c r="AO79" i="1"/>
  <c r="S79" i="1" s="1"/>
  <c r="T43" i="1"/>
  <c r="AP43" i="1"/>
  <c r="AO33" i="1"/>
  <c r="S33" i="1" s="1"/>
  <c r="AO43" i="1"/>
  <c r="S43" i="1" s="1"/>
  <c r="AP38" i="1"/>
  <c r="T38" i="1" s="1"/>
  <c r="AP34" i="1"/>
  <c r="T34" i="1" s="1"/>
  <c r="AO14" i="1"/>
  <c r="S14" i="1"/>
  <c r="AP70" i="1"/>
  <c r="T70" i="1" s="1"/>
  <c r="S30" i="1"/>
  <c r="AN31" i="1"/>
  <c r="AO31" i="1" s="1"/>
  <c r="AP71" i="1"/>
  <c r="T71" i="1" s="1"/>
  <c r="AP58" i="1"/>
  <c r="T58" i="1" s="1"/>
  <c r="T26" i="1"/>
  <c r="AO62" i="1"/>
  <c r="S62" i="1" s="1"/>
  <c r="AO65" i="1"/>
  <c r="S65" i="1" s="1"/>
  <c r="AP78" i="1"/>
  <c r="T78" i="1" s="1"/>
  <c r="AO72" i="1"/>
  <c r="S72" i="1" s="1"/>
  <c r="AO26" i="1"/>
  <c r="S26" i="1" s="1"/>
  <c r="AO32" i="1"/>
  <c r="S32" i="1" s="1"/>
  <c r="AP32" i="1"/>
  <c r="T32" i="1" s="1"/>
  <c r="AO38" i="1"/>
  <c r="S38" i="1" s="1"/>
  <c r="AP14" i="1"/>
  <c r="T14" i="1" s="1"/>
  <c r="AP29" i="1"/>
  <c r="AP30" i="1"/>
  <c r="T30" i="1" s="1"/>
  <c r="T9" i="1"/>
  <c r="S9" i="1"/>
  <c r="AO27" i="1"/>
  <c r="S27" i="1" s="1"/>
  <c r="AP17" i="1"/>
  <c r="T17" i="1" s="1"/>
  <c r="AN69" i="1"/>
  <c r="T29" i="1"/>
  <c r="S29" i="1"/>
  <c r="AO64" i="1"/>
  <c r="S64" i="1" s="1"/>
  <c r="S24" i="1"/>
  <c r="AN73" i="1"/>
  <c r="AN8" i="1"/>
  <c r="AP8" i="1" s="1"/>
  <c r="AN47" i="1"/>
  <c r="AO47" i="1" s="1"/>
  <c r="AO56" i="1"/>
  <c r="S56" i="1" s="1"/>
  <c r="T56" i="1"/>
  <c r="AO17" i="1"/>
  <c r="S17" i="1" s="1"/>
  <c r="AP27" i="1"/>
  <c r="T27" i="1" s="1"/>
  <c r="AN6" i="1"/>
  <c r="AN50" i="1"/>
  <c r="AO50" i="1" s="1"/>
  <c r="T46" i="1"/>
  <c r="AP24" i="1"/>
  <c r="T24" i="1" s="1"/>
  <c r="AO77" i="1"/>
  <c r="S77" i="1" s="1"/>
  <c r="AN35" i="1"/>
  <c r="AP80" i="1"/>
  <c r="T80" i="1" s="1"/>
  <c r="S10" i="1"/>
  <c r="AO39" i="1"/>
  <c r="S39" i="1"/>
  <c r="AP10" i="1"/>
  <c r="T10" i="1" s="1"/>
  <c r="T49" i="1"/>
  <c r="S49" i="1"/>
  <c r="S34" i="1"/>
  <c r="AP68" i="1"/>
  <c r="T68" i="1" s="1"/>
  <c r="AP39" i="1"/>
  <c r="T39" i="1" s="1"/>
  <c r="AN36" i="1"/>
  <c r="AP36" i="1" s="1"/>
  <c r="AN25" i="1"/>
  <c r="S22" i="1"/>
  <c r="AP53" i="1"/>
  <c r="T53" i="1" s="1"/>
  <c r="AO53" i="1"/>
  <c r="S53" i="1" s="1"/>
  <c r="AO15" i="1"/>
  <c r="S15" i="1" s="1"/>
  <c r="T15" i="1"/>
  <c r="AN51" i="1"/>
  <c r="AP51" i="1" s="1"/>
  <c r="S41" i="1"/>
  <c r="AO49" i="1"/>
  <c r="T37" i="1"/>
  <c r="AO37" i="1"/>
  <c r="S37" i="1" s="1"/>
  <c r="S12" i="1"/>
  <c r="AP41" i="1"/>
  <c r="T41" i="1" s="1"/>
  <c r="AO46" i="1"/>
  <c r="S46" i="1" s="1"/>
  <c r="AP12" i="1"/>
  <c r="T12" i="1" s="1"/>
  <c r="AO48" i="1" l="1"/>
  <c r="S48" i="1" s="1"/>
  <c r="AO57" i="1"/>
  <c r="S57" i="1" s="1"/>
  <c r="AO20" i="1"/>
  <c r="S20" i="1"/>
  <c r="T81" i="1"/>
  <c r="T33" i="1"/>
  <c r="AO81" i="1"/>
  <c r="S81" i="1" s="1"/>
  <c r="AP13" i="1"/>
  <c r="T13" i="1" s="1"/>
  <c r="AO7" i="1"/>
  <c r="S7" i="1" s="1"/>
  <c r="T7" i="1"/>
  <c r="AO73" i="1"/>
  <c r="S73" i="1" s="1"/>
  <c r="AP69" i="1"/>
  <c r="T69" i="1" s="1"/>
  <c r="AP47" i="1"/>
  <c r="T47" i="1" s="1"/>
  <c r="AO36" i="1"/>
  <c r="S36" i="1" s="1"/>
  <c r="AP73" i="1"/>
  <c r="T73" i="1" s="1"/>
  <c r="AP31" i="1"/>
  <c r="T31" i="1" s="1"/>
  <c r="S31" i="1"/>
  <c r="S50" i="1"/>
  <c r="S47" i="1"/>
  <c r="AO25" i="1"/>
  <c r="S25" i="1" s="1"/>
  <c r="AP50" i="1"/>
  <c r="T50" i="1" s="1"/>
  <c r="AO69" i="1"/>
  <c r="S69" i="1" s="1"/>
  <c r="T51" i="1"/>
  <c r="AP25" i="1"/>
  <c r="T25" i="1" s="1"/>
  <c r="T8" i="1"/>
  <c r="AO51" i="1"/>
  <c r="S51" i="1" s="1"/>
  <c r="T36" i="1"/>
  <c r="AO35" i="1"/>
  <c r="S35" i="1" s="1"/>
  <c r="AO6" i="1"/>
  <c r="S6" i="1" s="1"/>
  <c r="AO8" i="1"/>
  <c r="S8" i="1" s="1"/>
  <c r="AP35" i="1"/>
  <c r="T35" i="1" s="1"/>
  <c r="AP6" i="1"/>
  <c r="T6" i="1" s="1"/>
  <c r="A4" i="1" l="1" a="1"/>
  <c r="A4" i="1" s="1"/>
  <c r="I38" i="1" l="1"/>
  <c r="I27" i="1"/>
  <c r="I51" i="1"/>
  <c r="I14" i="1"/>
  <c r="G1" i="1"/>
  <c r="I39" i="1"/>
  <c r="I4" i="1"/>
  <c r="I28" i="1"/>
  <c r="I52" i="1"/>
  <c r="I17" i="1"/>
  <c r="I53" i="1"/>
  <c r="I6" i="1"/>
  <c r="I30" i="1"/>
  <c r="I42" i="1"/>
  <c r="I7" i="1"/>
  <c r="I31" i="1"/>
  <c r="I55" i="1"/>
  <c r="I8" i="1"/>
  <c r="I32" i="1"/>
  <c r="I56" i="1"/>
  <c r="I9" i="1"/>
  <c r="I33" i="1"/>
  <c r="I45" i="1"/>
  <c r="I35" i="1"/>
  <c r="I26" i="1"/>
  <c r="I50" i="1"/>
  <c r="I62" i="1"/>
  <c r="I15" i="1"/>
  <c r="I63" i="1"/>
  <c r="I16" i="1"/>
  <c r="I40" i="1"/>
  <c r="I64" i="1"/>
  <c r="I5" i="1"/>
  <c r="I29" i="1"/>
  <c r="I41" i="1"/>
  <c r="I65" i="1"/>
  <c r="I18" i="1"/>
  <c r="I54" i="1"/>
  <c r="I66" i="1"/>
  <c r="I19" i="1"/>
  <c r="I43" i="1"/>
  <c r="I67" i="1"/>
  <c r="I20" i="1"/>
  <c r="I44" i="1"/>
  <c r="I68" i="1"/>
  <c r="I21" i="1"/>
  <c r="I57" i="1"/>
  <c r="I10" i="1"/>
  <c r="I34" i="1"/>
  <c r="I58" i="1"/>
  <c r="I11" i="1"/>
  <c r="I47" i="1"/>
  <c r="I59" i="1"/>
  <c r="I24" i="1"/>
  <c r="I48" i="1"/>
  <c r="I60" i="1"/>
  <c r="I71" i="1"/>
  <c r="H1" i="1"/>
  <c r="I22" i="1"/>
  <c r="I46" i="1"/>
  <c r="I69" i="1"/>
  <c r="I23" i="1"/>
  <c r="I70" i="1"/>
  <c r="I12" i="1"/>
  <c r="I36" i="1"/>
  <c r="I13" i="1"/>
  <c r="I25" i="1"/>
  <c r="I37" i="1"/>
  <c r="I49" i="1"/>
  <c r="I61" i="1"/>
  <c r="I7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<sst xmlns="http://schemas.openxmlformats.org/spreadsheetml/2006/main" count="1190" uniqueCount="452">
  <si>
    <t>최소/최대날짜:</t>
  </si>
  <si>
    <t>2단계정제(tier추가)</t>
  </si>
  <si>
    <t>매핑테이블1</t>
  </si>
  <si>
    <t>1단계정제</t>
  </si>
  <si>
    <t>고객파일(값붙/복붙)</t>
  </si>
  <si>
    <t>추후 매핑하기.</t>
    <phoneticPr fontId="1" type="noConversion"/>
  </si>
  <si>
    <t>O표시하면 제외시킵니다.</t>
  </si>
  <si>
    <t>추가작업분</t>
    <phoneticPr fontId="1" type="noConversion"/>
  </si>
  <si>
    <t>AU열(Subs명)의 변형 접미어를 제거한 정제값(하이픈연결sitecode를 제외처리)</t>
  </si>
  <si>
    <t>Z-AG의 각 site에 대응하는 AU열 조회 키 (3단계 우선순위)</t>
  </si>
  <si>
    <t>AM키로 AW열(Participation)을 가져옴</t>
  </si>
  <si>
    <t>AN = O 일 때만 AX열(Starts at)에서 날짜 or `TBC`를 가져옴</t>
    <phoneticPr fontId="1" type="noConversion"/>
  </si>
  <si>
    <t>AN = O 일 때만 AZ열(Ends at)에서 날짜 or `TBC`를 가져옴</t>
    <phoneticPr fontId="1" type="noConversion"/>
  </si>
  <si>
    <t>Region</t>
  </si>
  <si>
    <t>Period</t>
  </si>
  <si>
    <t>Note</t>
  </si>
  <si>
    <t>Tier</t>
  </si>
  <si>
    <t>RHQ</t>
  </si>
  <si>
    <t>Subs</t>
  </si>
  <si>
    <t>COUNTRY</t>
  </si>
  <si>
    <t>RS</t>
  </si>
  <si>
    <t>site_code</t>
  </si>
  <si>
    <t>start_date</t>
  </si>
  <si>
    <t>end_date</t>
  </si>
  <si>
    <t>end_date(컷)</t>
  </si>
  <si>
    <t>#</t>
  </si>
  <si>
    <t>SUBSIDIARY(법인)</t>
  </si>
  <si>
    <t>Country</t>
  </si>
  <si>
    <t>Site Code</t>
  </si>
  <si>
    <t>URL</t>
  </si>
  <si>
    <t>Shop Platform</t>
  </si>
  <si>
    <t>App 론치 (O/X)</t>
  </si>
  <si>
    <t>AR_clean</t>
  </si>
  <si>
    <t>AR_key</t>
  </si>
  <si>
    <t>Participation</t>
  </si>
  <si>
    <t>start_raw</t>
  </si>
  <si>
    <t>end_raw</t>
  </si>
  <si>
    <t>추후 매핑</t>
    <phoneticPr fontId="1" type="noConversion"/>
  </si>
  <si>
    <t>MENA</t>
  </si>
  <si>
    <t>UAE</t>
  </si>
  <si>
    <t>ae</t>
  </si>
  <si>
    <t>https://example.com/ae/</t>
  </si>
  <si>
    <t>HQ Shop - Hybris</t>
  </si>
  <si>
    <t>O</t>
  </si>
  <si>
    <t>Global</t>
  </si>
  <si>
    <t>PIC</t>
  </si>
  <si>
    <t>Starts at</t>
  </si>
  <si>
    <t>Ends at</t>
  </si>
  <si>
    <t>ae_ar</t>
  </si>
  <si>
    <t>https://example.com/ae_ar/</t>
  </si>
  <si>
    <t>N.America</t>
  </si>
  <si>
    <t>Total</t>
  </si>
  <si>
    <t>Africa</t>
  </si>
  <si>
    <t>Africa Pan</t>
  </si>
  <si>
    <t>africa_en</t>
  </si>
  <si>
    <t>https://example.com/africa_en/</t>
  </si>
  <si>
    <t>Non-shop</t>
  </si>
  <si>
    <t>X</t>
  </si>
  <si>
    <t>김철수</t>
  </si>
  <si>
    <t>W17</t>
  </si>
  <si>
    <t>W20</t>
  </si>
  <si>
    <t>africa_fr</t>
  </si>
  <si>
    <t>https://example.com/africa_fr/</t>
  </si>
  <si>
    <t>africa_pt</t>
  </si>
  <si>
    <t>https://example.com/africa_pt/</t>
  </si>
  <si>
    <t>EU</t>
  </si>
  <si>
    <t>Albania</t>
  </si>
  <si>
    <t>al</t>
  </si>
  <si>
    <t>https://example.com/al/</t>
  </si>
  <si>
    <t>W0</t>
  </si>
  <si>
    <t>MX 플래그십 런칭 집중 및 로컬 CE 캠페인 진행 예정</t>
  </si>
  <si>
    <t>LATAM</t>
  </si>
  <si>
    <t>Argentina</t>
  </si>
  <si>
    <t>ar</t>
  </si>
  <si>
    <t>https://example.com/ar/</t>
  </si>
  <si>
    <t>3rd Party Shop - Vtex</t>
  </si>
  <si>
    <t>Austria</t>
  </si>
  <si>
    <t>at</t>
  </si>
  <si>
    <t>https://example.com/at/</t>
  </si>
  <si>
    <t>W15</t>
  </si>
  <si>
    <t>Phase 1: VD Upgrade (09/03-22/03)
Phase 2: VD Pre-World Cup (27/04 – 17/05)
Phase 3: DX World Cup (08/06 – 28/06)</t>
  </si>
  <si>
    <t>SEAO</t>
  </si>
  <si>
    <t>Australia</t>
  </si>
  <si>
    <t>au</t>
  </si>
  <si>
    <t>https://example.com/au/</t>
  </si>
  <si>
    <t>W21</t>
  </si>
  <si>
    <t>W23</t>
  </si>
  <si>
    <t>CIS</t>
  </si>
  <si>
    <t>Azerbaijan</t>
  </si>
  <si>
    <t>az</t>
  </si>
  <si>
    <t>https://example.com/az/</t>
  </si>
  <si>
    <t>W18</t>
  </si>
  <si>
    <t>Bosnia</t>
  </si>
  <si>
    <t>ba</t>
  </si>
  <si>
    <t>https://example.com/ba/</t>
  </si>
  <si>
    <t>W19</t>
  </si>
  <si>
    <t>SWA</t>
  </si>
  <si>
    <t>Bangladesh</t>
  </si>
  <si>
    <t>bd</t>
  </si>
  <si>
    <t>https://example.com/bd/</t>
  </si>
  <si>
    <t>Belgium</t>
  </si>
  <si>
    <t>be</t>
  </si>
  <si>
    <t>https://example.com/be/</t>
  </si>
  <si>
    <t>be_fr</t>
  </si>
  <si>
    <t>https://example.com/be_fr/</t>
  </si>
  <si>
    <t>Bulgaria</t>
  </si>
  <si>
    <t>bg</t>
  </si>
  <si>
    <t>https://example.com/bg/</t>
  </si>
  <si>
    <t>Low contribution to sales and Mother’s day being in different periods in each country 
(Sweden: 31 May, Norway: 15 Feb, Denmark &amp; Finland: 10 May)</t>
  </si>
  <si>
    <t>Brazil</t>
  </si>
  <si>
    <t>br</t>
  </si>
  <si>
    <t>https://example.com/br/</t>
  </si>
  <si>
    <t>W10</t>
  </si>
  <si>
    <t>W11</t>
  </si>
  <si>
    <t>일정상 본사 캠페인 에셋 미리 전달받기를 희망</t>
  </si>
  <si>
    <t>NA</t>
  </si>
  <si>
    <t>Canada</t>
  </si>
  <si>
    <t>ca</t>
  </si>
  <si>
    <t>https://example.com/ca/</t>
  </si>
  <si>
    <t>ca_fr</t>
  </si>
  <si>
    <t>https://example.com/ca_fr/</t>
  </si>
  <si>
    <t>Switzerland</t>
  </si>
  <si>
    <t>ch</t>
  </si>
  <si>
    <t>https://example.com/ch/</t>
  </si>
  <si>
    <t>20.04. 9am to 11.05. 8:59am CET</t>
  </si>
  <si>
    <t>ch_fr</t>
  </si>
  <si>
    <t>https://example.com/ch_fr/</t>
  </si>
  <si>
    <t>Chile</t>
  </si>
  <si>
    <t>cl</t>
  </si>
  <si>
    <t>https://example.com/cl/</t>
  </si>
  <si>
    <t>CN</t>
  </si>
  <si>
    <t>China</t>
  </si>
  <si>
    <t>cn</t>
  </si>
  <si>
    <t>https://example.com.cn</t>
  </si>
  <si>
    <t>Mother’s Day is not representative holiday in SEAD.</t>
  </si>
  <si>
    <t>Colombia</t>
  </si>
  <si>
    <t>co</t>
  </si>
  <si>
    <t>https://example.com/co/</t>
  </si>
  <si>
    <t>Czech</t>
  </si>
  <si>
    <t>cz</t>
  </si>
  <si>
    <t>https://example.com/cz/</t>
  </si>
  <si>
    <t>Germany</t>
  </si>
  <si>
    <t>de</t>
  </si>
  <si>
    <t>https://example.com/de/</t>
  </si>
  <si>
    <t>L.America</t>
  </si>
  <si>
    <t>Denmark</t>
  </si>
  <si>
    <t>dk</t>
  </si>
  <si>
    <t>https://example.com/dk/</t>
  </si>
  <si>
    <t>Estonia</t>
  </si>
  <si>
    <t>ee</t>
  </si>
  <si>
    <t>https://example.com/ee/</t>
  </si>
  <si>
    <t>Egypt</t>
  </si>
  <si>
    <t>eg</t>
  </si>
  <si>
    <t>https://example.com/eg/</t>
  </si>
  <si>
    <t>Spain</t>
  </si>
  <si>
    <t>es</t>
  </si>
  <si>
    <t>https://example.com/es/</t>
  </si>
  <si>
    <t>Finland</t>
  </si>
  <si>
    <t>fi</t>
  </si>
  <si>
    <t>https://example.com/fi/</t>
  </si>
  <si>
    <t>W41</t>
  </si>
  <si>
    <t>W43</t>
  </si>
  <si>
    <t>아르헨티나 마더스데이는 10월에 있음</t>
  </si>
  <si>
    <t>France</t>
  </si>
  <si>
    <t>fr</t>
  </si>
  <si>
    <t>https://example.com/fr/</t>
  </si>
  <si>
    <t>Georgia</t>
  </si>
  <si>
    <t>ge</t>
  </si>
  <si>
    <t>https://example.com/ge/</t>
  </si>
  <si>
    <t>Greece</t>
  </si>
  <si>
    <t>gr</t>
  </si>
  <si>
    <t>https://example.com/gr/</t>
  </si>
  <si>
    <t>S.E.Asia</t>
  </si>
  <si>
    <t>Hong Kong</t>
  </si>
  <si>
    <t>hk</t>
  </si>
  <si>
    <t>https://example.com/hk/</t>
  </si>
  <si>
    <t>hk_en</t>
  </si>
  <si>
    <t>https://example.com/hk_en/</t>
  </si>
  <si>
    <t>W16</t>
  </si>
  <si>
    <t>Croatia</t>
  </si>
  <si>
    <t>hr</t>
  </si>
  <si>
    <t>https://example.com/hr/</t>
  </si>
  <si>
    <t>SEIN celebrates Mother's day on 22-Dec</t>
  </si>
  <si>
    <t>Hungary</t>
  </si>
  <si>
    <t>hu</t>
  </si>
  <si>
    <t>https://example.com/hu/</t>
  </si>
  <si>
    <t>Indonesia</t>
  </si>
  <si>
    <t>id</t>
  </si>
  <si>
    <t>https://example.com/id/</t>
  </si>
  <si>
    <t>Ireland</t>
  </si>
  <si>
    <t>ie</t>
  </si>
  <si>
    <t>https://example.com/ie/</t>
  </si>
  <si>
    <t>3rd Party Shop - Holbi</t>
  </si>
  <si>
    <t>W33</t>
  </si>
  <si>
    <t>TSE will plan the campaign during Local Mother's day i.e., August 12th  instead of Global</t>
  </si>
  <si>
    <t>Israel</t>
  </si>
  <si>
    <t>il</t>
  </si>
  <si>
    <t>https://example.com/il/</t>
  </si>
  <si>
    <t>W27</t>
  </si>
  <si>
    <t>Timeline TBD, SME will be running Parent's Day campaign (1 May - 30 June) leveraging HQ assets</t>
  </si>
  <si>
    <t>India</t>
  </si>
  <si>
    <t>in</t>
  </si>
  <si>
    <t>https://example.com/in/</t>
  </si>
  <si>
    <t>HQ Shop - GPv2</t>
  </si>
  <si>
    <t>Due to budget limitations - SESP has decided to hold all one-company campaigns.</t>
  </si>
  <si>
    <t>Iraq</t>
  </si>
  <si>
    <t>iq_ar</t>
  </si>
  <si>
    <t>https://example.com/iq_ar/</t>
  </si>
  <si>
    <t>S.W.Asia</t>
  </si>
  <si>
    <t>iq_ku</t>
  </si>
  <si>
    <t>https://example.com/iq_ku/</t>
  </si>
  <si>
    <t>Corp-IR</t>
  </si>
  <si>
    <t>iran</t>
  </si>
  <si>
    <t>https://example.com/iran/</t>
  </si>
  <si>
    <t>Italy</t>
  </si>
  <si>
    <t>it</t>
  </si>
  <si>
    <t>https://example.com/it/</t>
  </si>
  <si>
    <t>TBC</t>
  </si>
  <si>
    <t>Will be integrated in Eid campaign (in March)</t>
  </si>
  <si>
    <t>Japan</t>
  </si>
  <si>
    <t>jp</t>
  </si>
  <si>
    <t>https://example.com/jp/</t>
  </si>
  <si>
    <t>Kazakhstan</t>
  </si>
  <si>
    <t>kz_kz</t>
  </si>
  <si>
    <t>https://example.com/kz_kz/</t>
  </si>
  <si>
    <t>kz_ru</t>
  </si>
  <si>
    <t>https://example.com/kz_ru/</t>
  </si>
  <si>
    <t>JO: currently running in Jordan for CE (Feb-March)
IQ: Will run Mother's Day campaign instead of Eid (in March)</t>
  </si>
  <si>
    <t>Panama</t>
  </si>
  <si>
    <t>latin</t>
  </si>
  <si>
    <t>https://example.com/latin/</t>
  </si>
  <si>
    <t>3rd Party Shop - Magento</t>
  </si>
  <si>
    <t>latin_en</t>
  </si>
  <si>
    <t>https://example.com/latin_en/</t>
  </si>
  <si>
    <t>Will integrate Mother's Day with Eid (in March)</t>
  </si>
  <si>
    <t>Lebanon</t>
  </si>
  <si>
    <t>lb</t>
  </si>
  <si>
    <t>https://example.com/lb/</t>
  </si>
  <si>
    <t>Jordan</t>
  </si>
  <si>
    <t>levant</t>
  </si>
  <si>
    <t>https://example.com/levant/</t>
  </si>
  <si>
    <t>SEPAK will run campaign as per international dates around May 11th</t>
  </si>
  <si>
    <t>levant_ar</t>
  </si>
  <si>
    <t>https://example.com/levant_ar/</t>
  </si>
  <si>
    <t>Netherlands</t>
  </si>
  <si>
    <t>nl</t>
  </si>
  <si>
    <t>https://example.com/nl/</t>
  </si>
  <si>
    <t>Norway</t>
  </si>
  <si>
    <t>no</t>
  </si>
  <si>
    <t>https://example.com/no/</t>
  </si>
  <si>
    <t>New Zealand</t>
  </si>
  <si>
    <t>nz</t>
  </si>
  <si>
    <t>https://example.com/nz/</t>
  </si>
  <si>
    <t>Peru</t>
  </si>
  <si>
    <t>pe</t>
  </si>
  <si>
    <t>https://example.com/pe/</t>
  </si>
  <si>
    <t>Philippines</t>
  </si>
  <si>
    <t>ph</t>
  </si>
  <si>
    <t>https://example.com/ph/</t>
  </si>
  <si>
    <t>Pakistan</t>
  </si>
  <si>
    <t>pk</t>
  </si>
  <si>
    <t>https://example.com/pk/</t>
  </si>
  <si>
    <t>Poland</t>
  </si>
  <si>
    <t>pl</t>
  </si>
  <si>
    <t>https://example.com/pl/</t>
  </si>
  <si>
    <t>Palestine</t>
  </si>
  <si>
    <t>ps</t>
  </si>
  <si>
    <t>https://example.com/ps/</t>
  </si>
  <si>
    <t>6.18 Shopping Festival과 일정 중첩 (5/1~6/22) 되어, 두개 캠페인 결합하여 운영 예정 (상세 계획 TBD)</t>
  </si>
  <si>
    <t>Portugal</t>
  </si>
  <si>
    <t>pt</t>
  </si>
  <si>
    <t>https://example.com/pt/</t>
  </si>
  <si>
    <t>Paraguay</t>
  </si>
  <si>
    <t>py</t>
  </si>
  <si>
    <t>https://example.com/py/</t>
  </si>
  <si>
    <t>Romania</t>
  </si>
  <si>
    <t>ro</t>
  </si>
  <si>
    <t>https://example.com/ro/</t>
  </si>
  <si>
    <t>Serbia</t>
  </si>
  <si>
    <t>rs</t>
  </si>
  <si>
    <t>https://example.com/rs/</t>
  </si>
  <si>
    <t>동 시기 일본 Golden Week 캠페인 진행 (5월 초, 로컬 캠페인), 이후 Corp Week 진행예정</t>
  </si>
  <si>
    <t>Russia</t>
  </si>
  <si>
    <t>ru</t>
  </si>
  <si>
    <t>https://example.com/ru/</t>
  </si>
  <si>
    <t>Korea</t>
  </si>
  <si>
    <t>Saudi Arabia</t>
  </si>
  <si>
    <t>sa</t>
  </si>
  <si>
    <t>https://example.com/sa/</t>
  </si>
  <si>
    <t>장보고</t>
  </si>
  <si>
    <t>sa_en</t>
  </si>
  <si>
    <t>https://example.com/sa_en/</t>
  </si>
  <si>
    <t>Saudi Arabia (en)</t>
  </si>
  <si>
    <t>Sweden</t>
  </si>
  <si>
    <t>se</t>
  </si>
  <si>
    <t>https://example.com/se/</t>
  </si>
  <si>
    <t>sec</t>
  </si>
  <si>
    <t>https://example.com/sec/</t>
  </si>
  <si>
    <t>3rd Party Shop - IBM</t>
  </si>
  <si>
    <t>Singapore</t>
  </si>
  <si>
    <t>sg</t>
  </si>
  <si>
    <t>https://example.com/sg/</t>
  </si>
  <si>
    <t>Slovenia</t>
  </si>
  <si>
    <t>si</t>
  </si>
  <si>
    <t>https://example.com/si/</t>
  </si>
  <si>
    <t>Slovakia</t>
  </si>
  <si>
    <t>sk</t>
  </si>
  <si>
    <t>https://example.com/sk/</t>
  </si>
  <si>
    <t>Thailand</t>
  </si>
  <si>
    <t>th</t>
  </si>
  <si>
    <t>https://example.com/th/</t>
  </si>
  <si>
    <t>Turkey</t>
  </si>
  <si>
    <t>tr</t>
  </si>
  <si>
    <t>https://example.com/tr/</t>
  </si>
  <si>
    <t>Taiwan</t>
  </si>
  <si>
    <t>tw</t>
  </si>
  <si>
    <t>https://example.com/tw/</t>
  </si>
  <si>
    <t>Ukraine</t>
  </si>
  <si>
    <t>ua</t>
  </si>
  <si>
    <t>https://example.com/ua/</t>
  </si>
  <si>
    <t>UK</t>
  </si>
  <si>
    <t>uk</t>
  </si>
  <si>
    <t>https://example.com/uk/</t>
  </si>
  <si>
    <t>USA</t>
  </si>
  <si>
    <t>us</t>
  </si>
  <si>
    <t>https://example.com/us/</t>
  </si>
  <si>
    <t>US NEW</t>
  </si>
  <si>
    <t>Uruguay</t>
  </si>
  <si>
    <t>uy</t>
  </si>
  <si>
    <t>https://example.com/uy/</t>
  </si>
  <si>
    <t>Uzbekistan</t>
  </si>
  <si>
    <t>uz_ru</t>
  </si>
  <si>
    <t>https://example.com/uz_ru/</t>
  </si>
  <si>
    <t>Uzbekistan (Russian)</t>
  </si>
  <si>
    <t>uz_uz</t>
  </si>
  <si>
    <t>https://example.com/uz_uz/</t>
  </si>
  <si>
    <t>Vietnam</t>
  </si>
  <si>
    <t>vn</t>
  </si>
  <si>
    <t>https://example.com/vn/</t>
  </si>
  <si>
    <t>South Africa</t>
  </si>
  <si>
    <t>za</t>
  </si>
  <si>
    <t>https://example.com/za/</t>
  </si>
  <si>
    <t>App 구분</t>
  </si>
  <si>
    <t>Global Shop App</t>
  </si>
  <si>
    <t>UAE (ar)</t>
  </si>
  <si>
    <t>AFRICA (en)</t>
  </si>
  <si>
    <t>-</t>
  </si>
  <si>
    <t>AFRICA (fr)</t>
  </si>
  <si>
    <t>AFRICA (pt)</t>
  </si>
  <si>
    <t>Belgium(NL)</t>
  </si>
  <si>
    <t>Local App</t>
  </si>
  <si>
    <t>Canada (fr)</t>
  </si>
  <si>
    <t>Switzerland(FR)</t>
  </si>
  <si>
    <t>Hong Kong(en)</t>
  </si>
  <si>
    <t>Kurdistan</t>
  </si>
  <si>
    <t>Kazakhstan (Kazakh)</t>
  </si>
  <si>
    <t>Panama (Spanish)</t>
  </si>
  <si>
    <t>Panama (English)</t>
  </si>
  <si>
    <t>LEVANT</t>
  </si>
  <si>
    <t>LEVANT (ar)</t>
  </si>
  <si>
    <t>Lithuania</t>
  </si>
  <si>
    <t>lt</t>
  </si>
  <si>
    <t>https://example.com/lt/</t>
  </si>
  <si>
    <t>Latvia</t>
  </si>
  <si>
    <t>lv</t>
  </si>
  <si>
    <t>https://example.com/lv/</t>
  </si>
  <si>
    <t>Macedonia</t>
  </si>
  <si>
    <t>mk</t>
  </si>
  <si>
    <t>https://example.com/mk/</t>
  </si>
  <si>
    <t>Myanmar</t>
  </si>
  <si>
    <t>mm</t>
  </si>
  <si>
    <t>https://example.com/mm/</t>
  </si>
  <si>
    <t>Mongolia</t>
  </si>
  <si>
    <t>mn</t>
  </si>
  <si>
    <t>https://example.com/mn/</t>
  </si>
  <si>
    <t>Mexico</t>
  </si>
  <si>
    <t>mx</t>
  </si>
  <si>
    <t>https://example.com/mx/</t>
  </si>
  <si>
    <t>Malaysia</t>
  </si>
  <si>
    <t>my</t>
  </si>
  <si>
    <t>https://example.com/my/</t>
  </si>
  <si>
    <t>Morocco</t>
  </si>
  <si>
    <t>n_africa</t>
  </si>
  <si>
    <t>https://example.com/n_africa/</t>
  </si>
  <si>
    <t>North Africa</t>
  </si>
  <si>
    <t>subs사용 여부</t>
  </si>
  <si>
    <t>사용list(sort by tier)</t>
  </si>
  <si>
    <t>수기 제외여부</t>
    <phoneticPr fontId="1" type="noConversion"/>
  </si>
  <si>
    <t>EA</t>
  </si>
  <si>
    <t>CA</t>
  </si>
  <si>
    <t>UK-IE</t>
  </si>
  <si>
    <t>EG2</t>
  </si>
  <si>
    <t>EF</t>
  </si>
  <si>
    <t>EI</t>
  </si>
  <si>
    <t>IB-ES</t>
  </si>
  <si>
    <t>IB-PT</t>
  </si>
  <si>
    <t>BN-BE</t>
  </si>
  <si>
    <t>BN-NL</t>
  </si>
  <si>
    <t>ROM</t>
  </si>
  <si>
    <t>CZ</t>
  </si>
  <si>
    <t>POL</t>
  </si>
  <si>
    <t>AS-AT</t>
  </si>
  <si>
    <t>AS-CH</t>
  </si>
  <si>
    <t>EH</t>
  </si>
  <si>
    <t>AD</t>
  </si>
  <si>
    <t>EB</t>
  </si>
  <si>
    <t>UC</t>
  </si>
  <si>
    <t>DA</t>
  </si>
  <si>
    <t>EM</t>
  </si>
  <si>
    <t>CH</t>
  </si>
  <si>
    <t>COL</t>
  </si>
  <si>
    <t>ASA</t>
  </si>
  <si>
    <t>LA</t>
  </si>
  <si>
    <t>PR</t>
  </si>
  <si>
    <t>AU</t>
  </si>
  <si>
    <t>PCO</t>
  </si>
  <si>
    <t>IN</t>
  </si>
  <si>
    <t>NZ</t>
  </si>
  <si>
    <t>VNA</t>
  </si>
  <si>
    <t>TSE-TH</t>
  </si>
  <si>
    <t>ME</t>
  </si>
  <si>
    <t>SP</t>
  </si>
  <si>
    <t>IEL</t>
  </si>
  <si>
    <t>GE</t>
  </si>
  <si>
    <t>TK</t>
  </si>
  <si>
    <t>MAG</t>
  </si>
  <si>
    <t>LV</t>
  </si>
  <si>
    <t>SAR</t>
  </si>
  <si>
    <t>EG</t>
  </si>
  <si>
    <t>IL</t>
  </si>
  <si>
    <t>PAK</t>
  </si>
  <si>
    <t>CE</t>
  </si>
  <si>
    <t>SA (ZA)</t>
  </si>
  <si>
    <t>WA (Africa_EN)</t>
  </si>
  <si>
    <t>WA (Africa_FR)</t>
  </si>
  <si>
    <t>EEA</t>
  </si>
  <si>
    <t>CIC</t>
  </si>
  <si>
    <t>HK</t>
  </si>
  <si>
    <t>ET</t>
  </si>
  <si>
    <t>EJ</t>
  </si>
  <si>
    <t>WA</t>
  </si>
  <si>
    <t>AS</t>
  </si>
  <si>
    <t>RC</t>
  </si>
  <si>
    <t>BN</t>
  </si>
  <si>
    <t>EGS</t>
  </si>
  <si>
    <t>IB</t>
  </si>
  <si>
    <t>GR</t>
  </si>
  <si>
    <t>IR</t>
  </si>
  <si>
    <t>TSE</t>
  </si>
  <si>
    <t>EC</t>
  </si>
  <si>
    <t>UZ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</si>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</sst>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u/>
      <sz val="11"/>
      <color theme="1"/>
      <name val="맑은 고딕"/>
      <family val="2"/>
      <scheme val="minor"/>
    </font>
    <font>
      <b/>
      <u/>
      <sz val="11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u/>
      <sz val="11"/>
      <color theme="1"/>
      <name val="Malgun Gothic"/>
      <family val="3"/>
      <charset val="129"/>
    </font>
    <font>
      <sz val="11"/>
      <color rgb="FF0070C0"/>
      <name val="맑은 고딕"/>
      <family val="2"/>
      <scheme val="minor"/>
    </font>
    <font>
      <sz val="11"/>
      <color rgb="FF0070C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14" fontId="6" fillId="0" borderId="0" xfId="0" applyNumberFormat="1" applyFont="1" applyAlignment="1">
      <alignment wrapText="1"/>
    </xf>
    <xf numFmtId="14" fontId="2" fillId="0" borderId="0" xfId="0" applyNumberFormat="1" applyFont="1"/>
    <xf numFmtId="0" fontId="7" fillId="0" borderId="0" xfId="0" applyFont="1"/>
    <xf numFmtId="14" fontId="8" fillId="0" borderId="0" xfId="0" applyNumberFormat="1" applyFont="1"/>
    <xf numFmtId="0" fontId="8" fillId="0" borderId="0" xfId="0" applyFont="1"/>
    <xf numFmtId="14" fontId="9" fillId="0" borderId="0" xfId="0" applyNumberFormat="1" applyFont="1"/>
    <xf numFmtId="0" fontId="9" fillId="0" borderId="0" xfId="0" applyFont="1"/>
  </cellXfs>
  <cellStyles count="1">
    <cellStyle name="표준" xfId="0" builtinId="0"/>
  </cellStyles>
  <dxfs count="0"/>
  <tableStyles count="1" defaultTableStyle="TableStyleMedium2" defaultPivotStyle="PivotStyleMedium9">
    <tableStyle name="Invisible" pivot="0" table="0" count="0" xr9:uid="{D9933A2B-2BD8-434B-BC79-70FA695823B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00"/>
  <sheetViews>
    <sheetView tabSelected="1" zoomScale="70" zoomScaleNormal="70" workbookViewId="0">
      <pane ySplit="3" topLeftCell="A4" activePane="bottomLeft" state="frozen"/>
      <selection pane="bottomLeft" activeCell="A4" sqref="A4"/>
    </sheetView>
  </sheetViews>
  <sheetFormatPr defaultRowHeight="16.5" outlineLevelCol="1"/>
  <cols>
    <col min="2" max="2" width="7.125" bestFit="1" customWidth="1"/>
    <col min="3" max="3" width="8.5" bestFit="1" customWidth="1"/>
    <col min="4" max="4" width="12.25" bestFit="1" customWidth="1"/>
    <col min="5" max="5" width="16.25" bestFit="1" customWidth="1"/>
    <col min="6" max="6" width="8.875" bestFit="1" customWidth="1"/>
    <col min="7" max="8" width="11.625" style="1" bestFit="1" customWidth="1"/>
    <col min="9" max="9" width="12.625" style="10" bestFit="1" customWidth="1"/>
    <col min="10" max="10" width="9.625" style="1" bestFit="1" customWidth="1"/>
    <col min="14" max="14" width="9" customWidth="1" outlineLevel="1"/>
    <col min="15" max="15" width="17.125" customWidth="1" outlineLevel="1"/>
    <col min="16" max="16" width="12.25" customWidth="1" outlineLevel="1"/>
    <col min="17" max="17" width="18.625" customWidth="1" outlineLevel="1"/>
    <col min="18" max="18" width="8.875" customWidth="1" outlineLevel="1"/>
    <col min="19" max="20" width="11.625" style="1" customWidth="1" outlineLevel="1"/>
    <col min="21" max="21" width="9" customWidth="1" outlineLevel="1"/>
    <col min="22" max="25" width="2" customWidth="1" outlineLevel="1"/>
    <col min="27" max="28" width="9" customWidth="1" outlineLevel="1"/>
    <col min="29" max="29" width="10.5" customWidth="1" outlineLevel="1"/>
    <col min="30" max="34" width="9" customWidth="1" outlineLevel="1"/>
    <col min="35" max="37" width="1.5" customWidth="1" outlineLevel="1"/>
    <col min="39" max="39" width="16.75" customWidth="1" outlineLevel="1"/>
    <col min="40" max="40" width="9" customWidth="1" outlineLevel="1"/>
    <col min="41" max="42" width="11.625" style="1" customWidth="1" outlineLevel="1"/>
    <col min="43" max="43" width="1.875" customWidth="1" outlineLevel="1"/>
    <col min="44" max="44" width="9.25" bestFit="1" customWidth="1" outlineLevel="1"/>
    <col min="45" max="45" width="1.625" customWidth="1" outlineLevel="1"/>
    <col min="46" max="46" width="9" style="2"/>
    <col min="47" max="47" width="14.75" style="2" customWidth="1"/>
    <col min="48" max="49" width="9" style="2"/>
    <col min="50" max="50" width="11.625" style="8" bestFit="1" customWidth="1"/>
    <col min="51" max="51" width="9" style="2"/>
    <col min="52" max="52" width="11.625" style="8" bestFit="1" customWidth="1"/>
    <col min="53" max="54" width="9" style="2"/>
  </cols>
  <sheetData>
    <row r="1" spans="1:54">
      <c r="F1" t="s">
        <v>0</v>
      </c>
      <c r="G1" s="1" t="str">
        <f>TEXT(MIN(G4:G200),"yyyy-mm-dd")</f>
        <v>2026-03-04</v>
      </c>
      <c r="H1" s="1" t="str">
        <f>TEXT(MAX(H4:H200),"yyyy-mm-dd")</f>
        <v>2026-10-18</v>
      </c>
      <c r="M1" s="4" t="s">
        <v>1</v>
      </c>
      <c r="Z1" s="4" t="s">
        <v>2</v>
      </c>
      <c r="AL1" s="9" t="s">
        <v>3</v>
      </c>
      <c r="AT1" s="5" t="s">
        <v>4</v>
      </c>
    </row>
    <row r="2" spans="1:54" ht="51">
      <c r="A2" s="4" t="s">
        <v>386</v>
      </c>
      <c r="I2" s="10">
        <v>46152</v>
      </c>
      <c r="M2" s="3" t="s">
        <v>5</v>
      </c>
      <c r="U2" t="s">
        <v>6</v>
      </c>
      <c r="Z2" s="4"/>
      <c r="AH2" s="4" t="s">
        <v>7</v>
      </c>
      <c r="AL2" s="6" t="s">
        <v>8</v>
      </c>
      <c r="AM2" s="6" t="s">
        <v>9</v>
      </c>
      <c r="AN2" s="6" t="s">
        <v>10</v>
      </c>
      <c r="AO2" s="7" t="s">
        <v>11</v>
      </c>
      <c r="AP2" s="7" t="s">
        <v>12</v>
      </c>
      <c r="AT2" s="2" t="s">
        <v>13</v>
      </c>
      <c r="AU2" s="2" t="s">
        <v>14</v>
      </c>
      <c r="BB2" s="2" t="s">
        <v>15</v>
      </c>
    </row>
    <row r="3" spans="1:54">
      <c r="A3" t="s">
        <v>16</v>
      </c>
      <c r="B3" t="s">
        <v>17</v>
      </c>
      <c r="C3" t="s">
        <v>18</v>
      </c>
      <c r="D3" t="s">
        <v>19</v>
      </c>
      <c r="E3" t="s">
        <v>20</v>
      </c>
      <c r="F3" s="11" t="s">
        <v>21</v>
      </c>
      <c r="G3" s="12" t="s">
        <v>22</v>
      </c>
      <c r="H3" s="1" t="s">
        <v>23</v>
      </c>
      <c r="I3" s="10" t="s">
        <v>24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s="1" t="s">
        <v>22</v>
      </c>
      <c r="T3" s="1" t="s">
        <v>23</v>
      </c>
      <c r="U3" t="s">
        <v>387</v>
      </c>
      <c r="Z3" t="s">
        <v>25</v>
      </c>
      <c r="AA3" t="s">
        <v>17</v>
      </c>
      <c r="AB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20</v>
      </c>
      <c r="AI3" t="s">
        <v>342</v>
      </c>
      <c r="AL3" t="s">
        <v>32</v>
      </c>
      <c r="AM3" t="s">
        <v>33</v>
      </c>
      <c r="AN3" t="s">
        <v>34</v>
      </c>
      <c r="AO3" s="1" t="s">
        <v>35</v>
      </c>
      <c r="AP3" s="1" t="s">
        <v>36</v>
      </c>
      <c r="AR3" t="s">
        <v>385</v>
      </c>
    </row>
    <row r="4" spans="1:54">
      <c r="A4" t="str" cm="1">
        <f t="array" ref="A4:H79">_xlfn._xlws.SORT(_xlfn.UNIQUE(_xlfn._xlws.FILTER(M4:T200,(Q4:Q200&lt;&gt;"")*(S4:S200&lt;&gt;"")*(U4:U200&lt;&gt;"O"))),1,1)</f>
        <v>추후 매핑</v>
      </c>
      <c r="B4" t="str">
        <v>MENA</v>
      </c>
      <c r="C4" t="str">
        <v>GE</v>
      </c>
      <c r="D4" t="str">
        <v>UAE</v>
      </c>
      <c r="E4" t="str">
        <v>UAE</v>
      </c>
      <c r="F4" s="11" t="str">
        <v>ae</v>
      </c>
      <c r="G4" s="12" t="str">
        <v>TBC</v>
      </c>
      <c r="H4" s="1" t="str">
        <v>TBC</v>
      </c>
      <c r="I4" s="10" t="str">
        <f>IF(H4="","",IF(IF(H4&gt;I$2,I$2,H4)&lt;G4,"",IF(H4&gt;I$2,I$2,H4)))</f>
        <v/>
      </c>
      <c r="M4" t="s">
        <v>37</v>
      </c>
      <c r="N4" t="str">
        <f t="shared" ref="N4:N35" si="0">IF(ISBLANK(AD4),"",AA4)</f>
        <v>MENA</v>
      </c>
      <c r="O4" t="str">
        <f>IF(ISBLANK(AD4),"",IF(AM4="한총","SEC",IF(LEN(TRIM(AM4))=0,AB4,AM4)))</f>
        <v>GE</v>
      </c>
      <c r="P4" t="str">
        <f t="shared" ref="P4:P35" si="1">IF(ISBLANK(AD4),"",AC4)</f>
        <v>UAE</v>
      </c>
      <c r="Q4" t="str">
        <f t="shared" ref="Q4:Q35" si="2">IF(ISBLANK(AD4),"",AH4)</f>
        <v>UAE</v>
      </c>
      <c r="R4" t="str">
        <f t="shared" ref="R4:R35" si="3">IF(ISBLANK(Z4),"",AD4)</f>
        <v>ae</v>
      </c>
      <c r="S4" s="1" t="str">
        <f t="shared" ref="S4:S35" si="4">IF(ISBLANK(AD4),"",IF(AN4="X","X",AO4))</f>
        <v>TBC</v>
      </c>
      <c r="T4" s="1" t="str">
        <f t="shared" ref="T4:T35" si="5">IF(ISBLANK(AD4),"",IF(AN4="X","",AP4))</f>
        <v>TBC</v>
      </c>
      <c r="Z4">
        <v>1</v>
      </c>
      <c r="AA4" t="s">
        <v>38</v>
      </c>
      <c r="AB4" t="s">
        <v>423</v>
      </c>
      <c r="AC4" t="s">
        <v>39</v>
      </c>
      <c r="AD4" t="s">
        <v>40</v>
      </c>
      <c r="AE4" t="s">
        <v>41</v>
      </c>
      <c r="AF4" t="s">
        <v>42</v>
      </c>
      <c r="AG4" t="s">
        <v>43</v>
      </c>
      <c r="AH4" t="s">
        <v>39</v>
      </c>
      <c r="AI4" t="s">
        <v>343</v>
      </c>
      <c r="AL4" t="str">
        <f>IF(IF(OR(NOT(ISBLANK(AT4)),ISBLANK(AU4),AU4="Total"),"",IF(ISNUMBER(FIND("-",AU4)),LEFT(AU4,FIND("-",AU4)-1),IF(ISNUMBER(FIND(" ",AU4)),LEFT(AU4,FIND(" ",AU4)-1),AU4)))="한총","sec",IF(OR(NOT(ISBLANK(AT4)),ISBLANK(AU4),AU4="Total"),"",IF(ISNUMBER(FIND("-",AU4)),LEFT(AU4,FIND("-",AU4)-1),IF(ISNUMBER(FIND(" ",AU4)),LEFT(AU4,FIND(" ",AU4)-1),AU4))))</f>
        <v/>
      </c>
      <c r="AM4" t="str">
        <f>IF(ISBLANK(AD4),"",IF(COUNTIF($AU$4:$AU$200,AB4&amp;"-"&amp;UPPER(IF(ISNUMBER(FIND("_",AD4)),LEFT(AD4,FIND("_",AD4)-1),AD4)))&gt;0,AB4&amp;"-"&amp;UPPER(IF(ISNUMBER(FIND("_",AD4)),LEFT(AD4,FIND("_",AD4)-1),AD4)),IF(COUNTIF($AU$4:$AU$200,AB4&amp;" ("&amp;PROPER(LEFT(AD4,FIND("_",AD4)-1))&amp;"_"&amp;UPPER(MID(AD4,FIND("_",AD4)+1,20))&amp;")")&gt;0,AB4&amp;" ("&amp;PROPER(LEFT(AD4,FIND("_",AD4)-1))&amp;"_"&amp;UPPER(MID(AD4,FIND("_",AD4)+1,20))&amp;")",IF(COUNTIF($AU$4:$AU$200,AB4)&gt;0,AB4,IF(ISNUMBER(FIND("_",AD4)),"",IFERROR(INDEX($AU$4:$AU$200,MATCH(AB4,$AL$4:$AL$200,0)),IF(ISNUMBER(FIND("-",AB4)),IFERROR(INDEX($AU$4:$AU$200,MATCH(LEFT(AB4,FIND("-",AB4)-1),$AU$4:$AU$200,0)),""),IF(AB4="SCA",IF(RIGHT(AD4,3)="_fr",IFERROR(INDEX($AU$4:$AU$200,MATCH("SEWA (Africa_FR)",$AU$4:$AU$200,0)),""),IF(RIGHT(AD4,3)="_en",IFERROR(INDEX($AU$4:$AU$200,MATCH("SEWA (Africa_EN)",$AU$4:$AU$200,0)),""),"")),""))))))))</f>
        <v>GE</v>
      </c>
      <c r="AN4" t="str">
        <f t="shared" ref="AN4:AN35" si="6">IF(LEN(TRIM(AM4))=0,"",IFERROR(INDEX($AW$4:$AW$192,MATCH(AM4,$AU$4:$AU$192,0)),""))</f>
        <v>O</v>
      </c>
      <c r="AO4" s="1" t="str">
        <f t="shared" ref="AO4:AO35" si="7">IF(OR(LEN(TRIM(AM4))=0,AN4="X",AN4&lt;&gt;"O"),"",IFERROR(INDEX($AX$4:$AX$192,MATCH(AM4,$AU$4:$AU$192,0)),""))</f>
        <v>TBC</v>
      </c>
      <c r="AP4" s="1" t="str">
        <f t="shared" ref="AP4:AP35" si="8">IF(OR(LEN(TRIM(AM4))=0,AN4="X",AN4&lt;&gt;"O"),"",IFERROR(INDEX($AZ$4:$AZ$192,MATCH(AM4,$AU$4:$AU$192,0)),""))</f>
        <v>TBC</v>
      </c>
      <c r="AT4" s="2" t="s">
        <v>44</v>
      </c>
      <c r="AU4" s="2" t="s">
        <v>18</v>
      </c>
      <c r="AV4" s="2" t="s">
        <v>45</v>
      </c>
      <c r="AW4" s="2" t="s">
        <v>34</v>
      </c>
      <c r="AX4" s="8" t="s">
        <v>46</v>
      </c>
      <c r="AZ4" s="8" t="s">
        <v>47</v>
      </c>
    </row>
    <row r="5" spans="1:54">
      <c r="A5">
        <v>0</v>
      </c>
      <c r="B5" t="str">
        <v>MENA</v>
      </c>
      <c r="C5" t="str">
        <v>GE</v>
      </c>
      <c r="D5" t="str">
        <v>UAE</v>
      </c>
      <c r="E5" t="str">
        <v>UAE (ar)</v>
      </c>
      <c r="F5" s="11" t="str">
        <v>ae_ar</v>
      </c>
      <c r="G5" s="12" t="str">
        <v>TBC</v>
      </c>
      <c r="H5" s="1" t="str">
        <v>TBC</v>
      </c>
      <c r="I5" s="10" t="str">
        <f t="shared" ref="I5:I68" si="9">IF(H5="","",IF(IF(H5&gt;I$2,I$2,H5)&lt;G5,"",IF(H5&gt;I$2,I$2,H5)))</f>
        <v/>
      </c>
      <c r="N5" t="str">
        <f t="shared" si="0"/>
        <v>MENA</v>
      </c>
      <c r="O5" t="str">
        <f t="shared" ref="O5:O68" si="10">IF(ISBLANK(AD5),"",IF(AM5="한총","SEC",IF(LEN(TRIM(AM5))=0,AB5,AM5)))</f>
        <v>GE</v>
      </c>
      <c r="P5" t="str">
        <f t="shared" si="1"/>
        <v>UAE</v>
      </c>
      <c r="Q5" t="str">
        <f t="shared" si="2"/>
        <v>UAE (ar)</v>
      </c>
      <c r="R5" t="str">
        <f t="shared" si="3"/>
        <v>ae_ar</v>
      </c>
      <c r="S5" s="1" t="str">
        <f t="shared" si="4"/>
        <v>TBC</v>
      </c>
      <c r="T5" s="1" t="str">
        <f t="shared" si="5"/>
        <v>TBC</v>
      </c>
      <c r="Z5">
        <v>2</v>
      </c>
      <c r="AA5" t="s">
        <v>38</v>
      </c>
      <c r="AB5" t="s">
        <v>423</v>
      </c>
      <c r="AC5" t="s">
        <v>39</v>
      </c>
      <c r="AD5" t="s">
        <v>48</v>
      </c>
      <c r="AE5" t="s">
        <v>49</v>
      </c>
      <c r="AF5" t="s">
        <v>42</v>
      </c>
      <c r="AG5" t="s">
        <v>43</v>
      </c>
      <c r="AH5" t="s">
        <v>344</v>
      </c>
      <c r="AI5" t="s">
        <v>343</v>
      </c>
      <c r="AL5" t="str">
        <f t="shared" ref="AL5:AL68" si="11">IF(IF(OR(NOT(ISBLANK(AT5)),ISBLANK(AU5),AU5="Total"),"",IF(ISNUMBER(FIND("-",AU5)),LEFT(AU5,FIND("-",AU5)-1),IF(ISNUMBER(FIND(" ",AU5)),LEFT(AU5,FIND(" ",AU5)-1),AU5)))="한총","sec",IF(OR(NOT(ISBLANK(AT5)),ISBLANK(AU5),AU5="Total"),"",IF(ISNUMBER(FIND("-",AU5)),LEFT(AU5,FIND("-",AU5)-1),IF(ISNUMBER(FIND(" ",AU5)),LEFT(AU5,FIND(" ",AU5)-1),AU5))))</f>
        <v/>
      </c>
      <c r="AM5" t="str">
        <f t="shared" ref="AM5:AM68" si="12">IF(ISBLANK(AD5),"",IF(COUNTIF($AU$4:$AU$200,AB5&amp;"-"&amp;UPPER(IF(ISNUMBER(FIND("_",AD5)),LEFT(AD5,FIND("_",AD5)-1),AD5)))&gt;0,AB5&amp;"-"&amp;UPPER(IF(ISNUMBER(FIND("_",AD5)),LEFT(AD5,FIND("_",AD5)-1),AD5)),IF(COUNTIF($AU$4:$AU$200,AB5&amp;" ("&amp;PROPER(LEFT(AD5,FIND("_",AD5)-1))&amp;"_"&amp;UPPER(MID(AD5,FIND("_",AD5)+1,20))&amp;")")&gt;0,AB5&amp;" ("&amp;PROPER(LEFT(AD5,FIND("_",AD5)-1))&amp;"_"&amp;UPPER(MID(AD5,FIND("_",AD5)+1,20))&amp;")",IF(COUNTIF($AU$4:$AU$200,AB5)&gt;0,AB5,IF(ISNUMBER(FIND("_",AD5)),"",IFERROR(INDEX($AU$4:$AU$200,MATCH(AB5,$AL$4:$AL$200,0)),IF(ISNUMBER(FIND("-",AB5)),IFERROR(INDEX($AU$4:$AU$200,MATCH(LEFT(AB5,FIND("-",AB5)-1),$AU$4:$AU$200,0)),""),IF(AB5="SCA",IF(RIGHT(AD5,3)="_fr",IFERROR(INDEX($AU$4:$AU$200,MATCH("SEWA (Africa_FR)",$AU$4:$AU$200,0)),""),IF(RIGHT(AD5,3)="_en",IFERROR(INDEX($AU$4:$AU$200,MATCH("SEWA (Africa_EN)",$AU$4:$AU$200,0)),""),"")),""))))))))</f>
        <v>GE</v>
      </c>
      <c r="AN5" t="str">
        <f t="shared" si="6"/>
        <v>O</v>
      </c>
      <c r="AO5" s="1" t="str">
        <f t="shared" si="7"/>
        <v>TBC</v>
      </c>
      <c r="AP5" s="1" t="str">
        <f t="shared" si="8"/>
        <v>TBC</v>
      </c>
      <c r="AR5" t="str">
        <f t="shared" ref="AR5:AR36" si="13">IF((AU5="Total"),"",IF(COUNTIF($O$4:$O$191,IF(AU5="한총","SEC",AU5))&gt;0,"","사용 안됨"))</f>
        <v/>
      </c>
      <c r="AT5" s="2" t="s">
        <v>50</v>
      </c>
      <c r="AU5" s="2" t="s">
        <v>51</v>
      </c>
    </row>
    <row r="6" spans="1:54">
      <c r="A6">
        <v>0</v>
      </c>
      <c r="B6" t="str">
        <v>Africa</v>
      </c>
      <c r="C6" t="str">
        <v>WA (Africa_EN)</v>
      </c>
      <c r="D6" t="str">
        <v>Africa Pan</v>
      </c>
      <c r="E6" t="str">
        <v>AFRICA (en)</v>
      </c>
      <c r="F6" s="11" t="str">
        <v>africa_en</v>
      </c>
      <c r="G6" s="12">
        <v>46132</v>
      </c>
      <c r="H6" s="1">
        <v>46152</v>
      </c>
      <c r="I6" s="10">
        <f t="shared" si="9"/>
        <v>46152</v>
      </c>
      <c r="N6" t="str">
        <f t="shared" si="0"/>
        <v>Africa</v>
      </c>
      <c r="O6" t="str">
        <f t="shared" si="10"/>
        <v>WA (Africa_EN)</v>
      </c>
      <c r="P6" t="str">
        <f t="shared" si="1"/>
        <v>Africa Pan</v>
      </c>
      <c r="Q6" t="str">
        <f t="shared" si="2"/>
        <v>AFRICA (en)</v>
      </c>
      <c r="R6" t="str">
        <f t="shared" si="3"/>
        <v>africa_en</v>
      </c>
      <c r="S6" s="1">
        <f t="shared" si="4"/>
        <v>46132</v>
      </c>
      <c r="T6" s="1">
        <f t="shared" si="5"/>
        <v>46152</v>
      </c>
      <c r="Z6">
        <v>3</v>
      </c>
      <c r="AA6" t="s">
        <v>52</v>
      </c>
      <c r="AB6" t="s">
        <v>440</v>
      </c>
      <c r="AC6" t="s">
        <v>53</v>
      </c>
      <c r="AD6" t="s">
        <v>54</v>
      </c>
      <c r="AE6" t="s">
        <v>55</v>
      </c>
      <c r="AF6" t="s">
        <v>56</v>
      </c>
      <c r="AG6" t="s">
        <v>57</v>
      </c>
      <c r="AH6" t="s">
        <v>345</v>
      </c>
      <c r="AI6" t="s">
        <v>346</v>
      </c>
      <c r="AL6" t="str">
        <f t="shared" si="11"/>
        <v>EA</v>
      </c>
      <c r="AM6" t="str">
        <f t="shared" si="12"/>
        <v>WA (Africa_EN)</v>
      </c>
      <c r="AN6" t="str">
        <f t="shared" si="6"/>
        <v>O</v>
      </c>
      <c r="AO6" s="1">
        <f t="shared" si="7"/>
        <v>46132</v>
      </c>
      <c r="AP6" s="1">
        <f t="shared" si="8"/>
        <v>46152</v>
      </c>
      <c r="AR6" t="str">
        <f t="shared" si="13"/>
        <v/>
      </c>
      <c r="AU6" s="2" t="s">
        <v>388</v>
      </c>
      <c r="AV6" s="2" t="s">
        <v>58</v>
      </c>
      <c r="AW6" s="2" t="s">
        <v>43</v>
      </c>
      <c r="AX6" s="8">
        <v>46132</v>
      </c>
      <c r="AY6" s="2" t="s">
        <v>59</v>
      </c>
      <c r="AZ6" s="8">
        <v>46152</v>
      </c>
      <c r="BA6" s="2" t="s">
        <v>60</v>
      </c>
    </row>
    <row r="7" spans="1:54">
      <c r="A7">
        <v>0</v>
      </c>
      <c r="B7" t="str">
        <v>Africa</v>
      </c>
      <c r="C7" t="str">
        <v>WA (Africa_FR)</v>
      </c>
      <c r="D7" t="str">
        <v>Africa Pan</v>
      </c>
      <c r="E7" t="str">
        <v>AFRICA (fr)</v>
      </c>
      <c r="F7" s="11" t="str">
        <v>africa_fr</v>
      </c>
      <c r="G7" s="12">
        <v>46132</v>
      </c>
      <c r="H7" s="1">
        <v>46152</v>
      </c>
      <c r="I7" s="10">
        <f t="shared" si="9"/>
        <v>46152</v>
      </c>
      <c r="N7" t="str">
        <f t="shared" si="0"/>
        <v>Africa</v>
      </c>
      <c r="O7" t="str">
        <f t="shared" si="10"/>
        <v>WA (Africa_FR)</v>
      </c>
      <c r="P7" t="str">
        <f t="shared" si="1"/>
        <v>Africa Pan</v>
      </c>
      <c r="Q7" t="str">
        <f t="shared" si="2"/>
        <v>AFRICA (fr)</v>
      </c>
      <c r="R7" t="str">
        <f t="shared" si="3"/>
        <v>africa_fr</v>
      </c>
      <c r="S7" s="1">
        <f t="shared" si="4"/>
        <v>46132</v>
      </c>
      <c r="T7" s="1">
        <f t="shared" si="5"/>
        <v>46152</v>
      </c>
      <c r="Z7">
        <v>4</v>
      </c>
      <c r="AA7" t="s">
        <v>52</v>
      </c>
      <c r="AB7" t="s">
        <v>440</v>
      </c>
      <c r="AC7" t="s">
        <v>53</v>
      </c>
      <c r="AD7" t="s">
        <v>61</v>
      </c>
      <c r="AE7" t="s">
        <v>62</v>
      </c>
      <c r="AF7" t="s">
        <v>56</v>
      </c>
      <c r="AG7" t="s">
        <v>57</v>
      </c>
      <c r="AH7" t="s">
        <v>347</v>
      </c>
      <c r="AI7" t="s">
        <v>346</v>
      </c>
      <c r="AL7" t="str">
        <f t="shared" si="11"/>
        <v>CA</v>
      </c>
      <c r="AM7" t="str">
        <f t="shared" si="12"/>
        <v>WA (Africa_FR)</v>
      </c>
      <c r="AN7" t="str">
        <f t="shared" si="6"/>
        <v>O</v>
      </c>
      <c r="AO7" s="1">
        <f t="shared" si="7"/>
        <v>46132</v>
      </c>
      <c r="AP7" s="1">
        <f t="shared" si="8"/>
        <v>46152</v>
      </c>
      <c r="AR7" t="str">
        <f t="shared" si="13"/>
        <v/>
      </c>
      <c r="AU7" s="2" t="s">
        <v>389</v>
      </c>
      <c r="AV7" s="2" t="s">
        <v>58</v>
      </c>
      <c r="AW7" s="2" t="s">
        <v>43</v>
      </c>
      <c r="AX7" s="8">
        <v>46136</v>
      </c>
      <c r="AY7" s="2" t="s">
        <v>59</v>
      </c>
      <c r="AZ7" s="8">
        <v>46152</v>
      </c>
      <c r="BA7" s="2" t="s">
        <v>60</v>
      </c>
    </row>
    <row r="8" spans="1:54">
      <c r="A8">
        <v>0</v>
      </c>
      <c r="B8" t="str">
        <v>EU</v>
      </c>
      <c r="C8" t="str">
        <v>AD</v>
      </c>
      <c r="D8" t="str">
        <v>Albania</v>
      </c>
      <c r="E8" t="str">
        <v>Albania</v>
      </c>
      <c r="F8" s="11" t="str">
        <v>al</v>
      </c>
      <c r="G8" s="12" t="str">
        <v>X</v>
      </c>
      <c r="H8" s="1" t="str">
        <v/>
      </c>
      <c r="I8" s="10" t="str">
        <f t="shared" si="9"/>
        <v/>
      </c>
      <c r="N8" t="str">
        <f t="shared" si="0"/>
        <v>Africa</v>
      </c>
      <c r="O8" t="str">
        <f t="shared" si="10"/>
        <v>WA</v>
      </c>
      <c r="P8" t="str">
        <f t="shared" si="1"/>
        <v>Africa Pan</v>
      </c>
      <c r="Q8" t="str">
        <f t="shared" si="2"/>
        <v>AFRICA (pt)</v>
      </c>
      <c r="R8" t="str">
        <f t="shared" si="3"/>
        <v>africa_pt</v>
      </c>
      <c r="S8" s="1" t="str">
        <f t="shared" si="4"/>
        <v/>
      </c>
      <c r="T8" s="1" t="str">
        <f t="shared" si="5"/>
        <v/>
      </c>
      <c r="Z8">
        <v>5</v>
      </c>
      <c r="AA8" t="s">
        <v>52</v>
      </c>
      <c r="AB8" t="s">
        <v>440</v>
      </c>
      <c r="AC8" t="s">
        <v>53</v>
      </c>
      <c r="AD8" t="s">
        <v>63</v>
      </c>
      <c r="AE8" t="s">
        <v>64</v>
      </c>
      <c r="AF8" t="s">
        <v>56</v>
      </c>
      <c r="AG8" t="s">
        <v>57</v>
      </c>
      <c r="AH8" t="s">
        <v>348</v>
      </c>
      <c r="AI8" t="s">
        <v>346</v>
      </c>
      <c r="AL8" t="str">
        <f t="shared" si="11"/>
        <v/>
      </c>
      <c r="AM8" t="str">
        <f t="shared" si="12"/>
        <v/>
      </c>
      <c r="AN8" t="str">
        <f t="shared" si="6"/>
        <v/>
      </c>
      <c r="AO8" s="1" t="str">
        <f t="shared" si="7"/>
        <v/>
      </c>
      <c r="AP8" s="1" t="str">
        <f t="shared" si="8"/>
        <v/>
      </c>
      <c r="AR8" t="str">
        <f t="shared" si="13"/>
        <v/>
      </c>
      <c r="AT8" s="2" t="s">
        <v>65</v>
      </c>
      <c r="AU8" s="2" t="s">
        <v>51</v>
      </c>
    </row>
    <row r="9" spans="1:54">
      <c r="A9">
        <v>0</v>
      </c>
      <c r="B9" t="str">
        <v>LATAM</v>
      </c>
      <c r="C9" t="str">
        <v>ASA</v>
      </c>
      <c r="D9" t="str">
        <v>Argentina</v>
      </c>
      <c r="E9" t="str">
        <v>Argentina</v>
      </c>
      <c r="F9" s="11" t="str">
        <v>ar</v>
      </c>
      <c r="G9" s="12">
        <v>46300</v>
      </c>
      <c r="H9" s="1">
        <v>46313</v>
      </c>
      <c r="I9" s="10" t="str">
        <f t="shared" si="9"/>
        <v/>
      </c>
      <c r="N9" t="str">
        <f t="shared" si="0"/>
        <v>EU</v>
      </c>
      <c r="O9" t="str">
        <f t="shared" si="10"/>
        <v>AD</v>
      </c>
      <c r="P9" t="str">
        <f t="shared" si="1"/>
        <v>Albania</v>
      </c>
      <c r="Q9" t="str">
        <f t="shared" si="2"/>
        <v>Albania</v>
      </c>
      <c r="R9" t="str">
        <f t="shared" si="3"/>
        <v>al</v>
      </c>
      <c r="S9" s="1" t="str">
        <f t="shared" si="4"/>
        <v>X</v>
      </c>
      <c r="T9" s="1" t="str">
        <f t="shared" si="5"/>
        <v/>
      </c>
      <c r="Z9">
        <v>6</v>
      </c>
      <c r="AA9" t="s">
        <v>65</v>
      </c>
      <c r="AB9" t="s">
        <v>404</v>
      </c>
      <c r="AC9" t="s">
        <v>66</v>
      </c>
      <c r="AD9" t="s">
        <v>67</v>
      </c>
      <c r="AE9" t="s">
        <v>68</v>
      </c>
      <c r="AF9" t="s">
        <v>56</v>
      </c>
      <c r="AG9" t="s">
        <v>57</v>
      </c>
      <c r="AH9" t="s">
        <v>66</v>
      </c>
      <c r="AI9" t="s">
        <v>346</v>
      </c>
      <c r="AL9" t="str">
        <f t="shared" si="11"/>
        <v>UK</v>
      </c>
      <c r="AM9" t="str">
        <f t="shared" si="12"/>
        <v>AD</v>
      </c>
      <c r="AN9" t="str">
        <f t="shared" si="6"/>
        <v>X</v>
      </c>
      <c r="AO9" s="1" t="str">
        <f t="shared" si="7"/>
        <v/>
      </c>
      <c r="AP9" s="1" t="str">
        <f t="shared" si="8"/>
        <v/>
      </c>
      <c r="AR9" t="str">
        <f t="shared" si="13"/>
        <v/>
      </c>
      <c r="AU9" s="2" t="s">
        <v>320</v>
      </c>
      <c r="AV9" s="2" t="s">
        <v>58</v>
      </c>
      <c r="AW9" s="2" t="s">
        <v>57</v>
      </c>
      <c r="AY9" s="2" t="s">
        <v>69</v>
      </c>
      <c r="BA9" s="2" t="s">
        <v>69</v>
      </c>
      <c r="BB9" s="2" t="s">
        <v>70</v>
      </c>
    </row>
    <row r="10" spans="1:54">
      <c r="A10">
        <v>0</v>
      </c>
      <c r="B10" t="str">
        <v>EU</v>
      </c>
      <c r="C10" t="str">
        <v>AS-AT</v>
      </c>
      <c r="D10" t="str">
        <v>Austria</v>
      </c>
      <c r="E10" t="str">
        <v>Austria</v>
      </c>
      <c r="F10" s="11" t="str">
        <v>at</v>
      </c>
      <c r="G10" s="12">
        <v>46132</v>
      </c>
      <c r="H10" s="1">
        <v>46153</v>
      </c>
      <c r="I10" s="10">
        <f t="shared" si="9"/>
        <v>46152</v>
      </c>
      <c r="N10" t="str">
        <f t="shared" si="0"/>
        <v>LATAM</v>
      </c>
      <c r="O10" t="str">
        <f t="shared" si="10"/>
        <v>ASA</v>
      </c>
      <c r="P10" t="str">
        <f t="shared" si="1"/>
        <v>Argentina</v>
      </c>
      <c r="Q10" t="str">
        <f t="shared" si="2"/>
        <v>Argentina</v>
      </c>
      <c r="R10" t="str">
        <f t="shared" si="3"/>
        <v>ar</v>
      </c>
      <c r="S10" s="1">
        <f t="shared" si="4"/>
        <v>46300</v>
      </c>
      <c r="T10" s="1">
        <f t="shared" si="5"/>
        <v>46313</v>
      </c>
      <c r="Z10">
        <v>7</v>
      </c>
      <c r="AA10" t="s">
        <v>71</v>
      </c>
      <c r="AB10" t="s">
        <v>411</v>
      </c>
      <c r="AC10" t="s">
        <v>72</v>
      </c>
      <c r="AD10" t="s">
        <v>73</v>
      </c>
      <c r="AE10" t="s">
        <v>74</v>
      </c>
      <c r="AF10" t="s">
        <v>75</v>
      </c>
      <c r="AG10" t="s">
        <v>57</v>
      </c>
      <c r="AH10" t="s">
        <v>72</v>
      </c>
      <c r="AI10" t="s">
        <v>346</v>
      </c>
      <c r="AL10" t="str">
        <f t="shared" si="11"/>
        <v>UK</v>
      </c>
      <c r="AM10" t="str">
        <f t="shared" si="12"/>
        <v>ASA</v>
      </c>
      <c r="AN10" t="str">
        <f t="shared" si="6"/>
        <v>O</v>
      </c>
      <c r="AO10" s="1">
        <f t="shared" si="7"/>
        <v>46300</v>
      </c>
      <c r="AP10" s="1">
        <f t="shared" si="8"/>
        <v>46313</v>
      </c>
      <c r="AR10" t="str">
        <f t="shared" si="13"/>
        <v/>
      </c>
      <c r="AU10" s="2" t="s">
        <v>390</v>
      </c>
      <c r="AV10" s="2" t="s">
        <v>58</v>
      </c>
      <c r="AW10" s="2" t="s">
        <v>57</v>
      </c>
      <c r="AY10" s="2" t="s">
        <v>69</v>
      </c>
      <c r="BA10" s="2" t="s">
        <v>69</v>
      </c>
    </row>
    <row r="11" spans="1:54">
      <c r="A11">
        <v>0</v>
      </c>
      <c r="B11" t="str">
        <v>SEAO</v>
      </c>
      <c r="C11" t="str">
        <v>AU</v>
      </c>
      <c r="D11" t="str">
        <v>Australia</v>
      </c>
      <c r="E11" t="str">
        <v>Australia</v>
      </c>
      <c r="F11" s="11" t="str">
        <v>au</v>
      </c>
      <c r="G11" s="12">
        <v>46135</v>
      </c>
      <c r="H11" s="1">
        <v>46155</v>
      </c>
      <c r="I11" s="10">
        <f t="shared" si="9"/>
        <v>46152</v>
      </c>
      <c r="N11" t="str">
        <f t="shared" si="0"/>
        <v>EU</v>
      </c>
      <c r="O11" t="str">
        <f t="shared" si="10"/>
        <v>AS-AT</v>
      </c>
      <c r="P11" t="str">
        <f t="shared" si="1"/>
        <v>Austria</v>
      </c>
      <c r="Q11" t="str">
        <f t="shared" si="2"/>
        <v>Austria</v>
      </c>
      <c r="R11" t="str">
        <f t="shared" si="3"/>
        <v>at</v>
      </c>
      <c r="S11" s="1">
        <f t="shared" si="4"/>
        <v>46132</v>
      </c>
      <c r="T11" s="1">
        <f t="shared" si="5"/>
        <v>46153</v>
      </c>
      <c r="Z11">
        <v>8</v>
      </c>
      <c r="AA11" t="s">
        <v>65</v>
      </c>
      <c r="AB11" t="s">
        <v>441</v>
      </c>
      <c r="AC11" t="s">
        <v>76</v>
      </c>
      <c r="AD11" t="s">
        <v>77</v>
      </c>
      <c r="AE11" t="s">
        <v>78</v>
      </c>
      <c r="AF11" t="s">
        <v>42</v>
      </c>
      <c r="AG11" t="s">
        <v>43</v>
      </c>
      <c r="AH11" t="s">
        <v>76</v>
      </c>
      <c r="AI11" t="s">
        <v>343</v>
      </c>
      <c r="AL11" t="str">
        <f t="shared" si="11"/>
        <v>EG2</v>
      </c>
      <c r="AM11" t="str">
        <f t="shared" si="12"/>
        <v>AS-AT</v>
      </c>
      <c r="AN11" t="str">
        <f t="shared" si="6"/>
        <v>O</v>
      </c>
      <c r="AO11" s="1">
        <f t="shared" si="7"/>
        <v>46132</v>
      </c>
      <c r="AP11" s="1">
        <f t="shared" si="8"/>
        <v>46153</v>
      </c>
      <c r="AR11" t="str">
        <f t="shared" si="13"/>
        <v/>
      </c>
      <c r="AU11" s="2" t="s">
        <v>391</v>
      </c>
      <c r="AV11" s="2" t="s">
        <v>58</v>
      </c>
      <c r="AW11" s="2" t="s">
        <v>43</v>
      </c>
      <c r="AX11" s="8">
        <v>46121</v>
      </c>
      <c r="AY11" s="2" t="s">
        <v>79</v>
      </c>
      <c r="AZ11" s="8">
        <v>46153</v>
      </c>
      <c r="BA11" s="2" t="s">
        <v>60</v>
      </c>
      <c r="BB11" s="2" t="s">
        <v>80</v>
      </c>
    </row>
    <row r="12" spans="1:54">
      <c r="A12">
        <v>0</v>
      </c>
      <c r="B12" t="str">
        <v>EU</v>
      </c>
      <c r="C12" t="str">
        <v>AD</v>
      </c>
      <c r="D12" t="str">
        <v>Bosnia</v>
      </c>
      <c r="E12" t="str">
        <v>Bosnia</v>
      </c>
      <c r="F12" s="11" t="str">
        <v>ba</v>
      </c>
      <c r="G12" s="12" t="str">
        <v>X</v>
      </c>
      <c r="H12" s="1" t="str">
        <v/>
      </c>
      <c r="I12" s="10" t="str">
        <f t="shared" si="9"/>
        <v/>
      </c>
      <c r="N12" t="str">
        <f t="shared" si="0"/>
        <v>SEAO</v>
      </c>
      <c r="O12" t="str">
        <f t="shared" si="10"/>
        <v>AU</v>
      </c>
      <c r="P12" t="str">
        <f t="shared" si="1"/>
        <v>Australia</v>
      </c>
      <c r="Q12" t="str">
        <f t="shared" si="2"/>
        <v>Australia</v>
      </c>
      <c r="R12" t="str">
        <f t="shared" si="3"/>
        <v>au</v>
      </c>
      <c r="S12" s="1">
        <f t="shared" si="4"/>
        <v>46135</v>
      </c>
      <c r="T12" s="1">
        <f t="shared" si="5"/>
        <v>46155</v>
      </c>
      <c r="Z12">
        <v>9</v>
      </c>
      <c r="AA12" t="s">
        <v>81</v>
      </c>
      <c r="AB12" t="s">
        <v>414</v>
      </c>
      <c r="AC12" t="s">
        <v>82</v>
      </c>
      <c r="AD12" t="s">
        <v>83</v>
      </c>
      <c r="AE12" t="s">
        <v>84</v>
      </c>
      <c r="AF12" t="s">
        <v>42</v>
      </c>
      <c r="AG12" t="s">
        <v>43</v>
      </c>
      <c r="AH12" t="s">
        <v>82</v>
      </c>
      <c r="AI12" t="s">
        <v>343</v>
      </c>
      <c r="AL12" t="str">
        <f t="shared" si="11"/>
        <v>EF</v>
      </c>
      <c r="AM12" t="str">
        <f t="shared" si="12"/>
        <v>AU</v>
      </c>
      <c r="AN12" t="str">
        <f t="shared" si="6"/>
        <v>O</v>
      </c>
      <c r="AO12" s="1">
        <f t="shared" si="7"/>
        <v>46135</v>
      </c>
      <c r="AP12" s="1">
        <f t="shared" si="8"/>
        <v>46155</v>
      </c>
      <c r="AR12" t="str">
        <f t="shared" si="13"/>
        <v/>
      </c>
      <c r="AU12" s="2" t="s">
        <v>392</v>
      </c>
      <c r="AV12" s="2" t="s">
        <v>58</v>
      </c>
      <c r="AW12" s="2" t="s">
        <v>43</v>
      </c>
      <c r="AX12" s="8">
        <v>46160</v>
      </c>
      <c r="AY12" s="2" t="s">
        <v>85</v>
      </c>
      <c r="AZ12" s="8">
        <v>46173</v>
      </c>
      <c r="BA12" s="2" t="s">
        <v>86</v>
      </c>
    </row>
    <row r="13" spans="1:54">
      <c r="A13">
        <v>0</v>
      </c>
      <c r="B13" t="str">
        <v>SWA</v>
      </c>
      <c r="C13" t="str">
        <v>IEL</v>
      </c>
      <c r="D13" t="str">
        <v>Bangladesh</v>
      </c>
      <c r="E13" t="str">
        <v>Bangladesh</v>
      </c>
      <c r="F13" s="11" t="str">
        <v>bd</v>
      </c>
      <c r="G13" s="12">
        <v>46129</v>
      </c>
      <c r="H13" s="1">
        <v>46137</v>
      </c>
      <c r="I13" s="10">
        <f t="shared" si="9"/>
        <v>46137</v>
      </c>
      <c r="N13" t="str">
        <f t="shared" si="0"/>
        <v>CIS</v>
      </c>
      <c r="O13" t="str">
        <f t="shared" si="10"/>
        <v>RC</v>
      </c>
      <c r="P13" t="str">
        <f t="shared" si="1"/>
        <v>Azerbaijan</v>
      </c>
      <c r="Q13" t="str">
        <f t="shared" si="2"/>
        <v>Azerbaijan</v>
      </c>
      <c r="R13" t="str">
        <f t="shared" si="3"/>
        <v>az</v>
      </c>
      <c r="S13" s="1" t="str">
        <f t="shared" si="4"/>
        <v/>
      </c>
      <c r="T13" s="1" t="str">
        <f t="shared" si="5"/>
        <v/>
      </c>
      <c r="Z13">
        <v>10</v>
      </c>
      <c r="AA13" t="s">
        <v>87</v>
      </c>
      <c r="AB13" t="s">
        <v>442</v>
      </c>
      <c r="AC13" t="s">
        <v>88</v>
      </c>
      <c r="AD13" t="s">
        <v>89</v>
      </c>
      <c r="AE13" t="s">
        <v>90</v>
      </c>
      <c r="AF13" t="s">
        <v>56</v>
      </c>
      <c r="AG13" t="s">
        <v>57</v>
      </c>
      <c r="AH13" t="s">
        <v>88</v>
      </c>
      <c r="AI13" t="s">
        <v>346</v>
      </c>
      <c r="AL13" t="str">
        <f t="shared" si="11"/>
        <v>EI</v>
      </c>
      <c r="AM13" t="str">
        <f t="shared" si="12"/>
        <v/>
      </c>
      <c r="AN13" t="str">
        <f t="shared" si="6"/>
        <v/>
      </c>
      <c r="AO13" s="1" t="str">
        <f t="shared" si="7"/>
        <v/>
      </c>
      <c r="AP13" s="1" t="str">
        <f t="shared" si="8"/>
        <v/>
      </c>
      <c r="AR13" t="str">
        <f t="shared" si="13"/>
        <v/>
      </c>
      <c r="AU13" s="2" t="s">
        <v>393</v>
      </c>
      <c r="AV13" s="2" t="s">
        <v>58</v>
      </c>
      <c r="AW13" s="2" t="s">
        <v>43</v>
      </c>
      <c r="AX13" s="8">
        <v>46140</v>
      </c>
      <c r="AY13" s="2" t="s">
        <v>91</v>
      </c>
      <c r="AZ13" s="8">
        <v>46153</v>
      </c>
      <c r="BA13" s="2" t="s">
        <v>60</v>
      </c>
    </row>
    <row r="14" spans="1:54">
      <c r="A14">
        <v>0</v>
      </c>
      <c r="B14" t="str">
        <v>EU</v>
      </c>
      <c r="C14" t="str">
        <v>BN-BE</v>
      </c>
      <c r="D14" t="str">
        <v>Belgium</v>
      </c>
      <c r="E14" t="str">
        <v>Belgium(NL)</v>
      </c>
      <c r="F14" s="11" t="str">
        <v>be</v>
      </c>
      <c r="G14" s="12">
        <v>46139</v>
      </c>
      <c r="H14" s="1">
        <v>46145</v>
      </c>
      <c r="I14" s="10">
        <f t="shared" si="9"/>
        <v>46145</v>
      </c>
      <c r="N14" t="str">
        <f t="shared" si="0"/>
        <v>EU</v>
      </c>
      <c r="O14" t="str">
        <f t="shared" si="10"/>
        <v>AD</v>
      </c>
      <c r="P14" t="str">
        <f t="shared" si="1"/>
        <v>Bosnia</v>
      </c>
      <c r="Q14" t="str">
        <f t="shared" si="2"/>
        <v>Bosnia</v>
      </c>
      <c r="R14" t="str">
        <f t="shared" si="3"/>
        <v>ba</v>
      </c>
      <c r="S14" s="1" t="str">
        <f t="shared" si="4"/>
        <v>X</v>
      </c>
      <c r="T14" s="1" t="str">
        <f t="shared" si="5"/>
        <v/>
      </c>
      <c r="Z14">
        <v>11</v>
      </c>
      <c r="AA14" t="s">
        <v>65</v>
      </c>
      <c r="AB14" t="s">
        <v>404</v>
      </c>
      <c r="AC14" t="s">
        <v>92</v>
      </c>
      <c r="AD14" t="s">
        <v>93</v>
      </c>
      <c r="AE14" t="s">
        <v>94</v>
      </c>
      <c r="AF14" t="s">
        <v>56</v>
      </c>
      <c r="AG14" t="s">
        <v>57</v>
      </c>
      <c r="AH14" t="s">
        <v>92</v>
      </c>
      <c r="AI14" t="s">
        <v>346</v>
      </c>
      <c r="AL14" t="str">
        <f t="shared" si="11"/>
        <v>IB</v>
      </c>
      <c r="AM14" t="str">
        <f t="shared" si="12"/>
        <v>AD</v>
      </c>
      <c r="AN14" t="str">
        <f t="shared" si="6"/>
        <v>X</v>
      </c>
      <c r="AO14" s="1" t="str">
        <f t="shared" si="7"/>
        <v/>
      </c>
      <c r="AP14" s="1" t="str">
        <f t="shared" si="8"/>
        <v/>
      </c>
      <c r="AR14" t="str">
        <f t="shared" si="13"/>
        <v/>
      </c>
      <c r="AU14" s="2" t="s">
        <v>394</v>
      </c>
      <c r="AV14" s="2" t="s">
        <v>58</v>
      </c>
      <c r="AW14" s="2" t="s">
        <v>43</v>
      </c>
      <c r="AX14" s="8">
        <v>46132</v>
      </c>
      <c r="AY14" s="2" t="s">
        <v>59</v>
      </c>
      <c r="AZ14" s="8">
        <v>46145</v>
      </c>
      <c r="BA14" s="2" t="s">
        <v>95</v>
      </c>
    </row>
    <row r="15" spans="1:54">
      <c r="A15">
        <v>0</v>
      </c>
      <c r="B15" t="str">
        <v>EU</v>
      </c>
      <c r="C15" t="str">
        <v>BN-BE</v>
      </c>
      <c r="D15" t="str">
        <v>Belgium</v>
      </c>
      <c r="E15" t="str">
        <v>Belgium(NL)</v>
      </c>
      <c r="F15" s="11" t="str">
        <v>be_fr</v>
      </c>
      <c r="G15" s="12">
        <v>46139</v>
      </c>
      <c r="H15" s="1">
        <v>46145</v>
      </c>
      <c r="I15" s="10">
        <f t="shared" si="9"/>
        <v>46145</v>
      </c>
      <c r="N15" t="str">
        <f t="shared" si="0"/>
        <v>SWA</v>
      </c>
      <c r="O15" t="str">
        <f t="shared" si="10"/>
        <v>IEL</v>
      </c>
      <c r="P15" t="str">
        <f t="shared" si="1"/>
        <v>Bangladesh</v>
      </c>
      <c r="Q15" t="str">
        <f t="shared" si="2"/>
        <v>Bangladesh</v>
      </c>
      <c r="R15" t="str">
        <f t="shared" si="3"/>
        <v>bd</v>
      </c>
      <c r="S15" s="1">
        <f t="shared" si="4"/>
        <v>46129</v>
      </c>
      <c r="T15" s="1">
        <f t="shared" si="5"/>
        <v>46137</v>
      </c>
      <c r="Z15">
        <v>12</v>
      </c>
      <c r="AA15" t="s">
        <v>96</v>
      </c>
      <c r="AB15" t="s">
        <v>422</v>
      </c>
      <c r="AC15" t="s">
        <v>97</v>
      </c>
      <c r="AD15" t="s">
        <v>98</v>
      </c>
      <c r="AE15" t="s">
        <v>99</v>
      </c>
      <c r="AF15" t="s">
        <v>56</v>
      </c>
      <c r="AG15" t="s">
        <v>57</v>
      </c>
      <c r="AH15" t="s">
        <v>97</v>
      </c>
      <c r="AI15" t="s">
        <v>346</v>
      </c>
      <c r="AL15" t="str">
        <f t="shared" si="11"/>
        <v>IB</v>
      </c>
      <c r="AM15" t="str">
        <f t="shared" si="12"/>
        <v>IEL</v>
      </c>
      <c r="AN15" t="str">
        <f t="shared" si="6"/>
        <v>O</v>
      </c>
      <c r="AO15" s="1">
        <f t="shared" si="7"/>
        <v>46129</v>
      </c>
      <c r="AP15" s="1">
        <f t="shared" si="8"/>
        <v>46137</v>
      </c>
      <c r="AR15" t="str">
        <f t="shared" si="13"/>
        <v/>
      </c>
      <c r="AU15" s="2" t="s">
        <v>395</v>
      </c>
      <c r="AV15" s="2" t="s">
        <v>58</v>
      </c>
      <c r="AW15" s="2" t="s">
        <v>43</v>
      </c>
      <c r="AX15" s="8">
        <v>46132</v>
      </c>
      <c r="AY15" s="2" t="s">
        <v>59</v>
      </c>
      <c r="AZ15" s="8">
        <v>46152</v>
      </c>
      <c r="BA15" s="2" t="s">
        <v>60</v>
      </c>
    </row>
    <row r="16" spans="1:54">
      <c r="A16">
        <v>0</v>
      </c>
      <c r="B16" t="str">
        <v>EU</v>
      </c>
      <c r="C16" t="str">
        <v>ROM</v>
      </c>
      <c r="D16" t="str">
        <v>Bulgaria</v>
      </c>
      <c r="E16" t="str">
        <v>Bulgaria</v>
      </c>
      <c r="F16" s="11" t="str">
        <v>bg</v>
      </c>
      <c r="G16" s="12">
        <v>46085</v>
      </c>
      <c r="H16" s="1">
        <v>46091</v>
      </c>
      <c r="I16" s="10">
        <f t="shared" si="9"/>
        <v>46091</v>
      </c>
      <c r="N16" t="str">
        <f t="shared" si="0"/>
        <v>EU</v>
      </c>
      <c r="O16" t="str">
        <f t="shared" si="10"/>
        <v>BN-BE</v>
      </c>
      <c r="P16" t="str">
        <f t="shared" si="1"/>
        <v>Belgium</v>
      </c>
      <c r="Q16" t="str">
        <f t="shared" si="2"/>
        <v>Belgium(NL)</v>
      </c>
      <c r="R16" t="str">
        <f t="shared" si="3"/>
        <v>be</v>
      </c>
      <c r="S16" s="1">
        <f t="shared" si="4"/>
        <v>46139</v>
      </c>
      <c r="T16" s="1">
        <f t="shared" si="5"/>
        <v>46145</v>
      </c>
      <c r="Z16">
        <v>13</v>
      </c>
      <c r="AA16" t="s">
        <v>65</v>
      </c>
      <c r="AB16" t="s">
        <v>443</v>
      </c>
      <c r="AC16" t="s">
        <v>100</v>
      </c>
      <c r="AD16" t="s">
        <v>101</v>
      </c>
      <c r="AE16" t="s">
        <v>102</v>
      </c>
      <c r="AF16" t="s">
        <v>42</v>
      </c>
      <c r="AG16" t="s">
        <v>57</v>
      </c>
      <c r="AH16" t="s">
        <v>349</v>
      </c>
      <c r="AI16" t="s">
        <v>346</v>
      </c>
      <c r="AL16" t="str">
        <f t="shared" si="11"/>
        <v>BN</v>
      </c>
      <c r="AM16" t="str">
        <f t="shared" si="12"/>
        <v>BN-BE</v>
      </c>
      <c r="AN16" t="str">
        <f t="shared" si="6"/>
        <v>O</v>
      </c>
      <c r="AO16" s="1">
        <f t="shared" si="7"/>
        <v>46139</v>
      </c>
      <c r="AP16" s="1">
        <f t="shared" si="8"/>
        <v>46145</v>
      </c>
      <c r="AR16" t="str">
        <f t="shared" si="13"/>
        <v/>
      </c>
      <c r="AU16" s="2" t="s">
        <v>396</v>
      </c>
      <c r="AV16" s="2" t="s">
        <v>58</v>
      </c>
      <c r="AW16" s="2" t="s">
        <v>43</v>
      </c>
      <c r="AX16" s="8">
        <v>46139</v>
      </c>
      <c r="AY16" s="2" t="s">
        <v>91</v>
      </c>
      <c r="AZ16" s="8">
        <v>46145</v>
      </c>
      <c r="BA16" s="2" t="s">
        <v>95</v>
      </c>
    </row>
    <row r="17" spans="1:54">
      <c r="A17">
        <v>0</v>
      </c>
      <c r="B17" t="str">
        <v>LATAM</v>
      </c>
      <c r="C17" t="str">
        <v>DA</v>
      </c>
      <c r="D17" t="str">
        <v>Brazil</v>
      </c>
      <c r="E17" t="str">
        <v>Brazil</v>
      </c>
      <c r="F17" s="11" t="str">
        <v>br</v>
      </c>
      <c r="G17" s="12">
        <v>46132</v>
      </c>
      <c r="H17" s="1">
        <v>46152</v>
      </c>
      <c r="I17" s="10">
        <f t="shared" si="9"/>
        <v>46152</v>
      </c>
      <c r="N17" t="str">
        <f t="shared" si="0"/>
        <v>EU</v>
      </c>
      <c r="O17" t="str">
        <f t="shared" si="10"/>
        <v>BN-BE</v>
      </c>
      <c r="P17" t="str">
        <f t="shared" si="1"/>
        <v>Belgium</v>
      </c>
      <c r="Q17" t="str">
        <f t="shared" si="2"/>
        <v>Belgium(NL)</v>
      </c>
      <c r="R17" t="str">
        <f t="shared" si="3"/>
        <v>be_fr</v>
      </c>
      <c r="S17" s="1">
        <f t="shared" si="4"/>
        <v>46139</v>
      </c>
      <c r="T17" s="1">
        <f t="shared" si="5"/>
        <v>46145</v>
      </c>
      <c r="Z17">
        <v>14</v>
      </c>
      <c r="AA17" t="s">
        <v>65</v>
      </c>
      <c r="AB17" t="s">
        <v>443</v>
      </c>
      <c r="AC17" t="s">
        <v>100</v>
      </c>
      <c r="AD17" t="s">
        <v>103</v>
      </c>
      <c r="AE17" t="s">
        <v>104</v>
      </c>
      <c r="AF17" t="s">
        <v>42</v>
      </c>
      <c r="AG17" t="s">
        <v>57</v>
      </c>
      <c r="AH17" t="s">
        <v>349</v>
      </c>
      <c r="AI17" t="s">
        <v>346</v>
      </c>
      <c r="AL17" t="str">
        <f t="shared" si="11"/>
        <v>BN</v>
      </c>
      <c r="AM17" t="str">
        <f t="shared" si="12"/>
        <v>BN-BE</v>
      </c>
      <c r="AN17" t="str">
        <f t="shared" si="6"/>
        <v>O</v>
      </c>
      <c r="AO17" s="1">
        <f t="shared" si="7"/>
        <v>46139</v>
      </c>
      <c r="AP17" s="1">
        <f t="shared" si="8"/>
        <v>46145</v>
      </c>
      <c r="AR17" t="str">
        <f t="shared" si="13"/>
        <v/>
      </c>
      <c r="AU17" s="2" t="s">
        <v>397</v>
      </c>
      <c r="AV17" s="2" t="s">
        <v>58</v>
      </c>
      <c r="AW17" s="2" t="s">
        <v>43</v>
      </c>
      <c r="AX17" s="8">
        <v>46139</v>
      </c>
      <c r="AY17" s="2" t="s">
        <v>91</v>
      </c>
      <c r="AZ17" s="8">
        <v>46145</v>
      </c>
      <c r="BA17" s="2" t="s">
        <v>95</v>
      </c>
    </row>
    <row r="18" spans="1:54">
      <c r="A18">
        <v>0</v>
      </c>
      <c r="B18" t="str">
        <v>NA</v>
      </c>
      <c r="C18" t="str">
        <v>CA</v>
      </c>
      <c r="D18" t="str">
        <v>Canada</v>
      </c>
      <c r="E18" t="str">
        <v>Canada</v>
      </c>
      <c r="F18" s="11" t="str">
        <v>ca</v>
      </c>
      <c r="G18" s="12">
        <v>46136</v>
      </c>
      <c r="H18" s="1">
        <v>46152</v>
      </c>
      <c r="I18" s="10">
        <f t="shared" si="9"/>
        <v>46152</v>
      </c>
      <c r="N18" t="str">
        <f t="shared" si="0"/>
        <v>EU</v>
      </c>
      <c r="O18" t="str">
        <f t="shared" si="10"/>
        <v>ROM</v>
      </c>
      <c r="P18" t="str">
        <f t="shared" si="1"/>
        <v>Bulgaria</v>
      </c>
      <c r="Q18" t="str">
        <f t="shared" si="2"/>
        <v>Bulgaria</v>
      </c>
      <c r="R18" t="str">
        <f t="shared" si="3"/>
        <v>bg</v>
      </c>
      <c r="S18" s="1">
        <f t="shared" si="4"/>
        <v>46085</v>
      </c>
      <c r="T18" s="1">
        <f t="shared" si="5"/>
        <v>46091</v>
      </c>
      <c r="Z18">
        <v>15</v>
      </c>
      <c r="AA18" t="s">
        <v>65</v>
      </c>
      <c r="AB18" t="s">
        <v>398</v>
      </c>
      <c r="AC18" t="s">
        <v>105</v>
      </c>
      <c r="AD18" t="s">
        <v>106</v>
      </c>
      <c r="AE18" t="s">
        <v>107</v>
      </c>
      <c r="AF18" t="s">
        <v>42</v>
      </c>
      <c r="AG18" t="s">
        <v>57</v>
      </c>
      <c r="AH18" t="s">
        <v>105</v>
      </c>
      <c r="AI18" t="s">
        <v>346</v>
      </c>
      <c r="AL18" t="str">
        <f t="shared" si="11"/>
        <v>NA</v>
      </c>
      <c r="AM18" t="str">
        <f t="shared" si="12"/>
        <v>ROM</v>
      </c>
      <c r="AN18" t="str">
        <f t="shared" si="6"/>
        <v>O</v>
      </c>
      <c r="AO18" s="1">
        <f t="shared" si="7"/>
        <v>46085</v>
      </c>
      <c r="AP18" s="1">
        <f t="shared" si="8"/>
        <v>46091</v>
      </c>
      <c r="AR18" t="str">
        <f t="shared" si="13"/>
        <v/>
      </c>
      <c r="AU18" s="2" t="s">
        <v>115</v>
      </c>
      <c r="AV18" s="2" t="s">
        <v>58</v>
      </c>
      <c r="AW18" s="2" t="s">
        <v>57</v>
      </c>
      <c r="AY18" s="2" t="s">
        <v>69</v>
      </c>
      <c r="BA18" s="2" t="s">
        <v>69</v>
      </c>
      <c r="BB18" s="2" t="s">
        <v>108</v>
      </c>
    </row>
    <row r="19" spans="1:54">
      <c r="A19">
        <v>0</v>
      </c>
      <c r="B19" t="str">
        <v>NA</v>
      </c>
      <c r="C19" t="str">
        <v>CA</v>
      </c>
      <c r="D19" t="str">
        <v>Canada</v>
      </c>
      <c r="E19" t="str">
        <v>Canada (fr)</v>
      </c>
      <c r="F19" s="11" t="str">
        <v>ca_fr</v>
      </c>
      <c r="G19" s="12">
        <v>46136</v>
      </c>
      <c r="H19" s="1">
        <v>46152</v>
      </c>
      <c r="I19" s="10">
        <f t="shared" si="9"/>
        <v>46152</v>
      </c>
      <c r="N19" t="str">
        <f t="shared" si="0"/>
        <v>LATAM</v>
      </c>
      <c r="O19" t="str">
        <f t="shared" si="10"/>
        <v>DA</v>
      </c>
      <c r="P19" t="str">
        <f t="shared" si="1"/>
        <v>Brazil</v>
      </c>
      <c r="Q19" t="str">
        <f t="shared" si="2"/>
        <v>Brazil</v>
      </c>
      <c r="R19" t="str">
        <f t="shared" si="3"/>
        <v>br</v>
      </c>
      <c r="S19" s="1">
        <f t="shared" si="4"/>
        <v>46132</v>
      </c>
      <c r="T19" s="1">
        <f t="shared" si="5"/>
        <v>46152</v>
      </c>
      <c r="Z19">
        <v>16</v>
      </c>
      <c r="AA19" t="s">
        <v>71</v>
      </c>
      <c r="AB19" t="s">
        <v>407</v>
      </c>
      <c r="AC19" t="s">
        <v>109</v>
      </c>
      <c r="AD19" t="s">
        <v>110</v>
      </c>
      <c r="AE19" t="s">
        <v>111</v>
      </c>
      <c r="AF19" t="s">
        <v>75</v>
      </c>
      <c r="AG19" t="s">
        <v>43</v>
      </c>
      <c r="AH19" t="s">
        <v>109</v>
      </c>
      <c r="AI19" t="s">
        <v>350</v>
      </c>
      <c r="AL19" t="str">
        <f t="shared" si="11"/>
        <v>ROM</v>
      </c>
      <c r="AM19" t="str">
        <f t="shared" si="12"/>
        <v>DA</v>
      </c>
      <c r="AN19" t="str">
        <f t="shared" si="6"/>
        <v>O</v>
      </c>
      <c r="AO19" s="1">
        <f t="shared" si="7"/>
        <v>46132</v>
      </c>
      <c r="AP19" s="1">
        <f t="shared" si="8"/>
        <v>46152</v>
      </c>
      <c r="AR19" t="str">
        <f t="shared" si="13"/>
        <v/>
      </c>
      <c r="AU19" s="2" t="s">
        <v>398</v>
      </c>
      <c r="AV19" s="2" t="s">
        <v>58</v>
      </c>
      <c r="AW19" s="2" t="s">
        <v>43</v>
      </c>
      <c r="AX19" s="8">
        <v>46085</v>
      </c>
      <c r="AY19" s="2" t="s">
        <v>112</v>
      </c>
      <c r="AZ19" s="8">
        <v>46091</v>
      </c>
      <c r="BA19" s="2" t="s">
        <v>113</v>
      </c>
      <c r="BB19" s="2" t="s">
        <v>114</v>
      </c>
    </row>
    <row r="20" spans="1:54">
      <c r="A20">
        <v>0</v>
      </c>
      <c r="B20" t="str">
        <v>EU</v>
      </c>
      <c r="C20" t="str">
        <v>AS-CH</v>
      </c>
      <c r="D20" t="str">
        <v>Switzerland</v>
      </c>
      <c r="E20" t="str">
        <v>Switzerland</v>
      </c>
      <c r="F20" s="11" t="str">
        <v>ch</v>
      </c>
      <c r="G20" s="12">
        <v>46139</v>
      </c>
      <c r="H20" s="1">
        <v>46152</v>
      </c>
      <c r="I20" s="10">
        <f t="shared" si="9"/>
        <v>46152</v>
      </c>
      <c r="N20" t="str">
        <f t="shared" si="0"/>
        <v>NA</v>
      </c>
      <c r="O20" t="str">
        <f t="shared" si="10"/>
        <v>CA</v>
      </c>
      <c r="P20" t="str">
        <f t="shared" si="1"/>
        <v>Canada</v>
      </c>
      <c r="Q20" t="str">
        <f t="shared" si="2"/>
        <v>Canada</v>
      </c>
      <c r="R20" t="str">
        <f t="shared" si="3"/>
        <v>ca</v>
      </c>
      <c r="S20" s="1">
        <f t="shared" si="4"/>
        <v>46136</v>
      </c>
      <c r="T20" s="1">
        <f t="shared" si="5"/>
        <v>46152</v>
      </c>
      <c r="Z20">
        <v>17</v>
      </c>
      <c r="AA20" t="s">
        <v>115</v>
      </c>
      <c r="AB20" t="s">
        <v>389</v>
      </c>
      <c r="AC20" t="s">
        <v>116</v>
      </c>
      <c r="AD20" t="s">
        <v>117</v>
      </c>
      <c r="AE20" t="s">
        <v>118</v>
      </c>
      <c r="AF20" t="s">
        <v>42</v>
      </c>
      <c r="AG20" t="s">
        <v>43</v>
      </c>
      <c r="AH20" t="s">
        <v>116</v>
      </c>
      <c r="AI20" t="s">
        <v>343</v>
      </c>
      <c r="AL20" t="str">
        <f t="shared" si="11"/>
        <v>CZ</v>
      </c>
      <c r="AM20" t="str">
        <f t="shared" si="12"/>
        <v>CA</v>
      </c>
      <c r="AN20" t="str">
        <f t="shared" si="6"/>
        <v>O</v>
      </c>
      <c r="AO20" s="1">
        <f t="shared" si="7"/>
        <v>46136</v>
      </c>
      <c r="AP20" s="1">
        <f t="shared" si="8"/>
        <v>46152</v>
      </c>
      <c r="AR20" t="str">
        <f t="shared" si="13"/>
        <v/>
      </c>
      <c r="AU20" s="2" t="s">
        <v>399</v>
      </c>
      <c r="AV20" s="2" t="s">
        <v>58</v>
      </c>
      <c r="AW20" s="2" t="s">
        <v>43</v>
      </c>
      <c r="AX20" s="8">
        <v>46143</v>
      </c>
      <c r="AY20" s="2" t="s">
        <v>91</v>
      </c>
      <c r="AZ20" s="8">
        <v>46152</v>
      </c>
      <c r="BA20" s="2" t="s">
        <v>60</v>
      </c>
    </row>
    <row r="21" spans="1:54">
      <c r="A21">
        <v>0</v>
      </c>
      <c r="B21" t="str">
        <v>EU</v>
      </c>
      <c r="C21" t="str">
        <v>AS-CH</v>
      </c>
      <c r="D21" t="str">
        <v>Switzerland</v>
      </c>
      <c r="E21" t="str">
        <v>Switzerland(FR)</v>
      </c>
      <c r="F21" s="11" t="str">
        <v>ch_fr</v>
      </c>
      <c r="G21" s="12">
        <v>46139</v>
      </c>
      <c r="H21" s="1">
        <v>46152</v>
      </c>
      <c r="I21" s="10">
        <f t="shared" si="9"/>
        <v>46152</v>
      </c>
      <c r="N21" t="str">
        <f t="shared" si="0"/>
        <v>NA</v>
      </c>
      <c r="O21" t="str">
        <f t="shared" si="10"/>
        <v>CA</v>
      </c>
      <c r="P21" t="str">
        <f t="shared" si="1"/>
        <v>Canada</v>
      </c>
      <c r="Q21" t="str">
        <f t="shared" si="2"/>
        <v>Canada (fr)</v>
      </c>
      <c r="R21" t="str">
        <f t="shared" si="3"/>
        <v>ca_fr</v>
      </c>
      <c r="S21" s="1">
        <f t="shared" si="4"/>
        <v>46136</v>
      </c>
      <c r="T21" s="1">
        <f t="shared" si="5"/>
        <v>46152</v>
      </c>
      <c r="Z21">
        <v>18</v>
      </c>
      <c r="AA21" t="s">
        <v>115</v>
      </c>
      <c r="AB21" t="s">
        <v>389</v>
      </c>
      <c r="AC21" t="s">
        <v>116</v>
      </c>
      <c r="AD21" t="s">
        <v>119</v>
      </c>
      <c r="AE21" t="s">
        <v>120</v>
      </c>
      <c r="AF21" t="s">
        <v>42</v>
      </c>
      <c r="AG21" t="s">
        <v>43</v>
      </c>
      <c r="AH21" t="s">
        <v>351</v>
      </c>
      <c r="AI21" t="s">
        <v>343</v>
      </c>
      <c r="AL21" t="str">
        <f t="shared" si="11"/>
        <v>POL</v>
      </c>
      <c r="AM21" t="str">
        <f t="shared" si="12"/>
        <v>CA</v>
      </c>
      <c r="AN21" t="str">
        <f t="shared" si="6"/>
        <v>O</v>
      </c>
      <c r="AO21" s="1">
        <f t="shared" si="7"/>
        <v>46136</v>
      </c>
      <c r="AP21" s="1">
        <f t="shared" si="8"/>
        <v>46152</v>
      </c>
      <c r="AR21" t="str">
        <f t="shared" si="13"/>
        <v/>
      </c>
      <c r="AU21" s="2" t="s">
        <v>400</v>
      </c>
      <c r="AV21" s="2" t="s">
        <v>58</v>
      </c>
      <c r="AY21" s="2" t="s">
        <v>69</v>
      </c>
      <c r="BA21" s="2" t="s">
        <v>69</v>
      </c>
    </row>
    <row r="22" spans="1:54">
      <c r="A22">
        <v>0</v>
      </c>
      <c r="B22" t="str">
        <v>LATAM</v>
      </c>
      <c r="C22" t="str">
        <v>CH</v>
      </c>
      <c r="D22" t="str">
        <v>Chile</v>
      </c>
      <c r="E22" t="str">
        <v>Chile</v>
      </c>
      <c r="F22" s="11" t="str">
        <v>cl</v>
      </c>
      <c r="G22" s="12">
        <v>46132</v>
      </c>
      <c r="H22" s="1">
        <v>46152</v>
      </c>
      <c r="I22" s="10">
        <f t="shared" si="9"/>
        <v>46152</v>
      </c>
      <c r="N22" t="str">
        <f t="shared" si="0"/>
        <v>EU</v>
      </c>
      <c r="O22" t="str">
        <f t="shared" si="10"/>
        <v>AS-CH</v>
      </c>
      <c r="P22" t="str">
        <f t="shared" si="1"/>
        <v>Switzerland</v>
      </c>
      <c r="Q22" t="str">
        <f t="shared" si="2"/>
        <v>Switzerland</v>
      </c>
      <c r="R22" t="str">
        <f t="shared" si="3"/>
        <v>ch</v>
      </c>
      <c r="S22" s="1">
        <f t="shared" si="4"/>
        <v>46139</v>
      </c>
      <c r="T22" s="1">
        <f t="shared" si="5"/>
        <v>46152</v>
      </c>
      <c r="Z22">
        <v>19</v>
      </c>
      <c r="AA22" t="s">
        <v>65</v>
      </c>
      <c r="AB22" t="s">
        <v>441</v>
      </c>
      <c r="AC22" t="s">
        <v>121</v>
      </c>
      <c r="AD22" t="s">
        <v>122</v>
      </c>
      <c r="AE22" t="s">
        <v>123</v>
      </c>
      <c r="AF22" t="s">
        <v>42</v>
      </c>
      <c r="AG22" t="s">
        <v>57</v>
      </c>
      <c r="AH22" t="s">
        <v>121</v>
      </c>
      <c r="AI22" t="s">
        <v>346</v>
      </c>
      <c r="AL22" t="str">
        <f t="shared" si="11"/>
        <v>AS</v>
      </c>
      <c r="AM22" t="str">
        <f t="shared" si="12"/>
        <v>AS-CH</v>
      </c>
      <c r="AN22" t="str">
        <f t="shared" si="6"/>
        <v>O</v>
      </c>
      <c r="AO22" s="1">
        <f t="shared" si="7"/>
        <v>46139</v>
      </c>
      <c r="AP22" s="1">
        <f t="shared" si="8"/>
        <v>46152</v>
      </c>
      <c r="AR22" t="str">
        <f t="shared" si="13"/>
        <v/>
      </c>
      <c r="AU22" s="2" t="s">
        <v>401</v>
      </c>
      <c r="AV22" s="2" t="s">
        <v>58</v>
      </c>
      <c r="AW22" s="2" t="s">
        <v>43</v>
      </c>
      <c r="AX22" s="8">
        <v>46132</v>
      </c>
      <c r="AY22" s="2" t="s">
        <v>59</v>
      </c>
      <c r="AZ22" s="8">
        <v>46153</v>
      </c>
      <c r="BA22" s="2" t="s">
        <v>60</v>
      </c>
      <c r="BB22" s="2" t="s">
        <v>124</v>
      </c>
    </row>
    <row r="23" spans="1:54">
      <c r="A23">
        <v>0</v>
      </c>
      <c r="B23" t="str">
        <v>CN</v>
      </c>
      <c r="C23" t="str">
        <v>CIC</v>
      </c>
      <c r="D23" t="str">
        <v>China</v>
      </c>
      <c r="E23" t="str">
        <v>China</v>
      </c>
      <c r="F23" s="11" t="str">
        <v>cn</v>
      </c>
      <c r="G23" s="12">
        <v>46143</v>
      </c>
      <c r="H23" s="1">
        <v>46152</v>
      </c>
      <c r="I23" s="10">
        <f t="shared" si="9"/>
        <v>46152</v>
      </c>
      <c r="N23" t="str">
        <f t="shared" si="0"/>
        <v>EU</v>
      </c>
      <c r="O23" t="str">
        <f t="shared" si="10"/>
        <v>AS-CH</v>
      </c>
      <c r="P23" t="str">
        <f t="shared" si="1"/>
        <v>Switzerland</v>
      </c>
      <c r="Q23" t="str">
        <f t="shared" si="2"/>
        <v>Switzerland(FR)</v>
      </c>
      <c r="R23" t="str">
        <f t="shared" si="3"/>
        <v>ch_fr</v>
      </c>
      <c r="S23" s="1">
        <f t="shared" si="4"/>
        <v>46139</v>
      </c>
      <c r="T23" s="1">
        <f t="shared" si="5"/>
        <v>46152</v>
      </c>
      <c r="Z23">
        <v>20</v>
      </c>
      <c r="AA23" t="s">
        <v>65</v>
      </c>
      <c r="AB23" t="s">
        <v>441</v>
      </c>
      <c r="AC23" t="s">
        <v>121</v>
      </c>
      <c r="AD23" t="s">
        <v>125</v>
      </c>
      <c r="AE23" t="s">
        <v>126</v>
      </c>
      <c r="AF23" t="s">
        <v>42</v>
      </c>
      <c r="AG23" t="s">
        <v>57</v>
      </c>
      <c r="AH23" t="s">
        <v>352</v>
      </c>
      <c r="AI23" t="s">
        <v>346</v>
      </c>
      <c r="AL23" t="str">
        <f t="shared" si="11"/>
        <v>AS</v>
      </c>
      <c r="AM23" t="str">
        <f t="shared" si="12"/>
        <v>AS-CH</v>
      </c>
      <c r="AN23" t="str">
        <f t="shared" si="6"/>
        <v>O</v>
      </c>
      <c r="AO23" s="1">
        <f t="shared" si="7"/>
        <v>46139</v>
      </c>
      <c r="AP23" s="1">
        <f t="shared" si="8"/>
        <v>46152</v>
      </c>
      <c r="AR23" t="str">
        <f t="shared" si="13"/>
        <v/>
      </c>
      <c r="AU23" s="2" t="s">
        <v>402</v>
      </c>
      <c r="AV23" s="2" t="s">
        <v>58</v>
      </c>
      <c r="AW23" s="2" t="s">
        <v>43</v>
      </c>
      <c r="AX23" s="8">
        <v>46139</v>
      </c>
      <c r="AY23" s="2" t="s">
        <v>91</v>
      </c>
      <c r="AZ23" s="8">
        <v>46152</v>
      </c>
      <c r="BA23" s="2" t="s">
        <v>60</v>
      </c>
    </row>
    <row r="24" spans="1:54">
      <c r="A24">
        <v>0</v>
      </c>
      <c r="B24" t="str">
        <v>LATAM</v>
      </c>
      <c r="C24" t="str">
        <v>COL</v>
      </c>
      <c r="D24" t="str">
        <v>Colombia</v>
      </c>
      <c r="E24" t="str">
        <v>Colombia</v>
      </c>
      <c r="F24" s="11" t="str">
        <v>co</v>
      </c>
      <c r="G24" s="12">
        <v>46132</v>
      </c>
      <c r="H24" s="1">
        <v>46152</v>
      </c>
      <c r="I24" s="10">
        <f t="shared" si="9"/>
        <v>46152</v>
      </c>
      <c r="N24" t="str">
        <f t="shared" si="0"/>
        <v>LATAM</v>
      </c>
      <c r="O24" t="str">
        <f t="shared" si="10"/>
        <v>CH</v>
      </c>
      <c r="P24" t="str">
        <f t="shared" si="1"/>
        <v>Chile</v>
      </c>
      <c r="Q24" t="str">
        <f t="shared" si="2"/>
        <v>Chile</v>
      </c>
      <c r="R24" t="str">
        <f t="shared" si="3"/>
        <v>cl</v>
      </c>
      <c r="S24" s="1">
        <f t="shared" si="4"/>
        <v>46132</v>
      </c>
      <c r="T24" s="1">
        <f t="shared" si="5"/>
        <v>46152</v>
      </c>
      <c r="Z24">
        <v>21</v>
      </c>
      <c r="AA24" t="s">
        <v>71</v>
      </c>
      <c r="AB24" t="s">
        <v>409</v>
      </c>
      <c r="AC24" t="s">
        <v>127</v>
      </c>
      <c r="AD24" t="s">
        <v>128</v>
      </c>
      <c r="AE24" t="s">
        <v>129</v>
      </c>
      <c r="AF24" t="s">
        <v>42</v>
      </c>
      <c r="AG24" t="s">
        <v>43</v>
      </c>
      <c r="AH24" t="s">
        <v>127</v>
      </c>
      <c r="AI24" t="s">
        <v>343</v>
      </c>
      <c r="AL24" t="str">
        <f t="shared" si="11"/>
        <v>EH</v>
      </c>
      <c r="AM24" t="str">
        <f t="shared" si="12"/>
        <v>CH</v>
      </c>
      <c r="AN24" t="str">
        <f t="shared" si="6"/>
        <v>O</v>
      </c>
      <c r="AO24" s="1">
        <f t="shared" si="7"/>
        <v>46132</v>
      </c>
      <c r="AP24" s="1">
        <f t="shared" si="8"/>
        <v>46152</v>
      </c>
      <c r="AR24" t="str">
        <f t="shared" si="13"/>
        <v/>
      </c>
      <c r="AU24" s="2" t="s">
        <v>403</v>
      </c>
      <c r="AV24" s="2" t="s">
        <v>58</v>
      </c>
      <c r="AW24" s="2" t="s">
        <v>43</v>
      </c>
      <c r="AX24" s="8">
        <v>46139</v>
      </c>
      <c r="AY24" s="2" t="s">
        <v>91</v>
      </c>
      <c r="AZ24" s="8">
        <v>46146</v>
      </c>
      <c r="BA24" s="2" t="s">
        <v>95</v>
      </c>
    </row>
    <row r="25" spans="1:54">
      <c r="A25">
        <v>0</v>
      </c>
      <c r="B25" t="str">
        <v>EU</v>
      </c>
      <c r="C25" t="str">
        <v>CZ</v>
      </c>
      <c r="D25" t="str">
        <v>Czech</v>
      </c>
      <c r="E25" t="str">
        <v>Czech</v>
      </c>
      <c r="F25" s="11" t="str">
        <v>cz</v>
      </c>
      <c r="G25" s="12">
        <v>46143</v>
      </c>
      <c r="H25" s="1">
        <v>46152</v>
      </c>
      <c r="I25" s="10">
        <f t="shared" si="9"/>
        <v>46152</v>
      </c>
      <c r="N25" t="str">
        <f t="shared" si="0"/>
        <v>CN</v>
      </c>
      <c r="O25" t="str">
        <f t="shared" si="10"/>
        <v>CIC</v>
      </c>
      <c r="P25" t="str">
        <f t="shared" si="1"/>
        <v>China</v>
      </c>
      <c r="Q25" t="str">
        <f t="shared" si="2"/>
        <v>China</v>
      </c>
      <c r="R25" t="str">
        <f t="shared" si="3"/>
        <v>cn</v>
      </c>
      <c r="S25" s="1">
        <f t="shared" si="4"/>
        <v>46143</v>
      </c>
      <c r="T25" s="1">
        <f t="shared" si="5"/>
        <v>46152</v>
      </c>
      <c r="Z25">
        <v>22</v>
      </c>
      <c r="AA25" t="s">
        <v>130</v>
      </c>
      <c r="AB25" t="s">
        <v>436</v>
      </c>
      <c r="AC25" t="s">
        <v>131</v>
      </c>
      <c r="AD25" t="s">
        <v>132</v>
      </c>
      <c r="AE25" t="s">
        <v>133</v>
      </c>
      <c r="AF25" t="s">
        <v>42</v>
      </c>
      <c r="AG25" t="s">
        <v>43</v>
      </c>
      <c r="AH25" t="s">
        <v>131</v>
      </c>
      <c r="AI25" t="s">
        <v>350</v>
      </c>
      <c r="AL25" t="str">
        <f t="shared" si="11"/>
        <v>AD</v>
      </c>
      <c r="AM25" t="str">
        <f t="shared" si="12"/>
        <v>CIC</v>
      </c>
      <c r="AN25" t="str">
        <f t="shared" si="6"/>
        <v>O</v>
      </c>
      <c r="AO25" s="1">
        <f t="shared" si="7"/>
        <v>46143</v>
      </c>
      <c r="AP25" s="1">
        <f t="shared" si="8"/>
        <v>46152</v>
      </c>
      <c r="AR25" t="str">
        <f t="shared" si="13"/>
        <v/>
      </c>
      <c r="AU25" s="2" t="s">
        <v>404</v>
      </c>
      <c r="AV25" s="2" t="s">
        <v>58</v>
      </c>
      <c r="AW25" s="2" t="s">
        <v>57</v>
      </c>
      <c r="AY25" s="2" t="s">
        <v>69</v>
      </c>
      <c r="BA25" s="2" t="s">
        <v>69</v>
      </c>
      <c r="BB25" s="2" t="s">
        <v>134</v>
      </c>
    </row>
    <row r="26" spans="1:54">
      <c r="A26">
        <v>0</v>
      </c>
      <c r="B26" t="str">
        <v>EU</v>
      </c>
      <c r="C26" t="str">
        <v>EG2</v>
      </c>
      <c r="D26" t="str">
        <v>Germany</v>
      </c>
      <c r="E26" t="str">
        <v>Germany</v>
      </c>
      <c r="F26" s="11" t="str">
        <v>de</v>
      </c>
      <c r="G26" s="12">
        <v>46121</v>
      </c>
      <c r="H26" s="1">
        <v>46153</v>
      </c>
      <c r="I26" s="10">
        <f t="shared" si="9"/>
        <v>46152</v>
      </c>
      <c r="N26" t="str">
        <f t="shared" si="0"/>
        <v>LATAM</v>
      </c>
      <c r="O26" t="str">
        <f t="shared" si="10"/>
        <v>COL</v>
      </c>
      <c r="P26" t="str">
        <f t="shared" si="1"/>
        <v>Colombia</v>
      </c>
      <c r="Q26" t="str">
        <f t="shared" si="2"/>
        <v>Colombia</v>
      </c>
      <c r="R26" t="str">
        <f t="shared" si="3"/>
        <v>co</v>
      </c>
      <c r="S26" s="1">
        <f t="shared" si="4"/>
        <v>46132</v>
      </c>
      <c r="T26" s="1">
        <f t="shared" si="5"/>
        <v>46152</v>
      </c>
      <c r="Z26">
        <v>23</v>
      </c>
      <c r="AA26" t="s">
        <v>71</v>
      </c>
      <c r="AB26" t="s">
        <v>410</v>
      </c>
      <c r="AC26" t="s">
        <v>135</v>
      </c>
      <c r="AD26" t="s">
        <v>136</v>
      </c>
      <c r="AE26" t="s">
        <v>137</v>
      </c>
      <c r="AF26" t="s">
        <v>42</v>
      </c>
      <c r="AG26" t="s">
        <v>43</v>
      </c>
      <c r="AH26" t="s">
        <v>135</v>
      </c>
      <c r="AI26" t="s">
        <v>343</v>
      </c>
      <c r="AL26" t="str">
        <f t="shared" si="11"/>
        <v>EB</v>
      </c>
      <c r="AM26" t="str">
        <f t="shared" si="12"/>
        <v>COL</v>
      </c>
      <c r="AN26" t="str">
        <f t="shared" si="6"/>
        <v>O</v>
      </c>
      <c r="AO26" s="1">
        <f t="shared" si="7"/>
        <v>46132</v>
      </c>
      <c r="AP26" s="1">
        <f t="shared" si="8"/>
        <v>46152</v>
      </c>
      <c r="AR26" t="str">
        <f t="shared" si="13"/>
        <v/>
      </c>
      <c r="AU26" s="2" t="s">
        <v>405</v>
      </c>
      <c r="AY26" s="2" t="s">
        <v>69</v>
      </c>
      <c r="BA26" s="2" t="s">
        <v>69</v>
      </c>
    </row>
    <row r="27" spans="1:54">
      <c r="A27">
        <v>0</v>
      </c>
      <c r="B27" t="str">
        <v>EU</v>
      </c>
      <c r="C27" t="str">
        <v>NA</v>
      </c>
      <c r="D27" t="str">
        <v>Denmark</v>
      </c>
      <c r="E27" t="str">
        <v>Denmark</v>
      </c>
      <c r="F27" s="11" t="str">
        <v>dk</v>
      </c>
      <c r="G27" s="12" t="str">
        <v>X</v>
      </c>
      <c r="H27" s="1" t="str">
        <v/>
      </c>
      <c r="I27" s="10" t="str">
        <f t="shared" si="9"/>
        <v/>
      </c>
      <c r="N27" t="str">
        <f t="shared" si="0"/>
        <v>EU</v>
      </c>
      <c r="O27" t="str">
        <f t="shared" si="10"/>
        <v>CZ</v>
      </c>
      <c r="P27" t="str">
        <f t="shared" si="1"/>
        <v>Czech</v>
      </c>
      <c r="Q27" t="str">
        <f t="shared" si="2"/>
        <v>Czech</v>
      </c>
      <c r="R27" t="str">
        <f t="shared" si="3"/>
        <v>cz</v>
      </c>
      <c r="S27" s="1">
        <f t="shared" si="4"/>
        <v>46143</v>
      </c>
      <c r="T27" s="1">
        <f t="shared" si="5"/>
        <v>46152</v>
      </c>
      <c r="Z27">
        <v>24</v>
      </c>
      <c r="AA27" t="s">
        <v>65</v>
      </c>
      <c r="AB27" t="s">
        <v>399</v>
      </c>
      <c r="AC27" t="s">
        <v>138</v>
      </c>
      <c r="AD27" t="s">
        <v>139</v>
      </c>
      <c r="AE27" t="s">
        <v>140</v>
      </c>
      <c r="AF27" t="s">
        <v>42</v>
      </c>
      <c r="AG27" t="s">
        <v>43</v>
      </c>
      <c r="AH27" t="s">
        <v>138</v>
      </c>
      <c r="AI27" t="s">
        <v>343</v>
      </c>
      <c r="AL27" t="str">
        <f t="shared" si="11"/>
        <v>UC</v>
      </c>
      <c r="AM27" t="str">
        <f t="shared" si="12"/>
        <v>CZ</v>
      </c>
      <c r="AN27" t="str">
        <f t="shared" si="6"/>
        <v>O</v>
      </c>
      <c r="AO27" s="1">
        <f t="shared" si="7"/>
        <v>46143</v>
      </c>
      <c r="AP27" s="1">
        <f t="shared" si="8"/>
        <v>46152</v>
      </c>
      <c r="AR27" t="str">
        <f t="shared" si="13"/>
        <v/>
      </c>
      <c r="AU27" s="2" t="s">
        <v>406</v>
      </c>
      <c r="AY27" s="2" t="s">
        <v>69</v>
      </c>
      <c r="BA27" s="2" t="s">
        <v>69</v>
      </c>
    </row>
    <row r="28" spans="1:54">
      <c r="A28">
        <v>0</v>
      </c>
      <c r="B28" t="str">
        <v>EU</v>
      </c>
      <c r="C28" t="str">
        <v>IB-ES</v>
      </c>
      <c r="D28" t="str">
        <v>Spain</v>
      </c>
      <c r="E28" t="str">
        <v>Spain</v>
      </c>
      <c r="F28" s="11" t="str">
        <v>es</v>
      </c>
      <c r="G28" s="12">
        <v>46132</v>
      </c>
      <c r="H28" s="1">
        <v>46145</v>
      </c>
      <c r="I28" s="10">
        <f t="shared" si="9"/>
        <v>46145</v>
      </c>
      <c r="N28" t="str">
        <f t="shared" si="0"/>
        <v>EU</v>
      </c>
      <c r="O28" t="str">
        <f t="shared" si="10"/>
        <v>EG2</v>
      </c>
      <c r="P28" t="str">
        <f t="shared" si="1"/>
        <v>Germany</v>
      </c>
      <c r="Q28" t="str">
        <f t="shared" si="2"/>
        <v>Germany</v>
      </c>
      <c r="R28" t="str">
        <f t="shared" si="3"/>
        <v>de</v>
      </c>
      <c r="S28" s="1">
        <f t="shared" si="4"/>
        <v>46121</v>
      </c>
      <c r="T28" s="1">
        <f t="shared" si="5"/>
        <v>46153</v>
      </c>
      <c r="Z28">
        <v>25</v>
      </c>
      <c r="AA28" t="s">
        <v>65</v>
      </c>
      <c r="AB28" t="s">
        <v>391</v>
      </c>
      <c r="AC28" t="s">
        <v>141</v>
      </c>
      <c r="AD28" t="s">
        <v>142</v>
      </c>
      <c r="AE28" t="s">
        <v>143</v>
      </c>
      <c r="AF28" t="s">
        <v>42</v>
      </c>
      <c r="AG28" t="s">
        <v>43</v>
      </c>
      <c r="AH28" t="s">
        <v>141</v>
      </c>
      <c r="AI28" t="s">
        <v>343</v>
      </c>
      <c r="AL28" t="str">
        <f t="shared" si="11"/>
        <v/>
      </c>
      <c r="AM28" t="str">
        <f t="shared" si="12"/>
        <v>EG2</v>
      </c>
      <c r="AN28" t="str">
        <f t="shared" si="6"/>
        <v>O</v>
      </c>
      <c r="AO28" s="1">
        <f t="shared" si="7"/>
        <v>46121</v>
      </c>
      <c r="AP28" s="1">
        <f t="shared" si="8"/>
        <v>46153</v>
      </c>
      <c r="AR28" t="str">
        <f t="shared" si="13"/>
        <v/>
      </c>
      <c r="AT28" s="2" t="s">
        <v>144</v>
      </c>
      <c r="AU28" s="2" t="s">
        <v>51</v>
      </c>
    </row>
    <row r="29" spans="1:54">
      <c r="A29">
        <v>0</v>
      </c>
      <c r="B29" t="str">
        <v>EU</v>
      </c>
      <c r="C29" t="str">
        <v>NA</v>
      </c>
      <c r="D29" t="str">
        <v>Finland</v>
      </c>
      <c r="E29" t="str">
        <v>Finland</v>
      </c>
      <c r="F29" s="11" t="str">
        <v>fi</v>
      </c>
      <c r="G29" s="12" t="str">
        <v>X</v>
      </c>
      <c r="H29" s="1" t="str">
        <v/>
      </c>
      <c r="I29" s="10" t="str">
        <f t="shared" si="9"/>
        <v/>
      </c>
      <c r="N29" t="str">
        <f t="shared" si="0"/>
        <v>EU</v>
      </c>
      <c r="O29" t="str">
        <f t="shared" si="10"/>
        <v>NA</v>
      </c>
      <c r="P29" t="str">
        <f t="shared" si="1"/>
        <v>Denmark</v>
      </c>
      <c r="Q29" t="str">
        <f t="shared" si="2"/>
        <v>Denmark</v>
      </c>
      <c r="R29" t="str">
        <f t="shared" si="3"/>
        <v>dk</v>
      </c>
      <c r="S29" s="1" t="str">
        <f t="shared" si="4"/>
        <v>X</v>
      </c>
      <c r="T29" s="1" t="str">
        <f t="shared" si="5"/>
        <v/>
      </c>
      <c r="Z29">
        <v>26</v>
      </c>
      <c r="AA29" t="s">
        <v>65</v>
      </c>
      <c r="AB29" t="s">
        <v>115</v>
      </c>
      <c r="AC29" t="s">
        <v>145</v>
      </c>
      <c r="AD29" t="s">
        <v>146</v>
      </c>
      <c r="AE29" t="s">
        <v>147</v>
      </c>
      <c r="AF29" t="s">
        <v>42</v>
      </c>
      <c r="AG29" t="s">
        <v>57</v>
      </c>
      <c r="AH29" t="s">
        <v>145</v>
      </c>
      <c r="AI29" t="s">
        <v>346</v>
      </c>
      <c r="AL29" t="str">
        <f t="shared" si="11"/>
        <v>DA</v>
      </c>
      <c r="AM29" t="str">
        <f t="shared" si="12"/>
        <v>NA</v>
      </c>
      <c r="AN29" t="str">
        <f t="shared" si="6"/>
        <v>X</v>
      </c>
      <c r="AO29" s="1" t="str">
        <f t="shared" si="7"/>
        <v/>
      </c>
      <c r="AP29" s="1" t="str">
        <f t="shared" si="8"/>
        <v/>
      </c>
      <c r="AR29" t="str">
        <f t="shared" si="13"/>
        <v/>
      </c>
      <c r="AU29" s="2" t="s">
        <v>407</v>
      </c>
      <c r="AV29" s="2" t="s">
        <v>58</v>
      </c>
      <c r="AW29" s="2" t="s">
        <v>43</v>
      </c>
      <c r="AX29" s="8">
        <v>46132</v>
      </c>
      <c r="AY29" s="2" t="s">
        <v>59</v>
      </c>
      <c r="AZ29" s="8">
        <v>46152</v>
      </c>
      <c r="BA29" s="2" t="s">
        <v>60</v>
      </c>
    </row>
    <row r="30" spans="1:54">
      <c r="A30">
        <v>0</v>
      </c>
      <c r="B30" t="str">
        <v>EU</v>
      </c>
      <c r="C30" t="str">
        <v>EF</v>
      </c>
      <c r="D30" t="str">
        <v>France</v>
      </c>
      <c r="E30" t="str">
        <v>France</v>
      </c>
      <c r="F30" s="11" t="str">
        <v>fr</v>
      </c>
      <c r="G30" s="12">
        <v>46160</v>
      </c>
      <c r="H30" s="1">
        <v>46173</v>
      </c>
      <c r="I30" s="10" t="str">
        <f t="shared" si="9"/>
        <v/>
      </c>
      <c r="N30" t="str">
        <f t="shared" si="0"/>
        <v>EU</v>
      </c>
      <c r="O30" t="str">
        <f t="shared" si="10"/>
        <v>EB</v>
      </c>
      <c r="P30" t="str">
        <f t="shared" si="1"/>
        <v>Estonia</v>
      </c>
      <c r="Q30" t="str">
        <f t="shared" si="2"/>
        <v>Estonia</v>
      </c>
      <c r="R30" t="str">
        <f t="shared" si="3"/>
        <v>ee</v>
      </c>
      <c r="S30" s="1" t="str">
        <f t="shared" si="4"/>
        <v/>
      </c>
      <c r="T30" s="1" t="str">
        <f t="shared" si="5"/>
        <v/>
      </c>
      <c r="Z30">
        <v>27</v>
      </c>
      <c r="AA30" t="s">
        <v>65</v>
      </c>
      <c r="AB30" t="s">
        <v>405</v>
      </c>
      <c r="AC30" t="s">
        <v>148</v>
      </c>
      <c r="AD30" t="s">
        <v>149</v>
      </c>
      <c r="AE30" t="s">
        <v>150</v>
      </c>
      <c r="AF30" t="s">
        <v>42</v>
      </c>
      <c r="AG30" t="s">
        <v>57</v>
      </c>
      <c r="AH30" t="s">
        <v>148</v>
      </c>
      <c r="AI30" t="s">
        <v>346</v>
      </c>
      <c r="AL30" t="str">
        <f t="shared" si="11"/>
        <v>EM</v>
      </c>
      <c r="AM30" t="str">
        <f t="shared" si="12"/>
        <v>EB</v>
      </c>
      <c r="AN30">
        <f t="shared" si="6"/>
        <v>0</v>
      </c>
      <c r="AO30" s="1" t="str">
        <f t="shared" si="7"/>
        <v/>
      </c>
      <c r="AP30" s="1" t="str">
        <f t="shared" si="8"/>
        <v/>
      </c>
      <c r="AR30" t="str">
        <f t="shared" si="13"/>
        <v/>
      </c>
      <c r="AU30" s="2" t="s">
        <v>408</v>
      </c>
      <c r="AV30" s="2" t="s">
        <v>58</v>
      </c>
      <c r="AW30" s="2" t="s">
        <v>43</v>
      </c>
      <c r="AX30" s="8">
        <v>46132</v>
      </c>
      <c r="AY30" s="2" t="s">
        <v>59</v>
      </c>
      <c r="AZ30" s="8">
        <v>46152</v>
      </c>
      <c r="BA30" s="2" t="s">
        <v>60</v>
      </c>
    </row>
    <row r="31" spans="1:54">
      <c r="A31">
        <v>0</v>
      </c>
      <c r="B31" t="str">
        <v>CN</v>
      </c>
      <c r="C31" t="str">
        <v>HK</v>
      </c>
      <c r="D31" t="str">
        <v>Hong Kong</v>
      </c>
      <c r="E31" t="str">
        <v>Hong Kong</v>
      </c>
      <c r="F31" s="11" t="str">
        <v>hk</v>
      </c>
      <c r="G31" s="12">
        <v>46143</v>
      </c>
      <c r="H31" s="1">
        <v>46156</v>
      </c>
      <c r="I31" s="10">
        <f t="shared" si="9"/>
        <v>46152</v>
      </c>
      <c r="N31" t="str">
        <f t="shared" si="0"/>
        <v>MENA</v>
      </c>
      <c r="O31" t="str">
        <f t="shared" si="10"/>
        <v>EGS</v>
      </c>
      <c r="P31" t="str">
        <f t="shared" si="1"/>
        <v>Egypt</v>
      </c>
      <c r="Q31" t="str">
        <f t="shared" si="2"/>
        <v>Egypt</v>
      </c>
      <c r="R31" t="str">
        <f t="shared" si="3"/>
        <v>eg</v>
      </c>
      <c r="S31" s="1" t="str">
        <f t="shared" si="4"/>
        <v/>
      </c>
      <c r="T31" s="1" t="str">
        <f t="shared" si="5"/>
        <v/>
      </c>
      <c r="Z31">
        <v>28</v>
      </c>
      <c r="AA31" t="s">
        <v>38</v>
      </c>
      <c r="AB31" t="s">
        <v>444</v>
      </c>
      <c r="AC31" t="s">
        <v>151</v>
      </c>
      <c r="AD31" t="s">
        <v>152</v>
      </c>
      <c r="AE31" t="s">
        <v>153</v>
      </c>
      <c r="AF31" t="s">
        <v>42</v>
      </c>
      <c r="AG31" t="s">
        <v>57</v>
      </c>
      <c r="AH31" t="s">
        <v>151</v>
      </c>
      <c r="AI31" t="s">
        <v>346</v>
      </c>
      <c r="AL31" t="str">
        <f t="shared" si="11"/>
        <v>CH</v>
      </c>
      <c r="AM31" t="str">
        <f t="shared" si="12"/>
        <v/>
      </c>
      <c r="AN31" t="str">
        <f t="shared" si="6"/>
        <v/>
      </c>
      <c r="AO31" s="1" t="str">
        <f t="shared" si="7"/>
        <v/>
      </c>
      <c r="AP31" s="1" t="str">
        <f t="shared" si="8"/>
        <v/>
      </c>
      <c r="AR31" t="str">
        <f t="shared" si="13"/>
        <v/>
      </c>
      <c r="AU31" s="2" t="s">
        <v>409</v>
      </c>
      <c r="AV31" s="2" t="s">
        <v>58</v>
      </c>
      <c r="AW31" s="2" t="s">
        <v>43</v>
      </c>
      <c r="AX31" s="8">
        <v>46132</v>
      </c>
      <c r="AY31" s="2" t="s">
        <v>59</v>
      </c>
      <c r="AZ31" s="8">
        <v>46152</v>
      </c>
      <c r="BA31" s="2" t="s">
        <v>60</v>
      </c>
    </row>
    <row r="32" spans="1:54">
      <c r="A32">
        <v>0</v>
      </c>
      <c r="B32" t="str">
        <v>CN</v>
      </c>
      <c r="C32" t="str">
        <v>HK</v>
      </c>
      <c r="D32" t="str">
        <v>Hong Kong</v>
      </c>
      <c r="E32" t="str">
        <v>Hong Kong(en)</v>
      </c>
      <c r="F32" s="11" t="str">
        <v>hk_en</v>
      </c>
      <c r="G32" s="12">
        <v>46143</v>
      </c>
      <c r="H32" s="1">
        <v>46156</v>
      </c>
      <c r="I32" s="10">
        <f t="shared" si="9"/>
        <v>46152</v>
      </c>
      <c r="N32" t="str">
        <f t="shared" si="0"/>
        <v>EU</v>
      </c>
      <c r="O32" t="str">
        <f t="shared" si="10"/>
        <v>IB-ES</v>
      </c>
      <c r="P32" t="str">
        <f t="shared" si="1"/>
        <v>Spain</v>
      </c>
      <c r="Q32" t="str">
        <f t="shared" si="2"/>
        <v>Spain</v>
      </c>
      <c r="R32" t="str">
        <f t="shared" si="3"/>
        <v>es</v>
      </c>
      <c r="S32" s="1">
        <f t="shared" si="4"/>
        <v>46132</v>
      </c>
      <c r="T32" s="1">
        <f t="shared" si="5"/>
        <v>46145</v>
      </c>
      <c r="Z32">
        <v>29</v>
      </c>
      <c r="AA32" t="s">
        <v>65</v>
      </c>
      <c r="AB32" t="s">
        <v>445</v>
      </c>
      <c r="AC32" t="s">
        <v>154</v>
      </c>
      <c r="AD32" t="s">
        <v>155</v>
      </c>
      <c r="AE32" t="s">
        <v>156</v>
      </c>
      <c r="AF32" t="s">
        <v>42</v>
      </c>
      <c r="AG32" t="s">
        <v>43</v>
      </c>
      <c r="AH32" t="s">
        <v>154</v>
      </c>
      <c r="AI32" t="s">
        <v>343</v>
      </c>
      <c r="AL32" t="str">
        <f t="shared" si="11"/>
        <v>COL</v>
      </c>
      <c r="AM32" t="str">
        <f t="shared" si="12"/>
        <v>IB-ES</v>
      </c>
      <c r="AN32" t="str">
        <f t="shared" si="6"/>
        <v>O</v>
      </c>
      <c r="AO32" s="1">
        <f t="shared" si="7"/>
        <v>46132</v>
      </c>
      <c r="AP32" s="1">
        <f t="shared" si="8"/>
        <v>46145</v>
      </c>
      <c r="AR32" t="str">
        <f t="shared" si="13"/>
        <v/>
      </c>
      <c r="AU32" s="2" t="s">
        <v>410</v>
      </c>
      <c r="AV32" s="2" t="s">
        <v>58</v>
      </c>
      <c r="AW32" s="2" t="s">
        <v>43</v>
      </c>
      <c r="AX32" s="8">
        <v>46132</v>
      </c>
      <c r="AY32" s="2" t="s">
        <v>59</v>
      </c>
      <c r="AZ32" s="8">
        <v>46152</v>
      </c>
      <c r="BA32" s="2" t="s">
        <v>60</v>
      </c>
    </row>
    <row r="33" spans="1:54">
      <c r="A33">
        <v>0</v>
      </c>
      <c r="B33" t="str">
        <v>EU</v>
      </c>
      <c r="C33" t="str">
        <v>AD</v>
      </c>
      <c r="D33" t="str">
        <v>Croatia</v>
      </c>
      <c r="E33" t="str">
        <v>Croatia</v>
      </c>
      <c r="F33" s="11" t="str">
        <v>hr</v>
      </c>
      <c r="G33" s="12" t="str">
        <v>X</v>
      </c>
      <c r="H33" s="1" t="str">
        <v/>
      </c>
      <c r="I33" s="10" t="str">
        <f t="shared" si="9"/>
        <v/>
      </c>
      <c r="N33" t="str">
        <f t="shared" si="0"/>
        <v>EU</v>
      </c>
      <c r="O33" t="str">
        <f t="shared" si="10"/>
        <v>NA</v>
      </c>
      <c r="P33" t="str">
        <f t="shared" si="1"/>
        <v>Finland</v>
      </c>
      <c r="Q33" t="str">
        <f t="shared" si="2"/>
        <v>Finland</v>
      </c>
      <c r="R33" t="str">
        <f t="shared" si="3"/>
        <v>fi</v>
      </c>
      <c r="S33" s="1" t="str">
        <f t="shared" si="4"/>
        <v>X</v>
      </c>
      <c r="T33" s="1" t="str">
        <f t="shared" si="5"/>
        <v/>
      </c>
      <c r="Z33">
        <v>30</v>
      </c>
      <c r="AA33" t="s">
        <v>65</v>
      </c>
      <c r="AB33" t="s">
        <v>115</v>
      </c>
      <c r="AC33" t="s">
        <v>157</v>
      </c>
      <c r="AD33" t="s">
        <v>158</v>
      </c>
      <c r="AE33" t="s">
        <v>159</v>
      </c>
      <c r="AF33" t="s">
        <v>42</v>
      </c>
      <c r="AG33" t="s">
        <v>57</v>
      </c>
      <c r="AH33" t="s">
        <v>157</v>
      </c>
      <c r="AI33" t="s">
        <v>346</v>
      </c>
      <c r="AL33" t="str">
        <f t="shared" si="11"/>
        <v>ASA</v>
      </c>
      <c r="AM33" t="str">
        <f t="shared" si="12"/>
        <v>NA</v>
      </c>
      <c r="AN33" t="str">
        <f t="shared" si="6"/>
        <v>X</v>
      </c>
      <c r="AO33" s="1" t="str">
        <f t="shared" si="7"/>
        <v/>
      </c>
      <c r="AP33" s="1" t="str">
        <f t="shared" si="8"/>
        <v/>
      </c>
      <c r="AR33" t="str">
        <f t="shared" si="13"/>
        <v/>
      </c>
      <c r="AU33" s="2" t="s">
        <v>411</v>
      </c>
      <c r="AV33" s="2" t="s">
        <v>58</v>
      </c>
      <c r="AW33" s="2" t="s">
        <v>43</v>
      </c>
      <c r="AX33" s="8">
        <v>46300</v>
      </c>
      <c r="AY33" s="2" t="s">
        <v>160</v>
      </c>
      <c r="AZ33" s="8">
        <v>46313</v>
      </c>
      <c r="BA33" s="2" t="s">
        <v>161</v>
      </c>
      <c r="BB33" s="2" t="s">
        <v>162</v>
      </c>
    </row>
    <row r="34" spans="1:54">
      <c r="A34">
        <v>0</v>
      </c>
      <c r="B34" t="str">
        <v>EU</v>
      </c>
      <c r="C34" t="str">
        <v>EH</v>
      </c>
      <c r="D34" t="str">
        <v>Hungary</v>
      </c>
      <c r="E34" t="str">
        <v>Hungary</v>
      </c>
      <c r="F34" s="11" t="str">
        <v>hu</v>
      </c>
      <c r="G34" s="12">
        <v>46139</v>
      </c>
      <c r="H34" s="1">
        <v>46146</v>
      </c>
      <c r="I34" s="10">
        <f t="shared" si="9"/>
        <v>46146</v>
      </c>
      <c r="N34" t="str">
        <f t="shared" si="0"/>
        <v>EU</v>
      </c>
      <c r="O34" t="str">
        <f t="shared" si="10"/>
        <v>EF</v>
      </c>
      <c r="P34" t="str">
        <f t="shared" si="1"/>
        <v>France</v>
      </c>
      <c r="Q34" t="str">
        <f t="shared" si="2"/>
        <v>France</v>
      </c>
      <c r="R34" t="str">
        <f t="shared" si="3"/>
        <v>fr</v>
      </c>
      <c r="S34" s="1">
        <f t="shared" si="4"/>
        <v>46160</v>
      </c>
      <c r="T34" s="1">
        <f t="shared" si="5"/>
        <v>46173</v>
      </c>
      <c r="Z34">
        <v>31</v>
      </c>
      <c r="AA34" t="s">
        <v>65</v>
      </c>
      <c r="AB34" t="s">
        <v>392</v>
      </c>
      <c r="AC34" t="s">
        <v>163</v>
      </c>
      <c r="AD34" t="s">
        <v>164</v>
      </c>
      <c r="AE34" t="s">
        <v>165</v>
      </c>
      <c r="AF34" t="s">
        <v>42</v>
      </c>
      <c r="AG34" t="s">
        <v>43</v>
      </c>
      <c r="AH34" t="s">
        <v>163</v>
      </c>
      <c r="AI34" t="s">
        <v>343</v>
      </c>
      <c r="AL34" t="str">
        <f t="shared" si="11"/>
        <v>LA</v>
      </c>
      <c r="AM34" t="str">
        <f t="shared" si="12"/>
        <v>EF</v>
      </c>
      <c r="AN34" t="str">
        <f t="shared" si="6"/>
        <v>O</v>
      </c>
      <c r="AO34" s="1">
        <f t="shared" si="7"/>
        <v>46160</v>
      </c>
      <c r="AP34" s="1">
        <f t="shared" si="8"/>
        <v>46173</v>
      </c>
      <c r="AR34" t="str">
        <f t="shared" si="13"/>
        <v/>
      </c>
      <c r="AU34" s="2" t="s">
        <v>412</v>
      </c>
      <c r="AV34" s="2" t="s">
        <v>58</v>
      </c>
      <c r="AW34" s="2" t="s">
        <v>43</v>
      </c>
      <c r="AX34" s="8">
        <v>46132</v>
      </c>
      <c r="AY34" s="2" t="s">
        <v>59</v>
      </c>
      <c r="AZ34" s="8">
        <v>46152</v>
      </c>
      <c r="BA34" s="2" t="s">
        <v>60</v>
      </c>
    </row>
    <row r="35" spans="1:54">
      <c r="A35">
        <v>0</v>
      </c>
      <c r="B35" t="str">
        <v>EU</v>
      </c>
      <c r="C35" t="str">
        <v>UK-IE</v>
      </c>
      <c r="D35" t="str">
        <v>Ireland</v>
      </c>
      <c r="E35" t="str">
        <v>Ireland</v>
      </c>
      <c r="F35" s="11" t="str">
        <v>ie</v>
      </c>
      <c r="G35" s="12" t="str">
        <v>X</v>
      </c>
      <c r="H35" s="1" t="str">
        <v/>
      </c>
      <c r="I35" s="10" t="str">
        <f t="shared" si="9"/>
        <v/>
      </c>
      <c r="N35" t="str">
        <f t="shared" si="0"/>
        <v>CIS</v>
      </c>
      <c r="O35" t="str">
        <f t="shared" si="10"/>
        <v>RC</v>
      </c>
      <c r="P35" t="str">
        <f t="shared" si="1"/>
        <v>Georgia</v>
      </c>
      <c r="Q35" t="str">
        <f t="shared" si="2"/>
        <v>Georgia</v>
      </c>
      <c r="R35" t="str">
        <f t="shared" si="3"/>
        <v>ge</v>
      </c>
      <c r="S35" s="1" t="str">
        <f t="shared" si="4"/>
        <v/>
      </c>
      <c r="T35" s="1" t="str">
        <f t="shared" si="5"/>
        <v/>
      </c>
      <c r="Z35">
        <v>32</v>
      </c>
      <c r="AA35" t="s">
        <v>87</v>
      </c>
      <c r="AB35" t="s">
        <v>442</v>
      </c>
      <c r="AC35" t="s">
        <v>166</v>
      </c>
      <c r="AD35" t="s">
        <v>167</v>
      </c>
      <c r="AE35" t="s">
        <v>168</v>
      </c>
      <c r="AF35" t="s">
        <v>56</v>
      </c>
      <c r="AG35" t="s">
        <v>57</v>
      </c>
      <c r="AH35" t="s">
        <v>166</v>
      </c>
      <c r="AI35" t="s">
        <v>346</v>
      </c>
      <c r="AL35" t="str">
        <f t="shared" si="11"/>
        <v>PR</v>
      </c>
      <c r="AM35" t="str">
        <f t="shared" si="12"/>
        <v/>
      </c>
      <c r="AN35" t="str">
        <f t="shared" si="6"/>
        <v/>
      </c>
      <c r="AO35" s="1" t="str">
        <f t="shared" si="7"/>
        <v/>
      </c>
      <c r="AP35" s="1" t="str">
        <f t="shared" si="8"/>
        <v/>
      </c>
      <c r="AR35" t="str">
        <f t="shared" si="13"/>
        <v/>
      </c>
      <c r="AU35" s="2" t="s">
        <v>413</v>
      </c>
      <c r="AV35" s="2" t="s">
        <v>58</v>
      </c>
      <c r="AW35" s="2" t="s">
        <v>43</v>
      </c>
      <c r="AX35" s="8">
        <v>46139</v>
      </c>
      <c r="AY35" s="2" t="s">
        <v>91</v>
      </c>
      <c r="AZ35" s="8">
        <v>46152</v>
      </c>
      <c r="BA35" s="2" t="s">
        <v>60</v>
      </c>
    </row>
    <row r="36" spans="1:54">
      <c r="A36">
        <v>0</v>
      </c>
      <c r="B36" t="str">
        <v>MENA</v>
      </c>
      <c r="C36" t="str">
        <v>IL</v>
      </c>
      <c r="D36" t="str">
        <v>Israel</v>
      </c>
      <c r="E36" t="str">
        <v>Israel</v>
      </c>
      <c r="F36" s="11" t="str">
        <v>il</v>
      </c>
      <c r="G36" s="12" t="str">
        <v>X</v>
      </c>
      <c r="H36" s="1" t="str">
        <v/>
      </c>
      <c r="I36" s="10" t="str">
        <f t="shared" si="9"/>
        <v/>
      </c>
      <c r="N36" t="str">
        <f t="shared" ref="N36:N56" si="14">IF(ISBLANK(AD36),"",AA36)</f>
        <v>EU</v>
      </c>
      <c r="O36" t="str">
        <f t="shared" si="10"/>
        <v>GR</v>
      </c>
      <c r="P36" t="str">
        <f t="shared" ref="P36:P56" si="15">IF(ISBLANK(AD36),"",AC36)</f>
        <v>Greece</v>
      </c>
      <c r="Q36" t="str">
        <f t="shared" ref="Q36:Q56" si="16">IF(ISBLANK(AD36),"",AH36)</f>
        <v>Greece</v>
      </c>
      <c r="R36" t="str">
        <f t="shared" ref="R36:R56" si="17">IF(ISBLANK(Z36),"",AD36)</f>
        <v>gr</v>
      </c>
      <c r="S36" s="1" t="str">
        <f t="shared" ref="S36:S56" si="18">IF(ISBLANK(AD36),"",IF(AN36="X","X",AO36))</f>
        <v/>
      </c>
      <c r="T36" s="1" t="str">
        <f t="shared" ref="T36:T56" si="19">IF(ISBLANK(AD36),"",IF(AN36="X","",AP36))</f>
        <v/>
      </c>
      <c r="Z36">
        <v>33</v>
      </c>
      <c r="AA36" t="s">
        <v>65</v>
      </c>
      <c r="AB36" t="s">
        <v>446</v>
      </c>
      <c r="AC36" t="s">
        <v>169</v>
      </c>
      <c r="AD36" t="s">
        <v>170</v>
      </c>
      <c r="AE36" t="s">
        <v>171</v>
      </c>
      <c r="AF36" t="s">
        <v>42</v>
      </c>
      <c r="AG36" t="s">
        <v>57</v>
      </c>
      <c r="AH36" t="s">
        <v>169</v>
      </c>
      <c r="AI36" t="s">
        <v>346</v>
      </c>
      <c r="AL36" t="str">
        <f t="shared" si="11"/>
        <v/>
      </c>
      <c r="AM36" t="str">
        <f t="shared" si="12"/>
        <v/>
      </c>
      <c r="AN36" t="str">
        <f t="shared" ref="AN36:AN67" si="20">IF(LEN(TRIM(AM36))=0,"",IFERROR(INDEX($AW$4:$AW$192,MATCH(AM36,$AU$4:$AU$192,0)),""))</f>
        <v/>
      </c>
      <c r="AO36" s="1" t="str">
        <f t="shared" ref="AO36:AO67" si="21">IF(OR(LEN(TRIM(AM36))=0,AN36="X",AN36&lt;&gt;"O"),"",IFERROR(INDEX($AX$4:$AX$192,MATCH(AM36,$AU$4:$AU$192,0)),""))</f>
        <v/>
      </c>
      <c r="AP36" s="1" t="str">
        <f t="shared" ref="AP36:AP67" si="22">IF(OR(LEN(TRIM(AM36))=0,AN36="X",AN36&lt;&gt;"O"),"",IFERROR(INDEX($AZ$4:$AZ$192,MATCH(AM36,$AU$4:$AU$192,0)),""))</f>
        <v/>
      </c>
      <c r="AR36" t="str">
        <f t="shared" si="13"/>
        <v/>
      </c>
      <c r="AT36" s="2" t="s">
        <v>172</v>
      </c>
      <c r="AU36" s="2" t="s">
        <v>51</v>
      </c>
    </row>
    <row r="37" spans="1:54">
      <c r="A37">
        <v>0</v>
      </c>
      <c r="B37" t="str">
        <v>SWA</v>
      </c>
      <c r="C37" t="str">
        <v>IEL</v>
      </c>
      <c r="D37" t="str">
        <v>India</v>
      </c>
      <c r="E37" t="str">
        <v>India</v>
      </c>
      <c r="F37" s="11" t="str">
        <v>in</v>
      </c>
      <c r="G37" s="12">
        <v>46129</v>
      </c>
      <c r="H37" s="1">
        <v>46137</v>
      </c>
      <c r="I37" s="10">
        <f t="shared" si="9"/>
        <v>46137</v>
      </c>
      <c r="N37" t="str">
        <f t="shared" si="14"/>
        <v>CN</v>
      </c>
      <c r="O37" t="str">
        <f t="shared" si="10"/>
        <v>HK</v>
      </c>
      <c r="P37" t="str">
        <f t="shared" si="15"/>
        <v>Hong Kong</v>
      </c>
      <c r="Q37" t="str">
        <f t="shared" si="16"/>
        <v>Hong Kong</v>
      </c>
      <c r="R37" t="str">
        <f t="shared" si="17"/>
        <v>hk</v>
      </c>
      <c r="S37" s="1">
        <f t="shared" si="18"/>
        <v>46143</v>
      </c>
      <c r="T37" s="1">
        <f t="shared" si="19"/>
        <v>46156</v>
      </c>
      <c r="Z37">
        <v>34</v>
      </c>
      <c r="AA37" t="s">
        <v>130</v>
      </c>
      <c r="AB37" t="s">
        <v>437</v>
      </c>
      <c r="AC37" t="s">
        <v>173</v>
      </c>
      <c r="AD37" t="s">
        <v>174</v>
      </c>
      <c r="AE37" t="s">
        <v>175</v>
      </c>
      <c r="AF37" t="s">
        <v>42</v>
      </c>
      <c r="AG37" t="s">
        <v>43</v>
      </c>
      <c r="AH37" t="s">
        <v>173</v>
      </c>
      <c r="AI37" t="s">
        <v>343</v>
      </c>
      <c r="AL37" t="str">
        <f t="shared" si="11"/>
        <v>AU</v>
      </c>
      <c r="AM37" t="str">
        <f t="shared" si="12"/>
        <v>HK</v>
      </c>
      <c r="AN37" t="str">
        <f t="shared" si="20"/>
        <v>O</v>
      </c>
      <c r="AO37" s="1">
        <f t="shared" si="21"/>
        <v>46143</v>
      </c>
      <c r="AP37" s="1">
        <f t="shared" si="22"/>
        <v>46156</v>
      </c>
      <c r="AR37" t="str">
        <f t="shared" ref="AR37:AR70" si="23">IF((AU37="Total"),"",IF(COUNTIF($O$4:$O$191,IF(AU37="한총","SEC",AU37))&gt;0,"","사용 안됨"))</f>
        <v/>
      </c>
      <c r="AU37" s="2" t="s">
        <v>414</v>
      </c>
      <c r="AV37" s="2" t="s">
        <v>58</v>
      </c>
      <c r="AW37" s="2" t="s">
        <v>43</v>
      </c>
      <c r="AX37" s="8">
        <v>46135</v>
      </c>
      <c r="AY37" s="2" t="s">
        <v>59</v>
      </c>
      <c r="AZ37" s="8">
        <v>46155</v>
      </c>
      <c r="BA37" s="2" t="s">
        <v>60</v>
      </c>
    </row>
    <row r="38" spans="1:54">
      <c r="A38">
        <v>0</v>
      </c>
      <c r="B38" t="str">
        <v>MENA</v>
      </c>
      <c r="C38" t="str">
        <v>LV</v>
      </c>
      <c r="D38" t="str">
        <v>Iraq</v>
      </c>
      <c r="E38" t="str">
        <v>Iraq</v>
      </c>
      <c r="F38" s="11" t="str">
        <v>iq_ar</v>
      </c>
      <c r="G38" s="12" t="str">
        <v>TBC</v>
      </c>
      <c r="H38" s="1" t="str">
        <v>TBC</v>
      </c>
      <c r="I38" s="10" t="str">
        <f t="shared" si="9"/>
        <v/>
      </c>
      <c r="N38" t="str">
        <f t="shared" si="14"/>
        <v>CN</v>
      </c>
      <c r="O38" t="str">
        <f t="shared" si="10"/>
        <v>HK</v>
      </c>
      <c r="P38" t="str">
        <f t="shared" si="15"/>
        <v>Hong Kong</v>
      </c>
      <c r="Q38" t="str">
        <f t="shared" si="16"/>
        <v>Hong Kong(en)</v>
      </c>
      <c r="R38" t="str">
        <f t="shared" si="17"/>
        <v>hk_en</v>
      </c>
      <c r="S38" s="1">
        <f t="shared" si="18"/>
        <v>46143</v>
      </c>
      <c r="T38" s="1">
        <f t="shared" si="19"/>
        <v>46156</v>
      </c>
      <c r="Z38">
        <v>35</v>
      </c>
      <c r="AA38" t="s">
        <v>130</v>
      </c>
      <c r="AB38" t="s">
        <v>437</v>
      </c>
      <c r="AC38" t="s">
        <v>173</v>
      </c>
      <c r="AD38" t="s">
        <v>176</v>
      </c>
      <c r="AE38" t="s">
        <v>177</v>
      </c>
      <c r="AF38" t="s">
        <v>42</v>
      </c>
      <c r="AG38" t="s">
        <v>57</v>
      </c>
      <c r="AH38" t="s">
        <v>353</v>
      </c>
      <c r="AI38" t="s">
        <v>346</v>
      </c>
      <c r="AL38" t="str">
        <f t="shared" si="11"/>
        <v>PCO</v>
      </c>
      <c r="AM38" t="str">
        <f t="shared" si="12"/>
        <v>HK</v>
      </c>
      <c r="AN38" t="str">
        <f t="shared" si="20"/>
        <v>O</v>
      </c>
      <c r="AO38" s="1">
        <f t="shared" si="21"/>
        <v>46143</v>
      </c>
      <c r="AP38" s="1">
        <f t="shared" si="22"/>
        <v>46156</v>
      </c>
      <c r="AR38" t="str">
        <f t="shared" si="23"/>
        <v/>
      </c>
      <c r="AU38" s="2" t="s">
        <v>415</v>
      </c>
      <c r="AV38" s="2" t="s">
        <v>58</v>
      </c>
      <c r="AW38" s="2" t="s">
        <v>43</v>
      </c>
      <c r="AX38" s="8">
        <v>46128</v>
      </c>
      <c r="AY38" s="2" t="s">
        <v>178</v>
      </c>
      <c r="AZ38" s="8">
        <v>46153</v>
      </c>
      <c r="BA38" s="2" t="s">
        <v>60</v>
      </c>
    </row>
    <row r="39" spans="1:54">
      <c r="A39">
        <v>0</v>
      </c>
      <c r="B39" t="str">
        <v>MENA</v>
      </c>
      <c r="C39" t="str">
        <v>LV</v>
      </c>
      <c r="D39" t="str">
        <v>Iraq</v>
      </c>
      <c r="E39" t="str">
        <v>Kurdistan</v>
      </c>
      <c r="F39" s="11" t="str">
        <v>iq_ku</v>
      </c>
      <c r="G39" s="12" t="str">
        <v>TBC</v>
      </c>
      <c r="H39" s="1" t="str">
        <v>TBC</v>
      </c>
      <c r="I39" s="10" t="str">
        <f t="shared" si="9"/>
        <v/>
      </c>
      <c r="N39" t="str">
        <f t="shared" si="14"/>
        <v>EU</v>
      </c>
      <c r="O39" t="str">
        <f t="shared" si="10"/>
        <v>AD</v>
      </c>
      <c r="P39" t="str">
        <f t="shared" si="15"/>
        <v>Croatia</v>
      </c>
      <c r="Q39" t="str">
        <f t="shared" si="16"/>
        <v>Croatia</v>
      </c>
      <c r="R39" t="str">
        <f t="shared" si="17"/>
        <v>hr</v>
      </c>
      <c r="S39" s="1" t="str">
        <f t="shared" si="18"/>
        <v>X</v>
      </c>
      <c r="T39" s="1" t="str">
        <f t="shared" si="19"/>
        <v/>
      </c>
      <c r="Z39">
        <v>36</v>
      </c>
      <c r="AA39" t="s">
        <v>65</v>
      </c>
      <c r="AB39" t="s">
        <v>404</v>
      </c>
      <c r="AC39" t="s">
        <v>179</v>
      </c>
      <c r="AD39" t="s">
        <v>180</v>
      </c>
      <c r="AE39" t="s">
        <v>181</v>
      </c>
      <c r="AF39" t="s">
        <v>42</v>
      </c>
      <c r="AG39" t="s">
        <v>57</v>
      </c>
      <c r="AH39" t="s">
        <v>179</v>
      </c>
      <c r="AI39" t="s">
        <v>346</v>
      </c>
      <c r="AL39" t="str">
        <f t="shared" si="11"/>
        <v>IN</v>
      </c>
      <c r="AM39" t="str">
        <f t="shared" si="12"/>
        <v>AD</v>
      </c>
      <c r="AN39" t="str">
        <f t="shared" si="20"/>
        <v>X</v>
      </c>
      <c r="AO39" s="1" t="str">
        <f t="shared" si="21"/>
        <v/>
      </c>
      <c r="AP39" s="1" t="str">
        <f t="shared" si="22"/>
        <v/>
      </c>
      <c r="AR39" t="str">
        <f t="shared" si="23"/>
        <v/>
      </c>
      <c r="AU39" s="2" t="s">
        <v>416</v>
      </c>
      <c r="AV39" s="2" t="s">
        <v>58</v>
      </c>
      <c r="AY39" s="2" t="s">
        <v>69</v>
      </c>
      <c r="BA39" s="2" t="s">
        <v>69</v>
      </c>
      <c r="BB39" s="2" t="s">
        <v>182</v>
      </c>
    </row>
    <row r="40" spans="1:54">
      <c r="A40">
        <v>0</v>
      </c>
      <c r="B40" t="str">
        <v>EU</v>
      </c>
      <c r="C40" t="str">
        <v>EI</v>
      </c>
      <c r="D40" t="str">
        <v>Italy</v>
      </c>
      <c r="E40" t="str">
        <v>Italy</v>
      </c>
      <c r="F40" s="11" t="str">
        <v>it</v>
      </c>
      <c r="G40" s="12">
        <v>46140</v>
      </c>
      <c r="H40" s="1">
        <v>46153</v>
      </c>
      <c r="I40" s="10">
        <f t="shared" si="9"/>
        <v>46152</v>
      </c>
      <c r="N40" t="str">
        <f t="shared" si="14"/>
        <v>EU</v>
      </c>
      <c r="O40" t="str">
        <f t="shared" si="10"/>
        <v>EH</v>
      </c>
      <c r="P40" t="str">
        <f t="shared" si="15"/>
        <v>Hungary</v>
      </c>
      <c r="Q40" t="str">
        <f t="shared" si="16"/>
        <v>Hungary</v>
      </c>
      <c r="R40" t="str">
        <f t="shared" si="17"/>
        <v>hu</v>
      </c>
      <c r="S40" s="1">
        <f t="shared" si="18"/>
        <v>46139</v>
      </c>
      <c r="T40" s="1">
        <f t="shared" si="19"/>
        <v>46146</v>
      </c>
      <c r="Z40">
        <v>37</v>
      </c>
      <c r="AA40" t="s">
        <v>65</v>
      </c>
      <c r="AB40" t="s">
        <v>403</v>
      </c>
      <c r="AC40" t="s">
        <v>183</v>
      </c>
      <c r="AD40" t="s">
        <v>184</v>
      </c>
      <c r="AE40" t="s">
        <v>185</v>
      </c>
      <c r="AF40" t="s">
        <v>42</v>
      </c>
      <c r="AG40" t="s">
        <v>43</v>
      </c>
      <c r="AH40" t="s">
        <v>183</v>
      </c>
      <c r="AI40" t="s">
        <v>343</v>
      </c>
      <c r="AL40" t="str">
        <f t="shared" si="11"/>
        <v>NZ</v>
      </c>
      <c r="AM40" t="str">
        <f t="shared" si="12"/>
        <v>EH</v>
      </c>
      <c r="AN40" t="str">
        <f t="shared" si="20"/>
        <v>O</v>
      </c>
      <c r="AO40" s="1">
        <f t="shared" si="21"/>
        <v>46139</v>
      </c>
      <c r="AP40" s="1">
        <f t="shared" si="22"/>
        <v>46146</v>
      </c>
      <c r="AR40" t="str">
        <f t="shared" si="23"/>
        <v/>
      </c>
      <c r="AU40" s="2" t="s">
        <v>417</v>
      </c>
      <c r="AV40" s="2" t="s">
        <v>58</v>
      </c>
      <c r="AW40" s="2" t="s">
        <v>43</v>
      </c>
      <c r="AX40" s="8">
        <v>46125</v>
      </c>
      <c r="AY40" s="2" t="s">
        <v>178</v>
      </c>
      <c r="AZ40" s="8">
        <v>46153</v>
      </c>
      <c r="BA40" s="2" t="s">
        <v>60</v>
      </c>
    </row>
    <row r="41" spans="1:54">
      <c r="A41">
        <v>0</v>
      </c>
      <c r="B41" t="str">
        <v>Japan</v>
      </c>
      <c r="C41" t="str">
        <v>EJ</v>
      </c>
      <c r="D41" t="str">
        <v>Japan</v>
      </c>
      <c r="E41" t="str">
        <v>Japan</v>
      </c>
      <c r="F41" s="11" t="str">
        <v>jp</v>
      </c>
      <c r="G41" s="12" t="str">
        <v>X</v>
      </c>
      <c r="H41" s="1" t="str">
        <v/>
      </c>
      <c r="I41" s="10" t="str">
        <f t="shared" si="9"/>
        <v/>
      </c>
      <c r="N41" t="str">
        <f t="shared" si="14"/>
        <v>SEAO</v>
      </c>
      <c r="O41" t="str">
        <f t="shared" si="10"/>
        <v>IN</v>
      </c>
      <c r="P41" t="str">
        <f t="shared" si="15"/>
        <v>Indonesia</v>
      </c>
      <c r="Q41" t="str">
        <f t="shared" si="16"/>
        <v>Indonesia</v>
      </c>
      <c r="R41" t="str">
        <f t="shared" si="17"/>
        <v>id</v>
      </c>
      <c r="S41" s="1" t="str">
        <f t="shared" si="18"/>
        <v/>
      </c>
      <c r="T41" s="1" t="str">
        <f t="shared" si="19"/>
        <v/>
      </c>
      <c r="Z41">
        <v>38</v>
      </c>
      <c r="AA41" t="s">
        <v>81</v>
      </c>
      <c r="AB41" t="s">
        <v>416</v>
      </c>
      <c r="AC41" t="s">
        <v>186</v>
      </c>
      <c r="AD41" t="s">
        <v>187</v>
      </c>
      <c r="AE41" t="s">
        <v>188</v>
      </c>
      <c r="AF41" t="s">
        <v>42</v>
      </c>
      <c r="AG41" t="s">
        <v>43</v>
      </c>
      <c r="AH41" t="s">
        <v>186</v>
      </c>
      <c r="AI41" t="s">
        <v>343</v>
      </c>
      <c r="AL41" t="str">
        <f t="shared" si="11"/>
        <v>VNA</v>
      </c>
      <c r="AM41" t="str">
        <f t="shared" si="12"/>
        <v>IN</v>
      </c>
      <c r="AN41">
        <f t="shared" si="20"/>
        <v>0</v>
      </c>
      <c r="AO41" s="1" t="str">
        <f t="shared" si="21"/>
        <v/>
      </c>
      <c r="AP41" s="1" t="str">
        <f t="shared" si="22"/>
        <v/>
      </c>
      <c r="AR41" t="str">
        <f t="shared" si="23"/>
        <v/>
      </c>
      <c r="AU41" s="2" t="s">
        <v>418</v>
      </c>
      <c r="AV41" s="2" t="s">
        <v>58</v>
      </c>
      <c r="AW41" s="2" t="s">
        <v>43</v>
      </c>
      <c r="AX41" s="8">
        <v>46146</v>
      </c>
      <c r="AY41" s="2" t="s">
        <v>95</v>
      </c>
      <c r="AZ41" s="8">
        <v>46155</v>
      </c>
      <c r="BA41" s="2" t="s">
        <v>60</v>
      </c>
    </row>
    <row r="42" spans="1:54">
      <c r="A42">
        <v>0</v>
      </c>
      <c r="B42" t="str">
        <v>CIS</v>
      </c>
      <c r="C42" t="str">
        <v>CE</v>
      </c>
      <c r="D42" t="str">
        <v>Kazakhstan</v>
      </c>
      <c r="E42" t="str">
        <v>Kazakhstan (Kazakh)</v>
      </c>
      <c r="F42" s="11" t="str">
        <v>kz_kz</v>
      </c>
      <c r="G42" s="12">
        <v>46143</v>
      </c>
      <c r="H42" s="1">
        <v>46153</v>
      </c>
      <c r="I42" s="10">
        <f t="shared" si="9"/>
        <v>46152</v>
      </c>
      <c r="N42" t="str">
        <f t="shared" si="14"/>
        <v>EU</v>
      </c>
      <c r="O42" t="str">
        <f t="shared" si="10"/>
        <v>UK-IE</v>
      </c>
      <c r="P42" t="str">
        <f t="shared" si="15"/>
        <v>Ireland</v>
      </c>
      <c r="Q42" t="str">
        <f t="shared" si="16"/>
        <v>Ireland</v>
      </c>
      <c r="R42" t="str">
        <f t="shared" si="17"/>
        <v>ie</v>
      </c>
      <c r="S42" s="1" t="str">
        <f t="shared" si="18"/>
        <v>X</v>
      </c>
      <c r="T42" s="1" t="str">
        <f t="shared" si="19"/>
        <v/>
      </c>
      <c r="Z42">
        <v>39</v>
      </c>
      <c r="AA42" t="s">
        <v>65</v>
      </c>
      <c r="AB42" t="s">
        <v>320</v>
      </c>
      <c r="AC42" t="s">
        <v>189</v>
      </c>
      <c r="AD42" t="s">
        <v>190</v>
      </c>
      <c r="AE42" t="s">
        <v>191</v>
      </c>
      <c r="AF42" t="s">
        <v>192</v>
      </c>
      <c r="AG42" t="s">
        <v>57</v>
      </c>
      <c r="AH42" t="s">
        <v>189</v>
      </c>
      <c r="AI42" t="s">
        <v>346</v>
      </c>
      <c r="AL42" t="str">
        <f t="shared" si="11"/>
        <v>TSE</v>
      </c>
      <c r="AM42" t="str">
        <f t="shared" si="12"/>
        <v>UK-IE</v>
      </c>
      <c r="AN42" t="str">
        <f t="shared" si="20"/>
        <v>X</v>
      </c>
      <c r="AO42" s="1" t="str">
        <f t="shared" si="21"/>
        <v/>
      </c>
      <c r="AP42" s="1" t="str">
        <f t="shared" si="22"/>
        <v/>
      </c>
      <c r="AR42" t="str">
        <f t="shared" si="23"/>
        <v/>
      </c>
      <c r="AU42" s="2" t="s">
        <v>419</v>
      </c>
      <c r="AV42" s="2" t="s">
        <v>58</v>
      </c>
      <c r="AW42" s="2" t="s">
        <v>43</v>
      </c>
      <c r="AX42" s="8">
        <v>46243</v>
      </c>
      <c r="AY42" s="2" t="s">
        <v>193</v>
      </c>
      <c r="AZ42" s="8">
        <v>46249</v>
      </c>
      <c r="BA42" s="2" t="s">
        <v>193</v>
      </c>
      <c r="BB42" s="2" t="s">
        <v>194</v>
      </c>
    </row>
    <row r="43" spans="1:54">
      <c r="A43">
        <v>0</v>
      </c>
      <c r="B43" t="str">
        <v>CIS</v>
      </c>
      <c r="C43" t="str">
        <v>CE</v>
      </c>
      <c r="D43" t="str">
        <v>Kazakhstan</v>
      </c>
      <c r="E43" t="str">
        <v>Kazakhstan</v>
      </c>
      <c r="F43" s="11" t="str">
        <v>kz_ru</v>
      </c>
      <c r="G43" s="12">
        <v>46143</v>
      </c>
      <c r="H43" s="1">
        <v>46153</v>
      </c>
      <c r="I43" s="10">
        <f t="shared" si="9"/>
        <v>46152</v>
      </c>
      <c r="N43" t="str">
        <f t="shared" si="14"/>
        <v>MENA</v>
      </c>
      <c r="O43" t="str">
        <f t="shared" si="10"/>
        <v>IL</v>
      </c>
      <c r="P43" t="str">
        <f t="shared" si="15"/>
        <v>Israel</v>
      </c>
      <c r="Q43" t="str">
        <f t="shared" si="16"/>
        <v>Israel</v>
      </c>
      <c r="R43" t="str">
        <f t="shared" si="17"/>
        <v>il</v>
      </c>
      <c r="S43" s="1" t="str">
        <f t="shared" si="18"/>
        <v>X</v>
      </c>
      <c r="T43" s="1" t="str">
        <f t="shared" si="19"/>
        <v/>
      </c>
      <c r="Z43">
        <v>40</v>
      </c>
      <c r="AA43" t="s">
        <v>38</v>
      </c>
      <c r="AB43" t="s">
        <v>429</v>
      </c>
      <c r="AC43" t="s">
        <v>195</v>
      </c>
      <c r="AD43" t="s">
        <v>196</v>
      </c>
      <c r="AE43" t="s">
        <v>197</v>
      </c>
      <c r="AF43" t="s">
        <v>42</v>
      </c>
      <c r="AG43" t="s">
        <v>57</v>
      </c>
      <c r="AH43" t="s">
        <v>195</v>
      </c>
      <c r="AI43" t="s">
        <v>346</v>
      </c>
      <c r="AL43" t="str">
        <f t="shared" si="11"/>
        <v>ME</v>
      </c>
      <c r="AM43" t="str">
        <f t="shared" si="12"/>
        <v>IL</v>
      </c>
      <c r="AN43" t="str">
        <f t="shared" si="20"/>
        <v>X</v>
      </c>
      <c r="AO43" s="1" t="str">
        <f t="shared" si="21"/>
        <v/>
      </c>
      <c r="AP43" s="1" t="str">
        <f t="shared" si="22"/>
        <v/>
      </c>
      <c r="AR43" t="str">
        <f t="shared" si="23"/>
        <v/>
      </c>
      <c r="AU43" s="2" t="s">
        <v>420</v>
      </c>
      <c r="AV43" s="2" t="s">
        <v>58</v>
      </c>
      <c r="AW43" s="2" t="s">
        <v>57</v>
      </c>
      <c r="AX43" s="8">
        <v>46143</v>
      </c>
      <c r="AY43" s="2" t="s">
        <v>91</v>
      </c>
      <c r="AZ43" s="8">
        <v>46203</v>
      </c>
      <c r="BA43" s="2" t="s">
        <v>198</v>
      </c>
      <c r="BB43" s="2" t="s">
        <v>199</v>
      </c>
    </row>
    <row r="44" spans="1:54">
      <c r="A44">
        <v>0</v>
      </c>
      <c r="B44" t="str">
        <v>LATAM</v>
      </c>
      <c r="C44" t="str">
        <v>LA</v>
      </c>
      <c r="D44" t="str">
        <v>Panama</v>
      </c>
      <c r="E44" t="str">
        <v>Panama (Spanish)</v>
      </c>
      <c r="F44" s="11" t="str">
        <v>latin</v>
      </c>
      <c r="G44" s="12">
        <v>46132</v>
      </c>
      <c r="H44" s="1">
        <v>46152</v>
      </c>
      <c r="I44" s="10">
        <f t="shared" si="9"/>
        <v>46152</v>
      </c>
      <c r="N44" t="str">
        <f t="shared" si="14"/>
        <v>SWA</v>
      </c>
      <c r="O44" t="str">
        <f t="shared" si="10"/>
        <v>IEL</v>
      </c>
      <c r="P44" t="str">
        <f t="shared" si="15"/>
        <v>India</v>
      </c>
      <c r="Q44" t="str">
        <f t="shared" si="16"/>
        <v>India</v>
      </c>
      <c r="R44" t="str">
        <f t="shared" si="17"/>
        <v>in</v>
      </c>
      <c r="S44" s="1">
        <f t="shared" si="18"/>
        <v>46129</v>
      </c>
      <c r="T44" s="1">
        <f t="shared" si="19"/>
        <v>46137</v>
      </c>
      <c r="Z44">
        <v>41</v>
      </c>
      <c r="AA44" t="s">
        <v>96</v>
      </c>
      <c r="AB44" t="s">
        <v>422</v>
      </c>
      <c r="AC44" t="s">
        <v>200</v>
      </c>
      <c r="AD44" t="s">
        <v>201</v>
      </c>
      <c r="AE44" t="s">
        <v>202</v>
      </c>
      <c r="AF44" t="s">
        <v>203</v>
      </c>
      <c r="AG44" t="s">
        <v>43</v>
      </c>
      <c r="AH44" t="s">
        <v>200</v>
      </c>
      <c r="AI44" t="s">
        <v>350</v>
      </c>
      <c r="AL44" t="str">
        <f t="shared" si="11"/>
        <v>SP</v>
      </c>
      <c r="AM44" t="str">
        <f t="shared" si="12"/>
        <v>IEL</v>
      </c>
      <c r="AN44" t="str">
        <f t="shared" si="20"/>
        <v>O</v>
      </c>
      <c r="AO44" s="1">
        <f t="shared" si="21"/>
        <v>46129</v>
      </c>
      <c r="AP44" s="1">
        <f t="shared" si="22"/>
        <v>46137</v>
      </c>
      <c r="AR44" t="str">
        <f t="shared" si="23"/>
        <v/>
      </c>
      <c r="AU44" s="2" t="s">
        <v>421</v>
      </c>
      <c r="AV44" s="2" t="s">
        <v>58</v>
      </c>
      <c r="AW44" s="2" t="s">
        <v>57</v>
      </c>
      <c r="AY44" s="2" t="s">
        <v>69</v>
      </c>
      <c r="BA44" s="2" t="s">
        <v>69</v>
      </c>
      <c r="BB44" s="2" t="s">
        <v>204</v>
      </c>
    </row>
    <row r="45" spans="1:54">
      <c r="A45">
        <v>0</v>
      </c>
      <c r="B45" t="str">
        <v>LATAM</v>
      </c>
      <c r="C45" t="str">
        <v>LA</v>
      </c>
      <c r="D45" t="str">
        <v>Panama</v>
      </c>
      <c r="E45" t="str">
        <v>Panama (English)</v>
      </c>
      <c r="F45" s="11" t="str">
        <v>latin_en</v>
      </c>
      <c r="G45" s="12">
        <v>46132</v>
      </c>
      <c r="H45" s="1">
        <v>46152</v>
      </c>
      <c r="I45" s="10">
        <f t="shared" si="9"/>
        <v>46152</v>
      </c>
      <c r="N45" t="str">
        <f t="shared" si="14"/>
        <v>MENA</v>
      </c>
      <c r="O45" t="str">
        <f t="shared" si="10"/>
        <v>LV</v>
      </c>
      <c r="P45" t="str">
        <f t="shared" si="15"/>
        <v>Iraq</v>
      </c>
      <c r="Q45" t="str">
        <f t="shared" si="16"/>
        <v>Iraq</v>
      </c>
      <c r="R45" t="str">
        <f t="shared" si="17"/>
        <v>iq_ar</v>
      </c>
      <c r="S45" s="1" t="str">
        <f t="shared" si="18"/>
        <v>TBC</v>
      </c>
      <c r="T45" s="1" t="str">
        <f t="shared" si="19"/>
        <v>TBC</v>
      </c>
      <c r="Z45">
        <v>42</v>
      </c>
      <c r="AA45" t="s">
        <v>38</v>
      </c>
      <c r="AB45" t="s">
        <v>426</v>
      </c>
      <c r="AC45" t="s">
        <v>205</v>
      </c>
      <c r="AD45" t="s">
        <v>206</v>
      </c>
      <c r="AE45" t="s">
        <v>207</v>
      </c>
      <c r="AF45" t="s">
        <v>42</v>
      </c>
      <c r="AG45" t="s">
        <v>57</v>
      </c>
      <c r="AH45" t="s">
        <v>205</v>
      </c>
      <c r="AI45" t="s">
        <v>346</v>
      </c>
      <c r="AL45" t="str">
        <f t="shared" si="11"/>
        <v/>
      </c>
      <c r="AM45" t="str">
        <f t="shared" si="12"/>
        <v>LV</v>
      </c>
      <c r="AN45" t="str">
        <f t="shared" si="20"/>
        <v>O</v>
      </c>
      <c r="AO45" s="1" t="str">
        <f t="shared" si="21"/>
        <v>TBC</v>
      </c>
      <c r="AP45" s="1" t="str">
        <f t="shared" si="22"/>
        <v>TBC</v>
      </c>
      <c r="AR45" t="str">
        <f t="shared" si="23"/>
        <v/>
      </c>
      <c r="AT45" s="2" t="s">
        <v>208</v>
      </c>
      <c r="AU45" s="2" t="s">
        <v>51</v>
      </c>
    </row>
    <row r="46" spans="1:54">
      <c r="A46">
        <v>0</v>
      </c>
      <c r="B46" t="str">
        <v>MENA</v>
      </c>
      <c r="C46" t="str">
        <v>LV</v>
      </c>
      <c r="D46" t="str">
        <v>Lebanon</v>
      </c>
      <c r="E46" t="str">
        <v>Lebanon</v>
      </c>
      <c r="F46" s="11" t="str">
        <v>lb</v>
      </c>
      <c r="G46" s="12" t="str">
        <v>TBC</v>
      </c>
      <c r="H46" s="1" t="str">
        <v>TBC</v>
      </c>
      <c r="I46" s="10" t="str">
        <f t="shared" si="9"/>
        <v/>
      </c>
      <c r="N46" t="str">
        <f t="shared" si="14"/>
        <v>MENA</v>
      </c>
      <c r="O46" t="str">
        <f t="shared" si="10"/>
        <v>LV</v>
      </c>
      <c r="P46" t="str">
        <f t="shared" si="15"/>
        <v>Iraq</v>
      </c>
      <c r="Q46" t="str">
        <f t="shared" si="16"/>
        <v>Kurdistan</v>
      </c>
      <c r="R46" t="str">
        <f t="shared" si="17"/>
        <v>iq_ku</v>
      </c>
      <c r="S46" s="1" t="str">
        <f t="shared" si="18"/>
        <v>TBC</v>
      </c>
      <c r="T46" s="1" t="str">
        <f t="shared" si="19"/>
        <v>TBC</v>
      </c>
      <c r="Z46">
        <v>43</v>
      </c>
      <c r="AA46" t="s">
        <v>38</v>
      </c>
      <c r="AB46" t="s">
        <v>426</v>
      </c>
      <c r="AC46" t="s">
        <v>205</v>
      </c>
      <c r="AD46" t="s">
        <v>209</v>
      </c>
      <c r="AE46" t="s">
        <v>210</v>
      </c>
      <c r="AF46" t="s">
        <v>42</v>
      </c>
      <c r="AG46" t="s">
        <v>57</v>
      </c>
      <c r="AH46" t="s">
        <v>354</v>
      </c>
      <c r="AI46" t="s">
        <v>346</v>
      </c>
      <c r="AL46" t="str">
        <f t="shared" si="11"/>
        <v>IEL</v>
      </c>
      <c r="AM46" t="str">
        <f t="shared" si="12"/>
        <v>LV</v>
      </c>
      <c r="AN46" t="str">
        <f t="shared" si="20"/>
        <v>O</v>
      </c>
      <c r="AO46" s="1" t="str">
        <f t="shared" si="21"/>
        <v>TBC</v>
      </c>
      <c r="AP46" s="1" t="str">
        <f t="shared" si="22"/>
        <v>TBC</v>
      </c>
      <c r="AR46" t="str">
        <f t="shared" si="23"/>
        <v/>
      </c>
      <c r="AU46" s="2" t="s">
        <v>422</v>
      </c>
      <c r="AV46" s="2" t="s">
        <v>58</v>
      </c>
      <c r="AW46" s="2" t="s">
        <v>43</v>
      </c>
      <c r="AX46" s="8">
        <v>46129</v>
      </c>
      <c r="AY46" s="2" t="s">
        <v>178</v>
      </c>
      <c r="AZ46" s="8">
        <v>46137</v>
      </c>
      <c r="BA46" s="2" t="s">
        <v>59</v>
      </c>
    </row>
    <row r="47" spans="1:54">
      <c r="A47">
        <v>0</v>
      </c>
      <c r="B47" t="str">
        <v>MENA</v>
      </c>
      <c r="C47" t="str">
        <v>LV</v>
      </c>
      <c r="D47" t="str">
        <v>Jordan</v>
      </c>
      <c r="E47" t="str">
        <v>LEVANT</v>
      </c>
      <c r="F47" s="11" t="str">
        <v>levant</v>
      </c>
      <c r="G47" s="12" t="str">
        <v>TBC</v>
      </c>
      <c r="H47" s="1" t="str">
        <v>TBC</v>
      </c>
      <c r="I47" s="10" t="str">
        <f t="shared" si="9"/>
        <v/>
      </c>
      <c r="N47" t="str">
        <f t="shared" si="14"/>
        <v>MENA</v>
      </c>
      <c r="O47" t="str">
        <f t="shared" si="10"/>
        <v>IR</v>
      </c>
      <c r="P47" t="str">
        <f t="shared" si="15"/>
        <v>iran</v>
      </c>
      <c r="Q47" t="str">
        <f t="shared" si="16"/>
        <v>Iran</v>
      </c>
      <c r="R47" t="str">
        <f t="shared" si="17"/>
        <v>iran</v>
      </c>
      <c r="S47" s="1" t="str">
        <f t="shared" si="18"/>
        <v/>
      </c>
      <c r="T47" s="1" t="str">
        <f t="shared" si="19"/>
        <v/>
      </c>
      <c r="Z47">
        <v>44</v>
      </c>
      <c r="AA47" t="s">
        <v>38</v>
      </c>
      <c r="AB47" t="s">
        <v>447</v>
      </c>
      <c r="AC47" t="s">
        <v>212</v>
      </c>
      <c r="AD47" t="s">
        <v>212</v>
      </c>
      <c r="AE47" t="s">
        <v>213</v>
      </c>
      <c r="AF47" t="s">
        <v>56</v>
      </c>
      <c r="AG47" t="s">
        <v>57</v>
      </c>
      <c r="AH47" t="s">
        <v>211</v>
      </c>
      <c r="AI47" t="s">
        <v>346</v>
      </c>
      <c r="AL47" t="str">
        <f t="shared" si="11"/>
        <v/>
      </c>
      <c r="AM47" t="str">
        <f t="shared" si="12"/>
        <v/>
      </c>
      <c r="AN47" t="str">
        <f t="shared" si="20"/>
        <v/>
      </c>
      <c r="AO47" s="1" t="str">
        <f t="shared" si="21"/>
        <v/>
      </c>
      <c r="AP47" s="1" t="str">
        <f t="shared" si="22"/>
        <v/>
      </c>
      <c r="AR47" t="str">
        <f t="shared" si="23"/>
        <v/>
      </c>
      <c r="AT47" s="2" t="s">
        <v>38</v>
      </c>
      <c r="AU47" s="2" t="s">
        <v>51</v>
      </c>
    </row>
    <row r="48" spans="1:54">
      <c r="A48">
        <v>0</v>
      </c>
      <c r="B48" t="str">
        <v>MENA</v>
      </c>
      <c r="C48" t="str">
        <v>LV</v>
      </c>
      <c r="D48" t="str">
        <v>Jordan</v>
      </c>
      <c r="E48" t="str">
        <v>LEVANT (ar)</v>
      </c>
      <c r="F48" s="11" t="str">
        <v>levant_ar</v>
      </c>
      <c r="G48" s="12" t="str">
        <v>TBC</v>
      </c>
      <c r="H48" s="1" t="str">
        <v>TBC</v>
      </c>
      <c r="I48" s="10" t="str">
        <f t="shared" si="9"/>
        <v/>
      </c>
      <c r="N48" t="str">
        <f t="shared" si="14"/>
        <v>EU</v>
      </c>
      <c r="O48" t="str">
        <f t="shared" si="10"/>
        <v>EI</v>
      </c>
      <c r="P48" t="str">
        <f t="shared" si="15"/>
        <v>Italy</v>
      </c>
      <c r="Q48" t="str">
        <f t="shared" si="16"/>
        <v>Italy</v>
      </c>
      <c r="R48" t="str">
        <f t="shared" si="17"/>
        <v>it</v>
      </c>
      <c r="S48" s="1">
        <f t="shared" si="18"/>
        <v>46140</v>
      </c>
      <c r="T48" s="1">
        <f t="shared" si="19"/>
        <v>46153</v>
      </c>
      <c r="Z48">
        <v>45</v>
      </c>
      <c r="AA48" t="s">
        <v>65</v>
      </c>
      <c r="AB48" t="s">
        <v>393</v>
      </c>
      <c r="AC48" t="s">
        <v>214</v>
      </c>
      <c r="AD48" t="s">
        <v>215</v>
      </c>
      <c r="AE48" t="s">
        <v>216</v>
      </c>
      <c r="AF48" t="s">
        <v>42</v>
      </c>
      <c r="AG48" t="s">
        <v>43</v>
      </c>
      <c r="AH48" t="s">
        <v>214</v>
      </c>
      <c r="AI48" t="s">
        <v>343</v>
      </c>
      <c r="AL48" t="str">
        <f t="shared" si="11"/>
        <v>GE</v>
      </c>
      <c r="AM48" t="str">
        <f t="shared" si="12"/>
        <v>EI</v>
      </c>
      <c r="AN48" t="str">
        <f t="shared" si="20"/>
        <v>O</v>
      </c>
      <c r="AO48" s="1">
        <f t="shared" si="21"/>
        <v>46140</v>
      </c>
      <c r="AP48" s="1">
        <f t="shared" si="22"/>
        <v>46153</v>
      </c>
      <c r="AR48" t="str">
        <f t="shared" si="23"/>
        <v/>
      </c>
      <c r="AU48" s="2" t="s">
        <v>423</v>
      </c>
      <c r="AV48" s="2" t="s">
        <v>58</v>
      </c>
      <c r="AW48" s="2" t="s">
        <v>43</v>
      </c>
      <c r="AX48" s="8" t="s">
        <v>217</v>
      </c>
      <c r="AZ48" s="8" t="s">
        <v>217</v>
      </c>
      <c r="BB48" s="2" t="s">
        <v>218</v>
      </c>
    </row>
    <row r="49" spans="1:54">
      <c r="A49">
        <v>0</v>
      </c>
      <c r="B49" t="str">
        <v>EU</v>
      </c>
      <c r="C49" t="str">
        <v>AD</v>
      </c>
      <c r="D49" t="str">
        <v>Macedonia</v>
      </c>
      <c r="E49" t="str">
        <v>Macedonia</v>
      </c>
      <c r="F49" s="11" t="str">
        <v>mk</v>
      </c>
      <c r="G49" s="12" t="str">
        <v>X</v>
      </c>
      <c r="H49" s="1" t="str">
        <v/>
      </c>
      <c r="I49" s="10" t="str">
        <f t="shared" si="9"/>
        <v/>
      </c>
      <c r="N49" t="str">
        <f t="shared" si="14"/>
        <v>Japan</v>
      </c>
      <c r="O49" t="str">
        <f t="shared" si="10"/>
        <v>EJ</v>
      </c>
      <c r="P49" t="str">
        <f t="shared" si="15"/>
        <v>Japan</v>
      </c>
      <c r="Q49" t="str">
        <f t="shared" si="16"/>
        <v>Japan</v>
      </c>
      <c r="R49" t="str">
        <f t="shared" si="17"/>
        <v>jp</v>
      </c>
      <c r="S49" s="1" t="str">
        <f t="shared" si="18"/>
        <v>X</v>
      </c>
      <c r="T49" s="1" t="str">
        <f t="shared" si="19"/>
        <v/>
      </c>
      <c r="Z49">
        <v>46</v>
      </c>
      <c r="AA49" t="s">
        <v>219</v>
      </c>
      <c r="AB49" t="s">
        <v>439</v>
      </c>
      <c r="AC49" t="s">
        <v>219</v>
      </c>
      <c r="AD49" t="s">
        <v>220</v>
      </c>
      <c r="AE49" t="s">
        <v>221</v>
      </c>
      <c r="AF49" t="s">
        <v>42</v>
      </c>
      <c r="AG49" t="s">
        <v>57</v>
      </c>
      <c r="AH49" t="s">
        <v>219</v>
      </c>
      <c r="AI49" t="s">
        <v>346</v>
      </c>
      <c r="AL49" t="str">
        <f t="shared" si="11"/>
        <v>TK</v>
      </c>
      <c r="AM49" t="str">
        <f t="shared" si="12"/>
        <v>EJ</v>
      </c>
      <c r="AN49" t="str">
        <f t="shared" si="20"/>
        <v>X</v>
      </c>
      <c r="AO49" s="1" t="str">
        <f t="shared" si="21"/>
        <v/>
      </c>
      <c r="AP49" s="1" t="str">
        <f t="shared" si="22"/>
        <v/>
      </c>
      <c r="AR49" t="str">
        <f t="shared" si="23"/>
        <v/>
      </c>
      <c r="AU49" s="2" t="s">
        <v>424</v>
      </c>
      <c r="AV49" s="2" t="s">
        <v>58</v>
      </c>
      <c r="AW49" s="2" t="s">
        <v>43</v>
      </c>
      <c r="AX49" s="8">
        <v>46143</v>
      </c>
      <c r="AY49" s="2" t="s">
        <v>91</v>
      </c>
      <c r="AZ49" s="8">
        <v>46152</v>
      </c>
      <c r="BA49" s="2" t="s">
        <v>60</v>
      </c>
    </row>
    <row r="50" spans="1:54">
      <c r="A50">
        <v>0</v>
      </c>
      <c r="B50" t="str">
        <v>SEAO</v>
      </c>
      <c r="C50" t="str">
        <v>TSE-TH</v>
      </c>
      <c r="D50" t="str">
        <v>Myanmar</v>
      </c>
      <c r="E50" t="str">
        <v>Myanmar</v>
      </c>
      <c r="F50" s="11" t="str">
        <v>mm</v>
      </c>
      <c r="G50" s="12">
        <v>46243</v>
      </c>
      <c r="H50" s="1">
        <v>46249</v>
      </c>
      <c r="I50" s="10" t="str">
        <f t="shared" si="9"/>
        <v/>
      </c>
      <c r="N50" t="str">
        <f t="shared" si="14"/>
        <v>CIS</v>
      </c>
      <c r="O50" t="str">
        <f t="shared" si="10"/>
        <v>CE</v>
      </c>
      <c r="P50" t="str">
        <f t="shared" si="15"/>
        <v>Kazakhstan</v>
      </c>
      <c r="Q50" t="str">
        <f t="shared" si="16"/>
        <v>Kazakhstan (Kazakh)</v>
      </c>
      <c r="R50" t="str">
        <f t="shared" si="17"/>
        <v>kz_kz</v>
      </c>
      <c r="S50" s="1">
        <f t="shared" si="18"/>
        <v>46143</v>
      </c>
      <c r="T50" s="1">
        <f t="shared" si="19"/>
        <v>46153</v>
      </c>
      <c r="Z50">
        <v>47</v>
      </c>
      <c r="AA50" t="s">
        <v>87</v>
      </c>
      <c r="AB50" t="s">
        <v>431</v>
      </c>
      <c r="AC50" t="s">
        <v>222</v>
      </c>
      <c r="AD50" t="s">
        <v>223</v>
      </c>
      <c r="AE50" t="s">
        <v>224</v>
      </c>
      <c r="AF50" t="s">
        <v>42</v>
      </c>
      <c r="AG50" t="s">
        <v>57</v>
      </c>
      <c r="AH50" t="s">
        <v>355</v>
      </c>
      <c r="AI50" t="s">
        <v>346</v>
      </c>
      <c r="AL50" t="str">
        <f t="shared" si="11"/>
        <v>MAG</v>
      </c>
      <c r="AM50" t="str">
        <f t="shared" si="12"/>
        <v>CE</v>
      </c>
      <c r="AN50" t="str">
        <f t="shared" si="20"/>
        <v>O</v>
      </c>
      <c r="AO50" s="1">
        <f t="shared" si="21"/>
        <v>46143</v>
      </c>
      <c r="AP50" s="1">
        <f t="shared" si="22"/>
        <v>46153</v>
      </c>
      <c r="AR50" t="str">
        <f t="shared" si="23"/>
        <v/>
      </c>
      <c r="AU50" s="2" t="s">
        <v>425</v>
      </c>
      <c r="AV50" s="2" t="s">
        <v>58</v>
      </c>
      <c r="AW50" s="2" t="s">
        <v>43</v>
      </c>
      <c r="AX50" s="8" t="s">
        <v>217</v>
      </c>
      <c r="AZ50" s="8" t="s">
        <v>217</v>
      </c>
      <c r="BB50" s="2" t="s">
        <v>218</v>
      </c>
    </row>
    <row r="51" spans="1:54">
      <c r="A51">
        <v>0</v>
      </c>
      <c r="B51" t="str">
        <v>CIS</v>
      </c>
      <c r="C51" t="str">
        <v>CE</v>
      </c>
      <c r="D51" t="str">
        <v>Mongolia</v>
      </c>
      <c r="E51" t="str">
        <v>Mongolia</v>
      </c>
      <c r="F51" s="11" t="str">
        <v>mn</v>
      </c>
      <c r="G51" s="12">
        <v>46143</v>
      </c>
      <c r="H51" s="1">
        <v>46153</v>
      </c>
      <c r="I51" s="10">
        <f t="shared" si="9"/>
        <v>46152</v>
      </c>
      <c r="N51" t="str">
        <f t="shared" si="14"/>
        <v>CIS</v>
      </c>
      <c r="O51" t="str">
        <f t="shared" si="10"/>
        <v>CE</v>
      </c>
      <c r="P51" t="str">
        <f t="shared" si="15"/>
        <v>Kazakhstan</v>
      </c>
      <c r="Q51" t="str">
        <f t="shared" si="16"/>
        <v>Kazakhstan</v>
      </c>
      <c r="R51" t="str">
        <f t="shared" si="17"/>
        <v>kz_ru</v>
      </c>
      <c r="S51" s="1">
        <f t="shared" si="18"/>
        <v>46143</v>
      </c>
      <c r="T51" s="1">
        <f t="shared" si="19"/>
        <v>46153</v>
      </c>
      <c r="Z51">
        <v>48</v>
      </c>
      <c r="AA51" t="s">
        <v>87</v>
      </c>
      <c r="AB51" t="s">
        <v>431</v>
      </c>
      <c r="AC51" t="s">
        <v>222</v>
      </c>
      <c r="AD51" t="s">
        <v>225</v>
      </c>
      <c r="AE51" t="s">
        <v>226</v>
      </c>
      <c r="AF51" t="s">
        <v>42</v>
      </c>
      <c r="AG51" t="s">
        <v>57</v>
      </c>
      <c r="AH51" t="s">
        <v>222</v>
      </c>
      <c r="AI51" t="s">
        <v>346</v>
      </c>
      <c r="AL51" t="str">
        <f t="shared" si="11"/>
        <v>LV</v>
      </c>
      <c r="AM51" t="str">
        <f t="shared" si="12"/>
        <v>CE</v>
      </c>
      <c r="AN51" t="str">
        <f t="shared" si="20"/>
        <v>O</v>
      </c>
      <c r="AO51" s="1">
        <f t="shared" si="21"/>
        <v>46143</v>
      </c>
      <c r="AP51" s="1">
        <f t="shared" si="22"/>
        <v>46153</v>
      </c>
      <c r="AR51" t="str">
        <f t="shared" si="23"/>
        <v/>
      </c>
      <c r="AU51" s="2" t="s">
        <v>426</v>
      </c>
      <c r="AV51" s="2" t="s">
        <v>58</v>
      </c>
      <c r="AW51" s="2" t="s">
        <v>43</v>
      </c>
      <c r="AX51" s="8" t="s">
        <v>217</v>
      </c>
      <c r="AZ51" s="8" t="s">
        <v>217</v>
      </c>
      <c r="BB51" s="2" t="s">
        <v>227</v>
      </c>
    </row>
    <row r="52" spans="1:54">
      <c r="A52">
        <v>0</v>
      </c>
      <c r="B52" t="str">
        <v>LATAM</v>
      </c>
      <c r="C52" t="str">
        <v>EM</v>
      </c>
      <c r="D52" t="str">
        <v>Mexico</v>
      </c>
      <c r="E52" t="str">
        <v>Mexico</v>
      </c>
      <c r="F52" s="11" t="str">
        <v>mx</v>
      </c>
      <c r="G52" s="12">
        <v>46132</v>
      </c>
      <c r="H52" s="1">
        <v>46152</v>
      </c>
      <c r="I52" s="10">
        <f t="shared" si="9"/>
        <v>46152</v>
      </c>
      <c r="N52" t="str">
        <f t="shared" si="14"/>
        <v>LATAM</v>
      </c>
      <c r="O52" t="str">
        <f t="shared" si="10"/>
        <v>LA</v>
      </c>
      <c r="P52" t="str">
        <f t="shared" si="15"/>
        <v>Panama</v>
      </c>
      <c r="Q52" t="str">
        <f t="shared" si="16"/>
        <v>Panama (Spanish)</v>
      </c>
      <c r="R52" t="str">
        <f t="shared" si="17"/>
        <v>latin</v>
      </c>
      <c r="S52" s="1">
        <f t="shared" si="18"/>
        <v>46132</v>
      </c>
      <c r="T52" s="1">
        <f t="shared" si="19"/>
        <v>46152</v>
      </c>
      <c r="Z52">
        <v>49</v>
      </c>
      <c r="AA52" t="s">
        <v>71</v>
      </c>
      <c r="AB52" t="s">
        <v>412</v>
      </c>
      <c r="AC52" t="s">
        <v>228</v>
      </c>
      <c r="AD52" t="s">
        <v>229</v>
      </c>
      <c r="AE52" t="s">
        <v>230</v>
      </c>
      <c r="AF52" t="s">
        <v>231</v>
      </c>
      <c r="AG52" t="s">
        <v>57</v>
      </c>
      <c r="AH52" t="s">
        <v>356</v>
      </c>
      <c r="AI52" t="s">
        <v>346</v>
      </c>
      <c r="AL52" t="str">
        <f t="shared" si="11"/>
        <v>SAR</v>
      </c>
      <c r="AM52" t="str">
        <f t="shared" si="12"/>
        <v>LA</v>
      </c>
      <c r="AN52" t="str">
        <f t="shared" si="20"/>
        <v>O</v>
      </c>
      <c r="AO52" s="1">
        <f t="shared" si="21"/>
        <v>46132</v>
      </c>
      <c r="AP52" s="1">
        <f t="shared" si="22"/>
        <v>46152</v>
      </c>
      <c r="AR52" t="str">
        <f t="shared" si="23"/>
        <v/>
      </c>
      <c r="AU52" s="2" t="s">
        <v>427</v>
      </c>
      <c r="AV52" s="2" t="s">
        <v>58</v>
      </c>
      <c r="AW52" s="2" t="s">
        <v>57</v>
      </c>
    </row>
    <row r="53" spans="1:54">
      <c r="A53">
        <v>0</v>
      </c>
      <c r="B53" t="str">
        <v>SEAO</v>
      </c>
      <c r="C53" t="str">
        <v>ME</v>
      </c>
      <c r="D53" t="str">
        <v>Malaysia</v>
      </c>
      <c r="E53" t="str">
        <v>Malaysia</v>
      </c>
      <c r="F53" s="11" t="str">
        <v>my</v>
      </c>
      <c r="G53" s="12" t="str">
        <v>X</v>
      </c>
      <c r="H53" s="1" t="str">
        <v/>
      </c>
      <c r="I53" s="10" t="str">
        <f t="shared" si="9"/>
        <v/>
      </c>
      <c r="N53" t="str">
        <f t="shared" si="14"/>
        <v>LATAM</v>
      </c>
      <c r="O53" t="str">
        <f t="shared" si="10"/>
        <v>LA</v>
      </c>
      <c r="P53" t="str">
        <f t="shared" si="15"/>
        <v>Panama</v>
      </c>
      <c r="Q53" t="str">
        <f t="shared" si="16"/>
        <v>Panama (English)</v>
      </c>
      <c r="R53" t="str">
        <f t="shared" si="17"/>
        <v>latin_en</v>
      </c>
      <c r="S53" s="1">
        <f t="shared" si="18"/>
        <v>46132</v>
      </c>
      <c r="T53" s="1">
        <f t="shared" si="19"/>
        <v>46152</v>
      </c>
      <c r="Z53">
        <v>50</v>
      </c>
      <c r="AA53" t="s">
        <v>71</v>
      </c>
      <c r="AB53" t="s">
        <v>412</v>
      </c>
      <c r="AC53" t="s">
        <v>228</v>
      </c>
      <c r="AD53" t="s">
        <v>232</v>
      </c>
      <c r="AE53" t="s">
        <v>233</v>
      </c>
      <c r="AF53" t="s">
        <v>231</v>
      </c>
      <c r="AG53" t="s">
        <v>57</v>
      </c>
      <c r="AH53" t="s">
        <v>357</v>
      </c>
      <c r="AI53" t="s">
        <v>346</v>
      </c>
      <c r="AL53" t="str">
        <f t="shared" si="11"/>
        <v>EG</v>
      </c>
      <c r="AM53" t="str">
        <f t="shared" si="12"/>
        <v>LA</v>
      </c>
      <c r="AN53" t="str">
        <f t="shared" si="20"/>
        <v>O</v>
      </c>
      <c r="AO53" s="1">
        <f t="shared" si="21"/>
        <v>46132</v>
      </c>
      <c r="AP53" s="1">
        <f t="shared" si="22"/>
        <v>46152</v>
      </c>
      <c r="AR53" t="str">
        <f t="shared" si="23"/>
        <v>사용 안됨</v>
      </c>
      <c r="AU53" s="2" t="s">
        <v>428</v>
      </c>
      <c r="AV53" s="2" t="s">
        <v>58</v>
      </c>
      <c r="AW53" s="2" t="s">
        <v>43</v>
      </c>
      <c r="AX53" s="8" t="s">
        <v>217</v>
      </c>
      <c r="AZ53" s="8" t="s">
        <v>217</v>
      </c>
      <c r="BB53" s="2" t="s">
        <v>234</v>
      </c>
    </row>
    <row r="54" spans="1:54">
      <c r="A54">
        <v>0</v>
      </c>
      <c r="B54" t="str">
        <v>MENA</v>
      </c>
      <c r="C54" t="str">
        <v>MAG</v>
      </c>
      <c r="D54" t="str">
        <v>Morocco</v>
      </c>
      <c r="E54" t="str">
        <v>North Africa</v>
      </c>
      <c r="F54" s="11" t="str">
        <v>n_africa</v>
      </c>
      <c r="G54" s="12" t="str">
        <v>TBC</v>
      </c>
      <c r="H54" s="1" t="str">
        <v>TBC</v>
      </c>
      <c r="I54" s="10" t="str">
        <f t="shared" si="9"/>
        <v/>
      </c>
      <c r="N54" t="str">
        <f t="shared" si="14"/>
        <v>MENA</v>
      </c>
      <c r="O54" t="str">
        <f t="shared" si="10"/>
        <v>LV</v>
      </c>
      <c r="P54" t="str">
        <f t="shared" si="15"/>
        <v>Lebanon</v>
      </c>
      <c r="Q54" t="str">
        <f t="shared" si="16"/>
        <v>Lebanon</v>
      </c>
      <c r="R54" t="str">
        <f t="shared" si="17"/>
        <v>lb</v>
      </c>
      <c r="S54" s="1" t="str">
        <f t="shared" si="18"/>
        <v>TBC</v>
      </c>
      <c r="T54" s="1" t="str">
        <f t="shared" si="19"/>
        <v>TBC</v>
      </c>
      <c r="Z54">
        <v>51</v>
      </c>
      <c r="AA54" t="s">
        <v>38</v>
      </c>
      <c r="AB54" t="s">
        <v>426</v>
      </c>
      <c r="AC54" t="s">
        <v>235</v>
      </c>
      <c r="AD54" t="s">
        <v>236</v>
      </c>
      <c r="AE54" t="s">
        <v>237</v>
      </c>
      <c r="AF54" t="s">
        <v>56</v>
      </c>
      <c r="AG54" t="s">
        <v>57</v>
      </c>
      <c r="AH54" t="s">
        <v>235</v>
      </c>
      <c r="AI54" t="s">
        <v>346</v>
      </c>
      <c r="AL54" t="str">
        <f t="shared" si="11"/>
        <v>IL</v>
      </c>
      <c r="AM54" t="str">
        <f t="shared" si="12"/>
        <v>LV</v>
      </c>
      <c r="AN54" t="str">
        <f t="shared" si="20"/>
        <v>O</v>
      </c>
      <c r="AO54" s="1" t="str">
        <f t="shared" si="21"/>
        <v>TBC</v>
      </c>
      <c r="AP54" s="1" t="str">
        <f t="shared" si="22"/>
        <v>TBC</v>
      </c>
      <c r="AR54" t="str">
        <f t="shared" si="23"/>
        <v/>
      </c>
      <c r="AU54" s="2" t="s">
        <v>429</v>
      </c>
      <c r="AV54" s="2" t="s">
        <v>58</v>
      </c>
      <c r="AW54" s="2" t="s">
        <v>57</v>
      </c>
    </row>
    <row r="55" spans="1:54">
      <c r="A55">
        <v>0</v>
      </c>
      <c r="B55" t="str">
        <v>EU</v>
      </c>
      <c r="C55" t="str">
        <v>BN-NL</v>
      </c>
      <c r="D55" t="str">
        <v>Netherlands</v>
      </c>
      <c r="E55" t="str">
        <v>Netherlands</v>
      </c>
      <c r="F55" s="11" t="str">
        <v>nl</v>
      </c>
      <c r="G55" s="12">
        <v>46139</v>
      </c>
      <c r="H55" s="1">
        <v>46145</v>
      </c>
      <c r="I55" s="10">
        <f t="shared" si="9"/>
        <v>46145</v>
      </c>
      <c r="N55" t="str">
        <f t="shared" si="14"/>
        <v>MENA</v>
      </c>
      <c r="O55" t="str">
        <f t="shared" si="10"/>
        <v>LV</v>
      </c>
      <c r="P55" t="str">
        <f t="shared" si="15"/>
        <v>Jordan</v>
      </c>
      <c r="Q55" t="str">
        <f t="shared" si="16"/>
        <v>LEVANT</v>
      </c>
      <c r="R55" t="str">
        <f t="shared" si="17"/>
        <v>levant</v>
      </c>
      <c r="S55" s="1" t="str">
        <f t="shared" si="18"/>
        <v>TBC</v>
      </c>
      <c r="T55" s="1" t="str">
        <f t="shared" si="19"/>
        <v>TBC</v>
      </c>
      <c r="Z55">
        <v>52</v>
      </c>
      <c r="AA55" t="s">
        <v>38</v>
      </c>
      <c r="AB55" t="s">
        <v>426</v>
      </c>
      <c r="AC55" t="s">
        <v>238</v>
      </c>
      <c r="AD55" t="s">
        <v>239</v>
      </c>
      <c r="AE55" t="s">
        <v>240</v>
      </c>
      <c r="AF55" t="s">
        <v>42</v>
      </c>
      <c r="AG55" t="s">
        <v>57</v>
      </c>
      <c r="AH55" t="s">
        <v>358</v>
      </c>
      <c r="AI55" t="s">
        <v>346</v>
      </c>
      <c r="AL55" t="str">
        <f t="shared" si="11"/>
        <v>PAK</v>
      </c>
      <c r="AM55" t="str">
        <f t="shared" si="12"/>
        <v>LV</v>
      </c>
      <c r="AN55" t="str">
        <f t="shared" si="20"/>
        <v>O</v>
      </c>
      <c r="AO55" s="1" t="str">
        <f t="shared" si="21"/>
        <v>TBC</v>
      </c>
      <c r="AP55" s="1" t="str">
        <f t="shared" si="22"/>
        <v>TBC</v>
      </c>
      <c r="AR55" t="str">
        <f t="shared" si="23"/>
        <v/>
      </c>
      <c r="AU55" s="2" t="s">
        <v>430</v>
      </c>
      <c r="AV55" s="2" t="s">
        <v>58</v>
      </c>
      <c r="AW55" s="2" t="s">
        <v>43</v>
      </c>
      <c r="AX55" s="8">
        <v>46153</v>
      </c>
      <c r="AY55" s="2" t="s">
        <v>60</v>
      </c>
      <c r="AZ55" s="8" t="s">
        <v>217</v>
      </c>
      <c r="BB55" s="2" t="s">
        <v>241</v>
      </c>
    </row>
    <row r="56" spans="1:54">
      <c r="A56">
        <v>0</v>
      </c>
      <c r="B56" t="str">
        <v>EU</v>
      </c>
      <c r="C56" t="str">
        <v>NA</v>
      </c>
      <c r="D56" t="str">
        <v>Norway</v>
      </c>
      <c r="E56" t="str">
        <v>Norway</v>
      </c>
      <c r="F56" s="11" t="str">
        <v>no</v>
      </c>
      <c r="G56" s="12" t="str">
        <v>X</v>
      </c>
      <c r="H56" s="1" t="str">
        <v/>
      </c>
      <c r="I56" s="10" t="str">
        <f t="shared" si="9"/>
        <v/>
      </c>
      <c r="N56" t="str">
        <f t="shared" si="14"/>
        <v>MENA</v>
      </c>
      <c r="O56" t="str">
        <f t="shared" si="10"/>
        <v>LV</v>
      </c>
      <c r="P56" t="str">
        <f t="shared" si="15"/>
        <v>Jordan</v>
      </c>
      <c r="Q56" t="str">
        <f t="shared" si="16"/>
        <v>LEVANT (ar)</v>
      </c>
      <c r="R56" t="str">
        <f t="shared" si="17"/>
        <v>levant_ar</v>
      </c>
      <c r="S56" s="1" t="str">
        <f t="shared" si="18"/>
        <v>TBC</v>
      </c>
      <c r="T56" s="1" t="str">
        <f t="shared" si="19"/>
        <v>TBC</v>
      </c>
      <c r="Z56">
        <v>53</v>
      </c>
      <c r="AA56" t="s">
        <v>38</v>
      </c>
      <c r="AB56" t="s">
        <v>426</v>
      </c>
      <c r="AC56" t="s">
        <v>238</v>
      </c>
      <c r="AD56" t="s">
        <v>242</v>
      </c>
      <c r="AE56" t="s">
        <v>243</v>
      </c>
      <c r="AF56" t="s">
        <v>42</v>
      </c>
      <c r="AG56" t="s">
        <v>57</v>
      </c>
      <c r="AH56" t="s">
        <v>359</v>
      </c>
      <c r="AI56" t="s">
        <v>346</v>
      </c>
      <c r="AL56" t="str">
        <f t="shared" si="11"/>
        <v/>
      </c>
      <c r="AM56" t="str">
        <f t="shared" si="12"/>
        <v>LV</v>
      </c>
      <c r="AN56" t="str">
        <f t="shared" si="20"/>
        <v>O</v>
      </c>
      <c r="AO56" s="1" t="str">
        <f t="shared" si="21"/>
        <v>TBC</v>
      </c>
      <c r="AP56" s="1" t="str">
        <f t="shared" si="22"/>
        <v>TBC</v>
      </c>
      <c r="AR56" t="str">
        <f t="shared" si="23"/>
        <v/>
      </c>
      <c r="AT56" s="2" t="s">
        <v>87</v>
      </c>
      <c r="AU56" s="2" t="s">
        <v>51</v>
      </c>
    </row>
    <row r="57" spans="1:54">
      <c r="A57">
        <v>0</v>
      </c>
      <c r="B57" t="str">
        <v>SEAO</v>
      </c>
      <c r="C57" t="str">
        <v>NZ</v>
      </c>
      <c r="D57" t="str">
        <v>New Zealand</v>
      </c>
      <c r="E57" t="str">
        <v>New Zealand</v>
      </c>
      <c r="F57" s="11" t="str">
        <v>nz</v>
      </c>
      <c r="G57" s="12">
        <v>46125</v>
      </c>
      <c r="H57" s="1">
        <v>46153</v>
      </c>
      <c r="I57" s="10">
        <f t="shared" si="9"/>
        <v>46152</v>
      </c>
      <c r="N57" t="str">
        <f t="shared" ref="N57:N120" si="24">IF(ISBLANK(AD57),"",AA57)</f>
        <v>EU</v>
      </c>
      <c r="O57" t="str">
        <f t="shared" si="10"/>
        <v>EB</v>
      </c>
      <c r="P57" t="str">
        <f t="shared" ref="P57:P120" si="25">IF(ISBLANK(AD57),"",AC57)</f>
        <v>Lithuania</v>
      </c>
      <c r="Q57" t="str">
        <f t="shared" ref="Q57:Q120" si="26">IF(ISBLANK(AD57),"",AH57)</f>
        <v>Lithuania</v>
      </c>
      <c r="R57" t="str">
        <f t="shared" ref="R57:R120" si="27">IF(ISBLANK(Z57),"",AD57)</f>
        <v>lt</v>
      </c>
      <c r="S57" s="1" t="str">
        <f t="shared" ref="S57:S120" si="28">IF(ISBLANK(AD57),"",IF(AN57="X","X",AO57))</f>
        <v/>
      </c>
      <c r="T57" s="1" t="str">
        <f t="shared" ref="T57:T120" si="29">IF(ISBLANK(AD57),"",IF(AN57="X","",AP57))</f>
        <v/>
      </c>
      <c r="Z57">
        <v>54</v>
      </c>
      <c r="AA57" t="s">
        <v>65</v>
      </c>
      <c r="AB57" t="s">
        <v>405</v>
      </c>
      <c r="AC57" t="s">
        <v>360</v>
      </c>
      <c r="AD57" t="s">
        <v>361</v>
      </c>
      <c r="AE57" t="s">
        <v>362</v>
      </c>
      <c r="AF57" t="s">
        <v>42</v>
      </c>
      <c r="AG57" t="s">
        <v>57</v>
      </c>
      <c r="AH57" t="s">
        <v>360</v>
      </c>
      <c r="AI57" t="s">
        <v>346</v>
      </c>
      <c r="AL57" t="str">
        <f t="shared" si="11"/>
        <v>CE</v>
      </c>
      <c r="AM57" t="str">
        <f t="shared" si="12"/>
        <v>EB</v>
      </c>
      <c r="AN57">
        <f t="shared" si="20"/>
        <v>0</v>
      </c>
      <c r="AO57" s="1" t="str">
        <f t="shared" si="21"/>
        <v/>
      </c>
      <c r="AP57" s="1" t="str">
        <f t="shared" si="22"/>
        <v/>
      </c>
      <c r="AR57" t="str">
        <f t="shared" si="23"/>
        <v/>
      </c>
      <c r="AU57" s="2" t="s">
        <v>431</v>
      </c>
      <c r="AV57" s="2" t="s">
        <v>58</v>
      </c>
      <c r="AW57" s="2" t="s">
        <v>43</v>
      </c>
      <c r="AX57" s="8">
        <v>46143</v>
      </c>
      <c r="AY57" s="2" t="s">
        <v>95</v>
      </c>
      <c r="AZ57" s="8">
        <v>46153</v>
      </c>
      <c r="BA57" s="2" t="s">
        <v>85</v>
      </c>
    </row>
    <row r="58" spans="1:54">
      <c r="A58">
        <v>0</v>
      </c>
      <c r="B58" t="str">
        <v>LATAM</v>
      </c>
      <c r="C58" t="str">
        <v>PR</v>
      </c>
      <c r="D58" t="str">
        <v>Peru</v>
      </c>
      <c r="E58" t="str">
        <v>Peru</v>
      </c>
      <c r="F58" s="11" t="str">
        <v>pe</v>
      </c>
      <c r="G58" s="12">
        <v>46139</v>
      </c>
      <c r="H58" s="1">
        <v>46152</v>
      </c>
      <c r="I58" s="10">
        <f t="shared" si="9"/>
        <v>46152</v>
      </c>
      <c r="N58" t="str">
        <f t="shared" si="24"/>
        <v>EU</v>
      </c>
      <c r="O58" t="str">
        <f t="shared" si="10"/>
        <v>EB</v>
      </c>
      <c r="P58" t="str">
        <f t="shared" si="25"/>
        <v>Latvia</v>
      </c>
      <c r="Q58" t="str">
        <f t="shared" si="26"/>
        <v>Latvia</v>
      </c>
      <c r="R58" t="str">
        <f t="shared" si="27"/>
        <v>lv</v>
      </c>
      <c r="S58" s="1" t="str">
        <f t="shared" si="28"/>
        <v/>
      </c>
      <c r="T58" s="1" t="str">
        <f t="shared" si="29"/>
        <v/>
      </c>
      <c r="Z58">
        <v>55</v>
      </c>
      <c r="AA58" t="s">
        <v>65</v>
      </c>
      <c r="AB58" t="s">
        <v>405</v>
      </c>
      <c r="AC58" t="s">
        <v>363</v>
      </c>
      <c r="AD58" t="s">
        <v>364</v>
      </c>
      <c r="AE58" t="s">
        <v>365</v>
      </c>
      <c r="AF58" t="s">
        <v>42</v>
      </c>
      <c r="AG58" t="s">
        <v>57</v>
      </c>
      <c r="AH58" t="s">
        <v>363</v>
      </c>
      <c r="AI58" t="s">
        <v>346</v>
      </c>
      <c r="AL58" t="str">
        <f t="shared" si="11"/>
        <v/>
      </c>
      <c r="AM58" t="str">
        <f t="shared" si="12"/>
        <v>EB</v>
      </c>
      <c r="AN58">
        <f t="shared" si="20"/>
        <v>0</v>
      </c>
      <c r="AO58" s="1" t="str">
        <f t="shared" si="21"/>
        <v/>
      </c>
      <c r="AP58" s="1" t="str">
        <f t="shared" si="22"/>
        <v/>
      </c>
      <c r="AR58" t="str">
        <f t="shared" si="23"/>
        <v/>
      </c>
      <c r="AT58" s="2" t="s">
        <v>52</v>
      </c>
      <c r="AU58" s="2" t="s">
        <v>51</v>
      </c>
    </row>
    <row r="59" spans="1:54">
      <c r="A59">
        <v>0</v>
      </c>
      <c r="B59" t="str">
        <v>SEAO</v>
      </c>
      <c r="C59" t="str">
        <v>PCO</v>
      </c>
      <c r="D59" t="str">
        <v>Philippines</v>
      </c>
      <c r="E59" t="str">
        <v>Philippines</v>
      </c>
      <c r="F59" s="11" t="str">
        <v>ph</v>
      </c>
      <c r="G59" s="12">
        <v>46128</v>
      </c>
      <c r="H59" s="1">
        <v>46153</v>
      </c>
      <c r="I59" s="10">
        <f t="shared" si="9"/>
        <v>46152</v>
      </c>
      <c r="N59" t="str">
        <f t="shared" si="24"/>
        <v>EU</v>
      </c>
      <c r="O59" t="str">
        <f t="shared" si="10"/>
        <v>AD</v>
      </c>
      <c r="P59" t="str">
        <f t="shared" si="25"/>
        <v>Macedonia</v>
      </c>
      <c r="Q59" t="str">
        <f t="shared" si="26"/>
        <v>Macedonia</v>
      </c>
      <c r="R59" t="str">
        <f t="shared" si="27"/>
        <v>mk</v>
      </c>
      <c r="S59" s="1" t="str">
        <f t="shared" si="28"/>
        <v>X</v>
      </c>
      <c r="T59" s="1" t="str">
        <f t="shared" si="29"/>
        <v/>
      </c>
      <c r="Z59">
        <v>56</v>
      </c>
      <c r="AA59" t="s">
        <v>65</v>
      </c>
      <c r="AB59" t="s">
        <v>404</v>
      </c>
      <c r="AC59" t="s">
        <v>366</v>
      </c>
      <c r="AD59" t="s">
        <v>367</v>
      </c>
      <c r="AE59" t="s">
        <v>368</v>
      </c>
      <c r="AF59" t="s">
        <v>56</v>
      </c>
      <c r="AG59" t="s">
        <v>57</v>
      </c>
      <c r="AH59" t="s">
        <v>366</v>
      </c>
      <c r="AI59" t="s">
        <v>346</v>
      </c>
      <c r="AL59" t="str">
        <f t="shared" si="11"/>
        <v>SA</v>
      </c>
      <c r="AM59" t="str">
        <f t="shared" si="12"/>
        <v>AD</v>
      </c>
      <c r="AN59" t="str">
        <f t="shared" si="20"/>
        <v>X</v>
      </c>
      <c r="AO59" s="1" t="str">
        <f t="shared" si="21"/>
        <v/>
      </c>
      <c r="AP59" s="1" t="str">
        <f t="shared" si="22"/>
        <v/>
      </c>
      <c r="AR59" t="str">
        <f t="shared" si="23"/>
        <v/>
      </c>
      <c r="AU59" s="2" t="s">
        <v>432</v>
      </c>
      <c r="AV59" s="2" t="s">
        <v>58</v>
      </c>
      <c r="AW59" s="2" t="s">
        <v>43</v>
      </c>
      <c r="AX59" s="8">
        <v>46132</v>
      </c>
      <c r="AY59" s="2" t="s">
        <v>59</v>
      </c>
      <c r="AZ59" s="8">
        <v>46152</v>
      </c>
      <c r="BA59" s="2" t="s">
        <v>60</v>
      </c>
    </row>
    <row r="60" spans="1:54">
      <c r="A60">
        <v>0</v>
      </c>
      <c r="B60" t="str">
        <v>MENA</v>
      </c>
      <c r="C60" t="str">
        <v>PAK</v>
      </c>
      <c r="D60" t="str">
        <v>Pakistan</v>
      </c>
      <c r="E60" t="str">
        <v>Pakistan</v>
      </c>
      <c r="F60" s="11" t="str">
        <v>pk</v>
      </c>
      <c r="G60" s="12">
        <v>46153</v>
      </c>
      <c r="H60" s="1" t="str">
        <v>TBC</v>
      </c>
      <c r="I60" s="10" t="str">
        <f t="shared" si="9"/>
        <v/>
      </c>
      <c r="N60" t="str">
        <f t="shared" si="24"/>
        <v>SEAO</v>
      </c>
      <c r="O60" t="str">
        <f t="shared" si="10"/>
        <v>TSE-TH</v>
      </c>
      <c r="P60" t="str">
        <f t="shared" si="25"/>
        <v>Myanmar</v>
      </c>
      <c r="Q60" t="str">
        <f t="shared" si="26"/>
        <v>Myanmar</v>
      </c>
      <c r="R60" t="str">
        <f t="shared" si="27"/>
        <v>mm</v>
      </c>
      <c r="S60" s="1">
        <f t="shared" si="28"/>
        <v>46243</v>
      </c>
      <c r="T60" s="1">
        <f t="shared" si="29"/>
        <v>46249</v>
      </c>
      <c r="Z60">
        <v>57</v>
      </c>
      <c r="AA60" t="s">
        <v>81</v>
      </c>
      <c r="AB60" t="s">
        <v>448</v>
      </c>
      <c r="AC60" t="s">
        <v>369</v>
      </c>
      <c r="AD60" t="s">
        <v>370</v>
      </c>
      <c r="AE60" t="s">
        <v>371</v>
      </c>
      <c r="AF60" t="s">
        <v>56</v>
      </c>
      <c r="AG60" t="s">
        <v>57</v>
      </c>
      <c r="AH60" t="s">
        <v>369</v>
      </c>
      <c r="AI60" t="s">
        <v>346</v>
      </c>
      <c r="AL60" t="str">
        <f t="shared" si="11"/>
        <v>WA</v>
      </c>
      <c r="AM60" t="str">
        <f t="shared" si="12"/>
        <v>TSE-TH</v>
      </c>
      <c r="AN60" t="str">
        <f t="shared" si="20"/>
        <v>O</v>
      </c>
      <c r="AO60" s="1">
        <f t="shared" si="21"/>
        <v>46243</v>
      </c>
      <c r="AP60" s="1">
        <f t="shared" si="22"/>
        <v>46249</v>
      </c>
      <c r="AR60" t="str">
        <f t="shared" si="23"/>
        <v/>
      </c>
      <c r="AU60" s="2" t="s">
        <v>433</v>
      </c>
      <c r="AV60" s="2" t="s">
        <v>58</v>
      </c>
      <c r="AW60" s="2" t="s">
        <v>43</v>
      </c>
      <c r="AX60" s="8">
        <v>46132</v>
      </c>
      <c r="AY60" s="2" t="s">
        <v>59</v>
      </c>
      <c r="AZ60" s="8">
        <v>46152</v>
      </c>
      <c r="BA60" s="2" t="s">
        <v>60</v>
      </c>
    </row>
    <row r="61" spans="1:54">
      <c r="A61">
        <v>0</v>
      </c>
      <c r="B61" t="str">
        <v>MENA</v>
      </c>
      <c r="C61" t="str">
        <v>IL</v>
      </c>
      <c r="D61" t="str">
        <v>Palestine</v>
      </c>
      <c r="E61" t="str">
        <v>Palestine</v>
      </c>
      <c r="F61" s="11" t="str">
        <v>ps</v>
      </c>
      <c r="G61" s="12" t="str">
        <v>X</v>
      </c>
      <c r="H61" s="1" t="str">
        <v/>
      </c>
      <c r="I61" s="10" t="str">
        <f t="shared" si="9"/>
        <v/>
      </c>
      <c r="N61" t="str">
        <f t="shared" si="24"/>
        <v>CIS</v>
      </c>
      <c r="O61" t="str">
        <f t="shared" si="10"/>
        <v>CE</v>
      </c>
      <c r="P61" t="str">
        <f t="shared" si="25"/>
        <v>Mongolia</v>
      </c>
      <c r="Q61" t="str">
        <f t="shared" si="26"/>
        <v>Mongolia</v>
      </c>
      <c r="R61" t="str">
        <f t="shared" si="27"/>
        <v>mn</v>
      </c>
      <c r="S61" s="1">
        <f t="shared" si="28"/>
        <v>46143</v>
      </c>
      <c r="T61" s="1">
        <f t="shared" si="29"/>
        <v>46153</v>
      </c>
      <c r="Z61">
        <v>58</v>
      </c>
      <c r="AA61" t="s">
        <v>87</v>
      </c>
      <c r="AB61" t="s">
        <v>431</v>
      </c>
      <c r="AC61" t="s">
        <v>372</v>
      </c>
      <c r="AD61" t="s">
        <v>373</v>
      </c>
      <c r="AE61" t="s">
        <v>374</v>
      </c>
      <c r="AF61" t="s">
        <v>56</v>
      </c>
      <c r="AG61" t="s">
        <v>57</v>
      </c>
      <c r="AH61" t="s">
        <v>372</v>
      </c>
      <c r="AI61" t="s">
        <v>346</v>
      </c>
      <c r="AL61" t="str">
        <f t="shared" si="11"/>
        <v>WA</v>
      </c>
      <c r="AM61" t="str">
        <f t="shared" si="12"/>
        <v>CE</v>
      </c>
      <c r="AN61" t="str">
        <f t="shared" si="20"/>
        <v>O</v>
      </c>
      <c r="AO61" s="1">
        <f t="shared" si="21"/>
        <v>46143</v>
      </c>
      <c r="AP61" s="1">
        <f t="shared" si="22"/>
        <v>46153</v>
      </c>
      <c r="AR61" t="str">
        <f t="shared" si="23"/>
        <v/>
      </c>
      <c r="AU61" s="2" t="s">
        <v>434</v>
      </c>
      <c r="AV61" s="2" t="s">
        <v>58</v>
      </c>
      <c r="AW61" s="2" t="s">
        <v>43</v>
      </c>
      <c r="AX61" s="8">
        <v>46132</v>
      </c>
      <c r="AY61" s="2" t="s">
        <v>59</v>
      </c>
      <c r="AZ61" s="8">
        <v>46152</v>
      </c>
      <c r="BA61" s="2" t="s">
        <v>60</v>
      </c>
    </row>
    <row r="62" spans="1:54">
      <c r="A62">
        <v>0</v>
      </c>
      <c r="B62" t="str">
        <v>EU</v>
      </c>
      <c r="C62" t="str">
        <v>IB-PT</v>
      </c>
      <c r="D62" t="str">
        <v>Portugal</v>
      </c>
      <c r="E62" t="str">
        <v>Portugal</v>
      </c>
      <c r="F62" s="11" t="str">
        <v>pt</v>
      </c>
      <c r="G62" s="12">
        <v>46132</v>
      </c>
      <c r="H62" s="1">
        <v>46152</v>
      </c>
      <c r="I62" s="10">
        <f t="shared" si="9"/>
        <v>46152</v>
      </c>
      <c r="N62" t="str">
        <f t="shared" si="24"/>
        <v>LATAM</v>
      </c>
      <c r="O62" t="str">
        <f t="shared" si="10"/>
        <v>EM</v>
      </c>
      <c r="P62" t="str">
        <f t="shared" si="25"/>
        <v>Mexico</v>
      </c>
      <c r="Q62" t="str">
        <f t="shared" si="26"/>
        <v>Mexico</v>
      </c>
      <c r="R62" t="str">
        <f t="shared" si="27"/>
        <v>mx</v>
      </c>
      <c r="S62" s="1">
        <f t="shared" si="28"/>
        <v>46132</v>
      </c>
      <c r="T62" s="1">
        <f t="shared" si="29"/>
        <v>46152</v>
      </c>
      <c r="Z62">
        <v>59</v>
      </c>
      <c r="AA62" t="s">
        <v>71</v>
      </c>
      <c r="AB62" t="s">
        <v>408</v>
      </c>
      <c r="AC62" t="s">
        <v>375</v>
      </c>
      <c r="AD62" t="s">
        <v>376</v>
      </c>
      <c r="AE62" t="s">
        <v>377</v>
      </c>
      <c r="AF62" t="s">
        <v>42</v>
      </c>
      <c r="AG62" t="s">
        <v>43</v>
      </c>
      <c r="AH62" t="s">
        <v>375</v>
      </c>
      <c r="AI62" t="s">
        <v>343</v>
      </c>
      <c r="AL62" t="str">
        <f t="shared" si="11"/>
        <v>EEA</v>
      </c>
      <c r="AM62" t="str">
        <f t="shared" si="12"/>
        <v>EM</v>
      </c>
      <c r="AN62" t="str">
        <f t="shared" si="20"/>
        <v>O</v>
      </c>
      <c r="AO62" s="1">
        <f t="shared" si="21"/>
        <v>46132</v>
      </c>
      <c r="AP62" s="1">
        <f t="shared" si="22"/>
        <v>46152</v>
      </c>
      <c r="AR62" t="str">
        <f t="shared" si="23"/>
        <v>사용 안됨</v>
      </c>
      <c r="AU62" s="2" t="s">
        <v>435</v>
      </c>
      <c r="AV62" s="2" t="s">
        <v>58</v>
      </c>
      <c r="BA62" s="2" t="s">
        <v>69</v>
      </c>
    </row>
    <row r="63" spans="1:54">
      <c r="A63">
        <v>0</v>
      </c>
      <c r="B63" t="str">
        <v>LATAM</v>
      </c>
      <c r="C63" t="str">
        <v>LA</v>
      </c>
      <c r="D63" t="str">
        <v>Paraguay</v>
      </c>
      <c r="E63" t="str">
        <v>Paraguay</v>
      </c>
      <c r="F63" s="11" t="str">
        <v>py</v>
      </c>
      <c r="G63" s="12">
        <v>46132</v>
      </c>
      <c r="H63" s="1">
        <v>46152</v>
      </c>
      <c r="I63" s="10">
        <f t="shared" si="9"/>
        <v>46152</v>
      </c>
      <c r="N63" t="str">
        <f t="shared" si="24"/>
        <v>SEAO</v>
      </c>
      <c r="O63" t="str">
        <f t="shared" si="10"/>
        <v>ME</v>
      </c>
      <c r="P63" t="str">
        <f t="shared" si="25"/>
        <v>Malaysia</v>
      </c>
      <c r="Q63" t="str">
        <f t="shared" si="26"/>
        <v>Malaysia</v>
      </c>
      <c r="R63" t="str">
        <f t="shared" si="27"/>
        <v>my</v>
      </c>
      <c r="S63" s="1" t="str">
        <f t="shared" si="28"/>
        <v>X</v>
      </c>
      <c r="T63" s="1" t="str">
        <f t="shared" si="29"/>
        <v/>
      </c>
      <c r="Z63">
        <v>60</v>
      </c>
      <c r="AA63" t="s">
        <v>81</v>
      </c>
      <c r="AB63" t="s">
        <v>420</v>
      </c>
      <c r="AC63" t="s">
        <v>378</v>
      </c>
      <c r="AD63" t="s">
        <v>379</v>
      </c>
      <c r="AE63" t="s">
        <v>380</v>
      </c>
      <c r="AF63" t="s">
        <v>42</v>
      </c>
      <c r="AG63" t="s">
        <v>43</v>
      </c>
      <c r="AH63" t="s">
        <v>378</v>
      </c>
      <c r="AI63" t="s">
        <v>343</v>
      </c>
      <c r="AL63" t="str">
        <f t="shared" si="11"/>
        <v/>
      </c>
      <c r="AM63" t="str">
        <f t="shared" si="12"/>
        <v>ME</v>
      </c>
      <c r="AN63" t="str">
        <f t="shared" si="20"/>
        <v>X</v>
      </c>
      <c r="AO63" s="1" t="str">
        <f t="shared" si="21"/>
        <v/>
      </c>
      <c r="AP63" s="1" t="str">
        <f t="shared" si="22"/>
        <v/>
      </c>
      <c r="AR63" t="str">
        <f t="shared" si="23"/>
        <v/>
      </c>
      <c r="AT63" s="2" t="s">
        <v>131</v>
      </c>
      <c r="AU63" s="2" t="s">
        <v>51</v>
      </c>
    </row>
    <row r="64" spans="1:54">
      <c r="A64">
        <v>0</v>
      </c>
      <c r="B64" t="str">
        <v>EU</v>
      </c>
      <c r="C64" t="str">
        <v>ROM</v>
      </c>
      <c r="D64" t="str">
        <v>Romania</v>
      </c>
      <c r="E64" t="str">
        <v>Romania</v>
      </c>
      <c r="F64" s="11" t="str">
        <v>ro</v>
      </c>
      <c r="G64" s="12">
        <v>46085</v>
      </c>
      <c r="H64" s="1">
        <v>46091</v>
      </c>
      <c r="I64" s="10">
        <f t="shared" si="9"/>
        <v>46091</v>
      </c>
      <c r="N64" t="str">
        <f t="shared" si="24"/>
        <v>MENA</v>
      </c>
      <c r="O64" t="str">
        <f t="shared" si="10"/>
        <v>MAG</v>
      </c>
      <c r="P64" t="str">
        <f t="shared" si="25"/>
        <v>Morocco</v>
      </c>
      <c r="Q64" t="str">
        <f t="shared" si="26"/>
        <v>North Africa</v>
      </c>
      <c r="R64" t="str">
        <f t="shared" si="27"/>
        <v>n_africa</v>
      </c>
      <c r="S64" s="1" t="str">
        <f t="shared" si="28"/>
        <v>TBC</v>
      </c>
      <c r="T64" s="1" t="str">
        <f t="shared" si="29"/>
        <v>TBC</v>
      </c>
      <c r="Z64">
        <v>61</v>
      </c>
      <c r="AA64" t="s">
        <v>38</v>
      </c>
      <c r="AB64" t="s">
        <v>425</v>
      </c>
      <c r="AC64" t="s">
        <v>381</v>
      </c>
      <c r="AD64" t="s">
        <v>382</v>
      </c>
      <c r="AE64" t="s">
        <v>383</v>
      </c>
      <c r="AF64" t="s">
        <v>42</v>
      </c>
      <c r="AG64" t="s">
        <v>57</v>
      </c>
      <c r="AH64" t="s">
        <v>384</v>
      </c>
      <c r="AI64" t="s">
        <v>346</v>
      </c>
      <c r="AL64" t="str">
        <f t="shared" si="11"/>
        <v>CIC</v>
      </c>
      <c r="AM64" t="str">
        <f t="shared" si="12"/>
        <v>MAG</v>
      </c>
      <c r="AN64" t="str">
        <f t="shared" si="20"/>
        <v>O</v>
      </c>
      <c r="AO64" s="1" t="str">
        <f t="shared" si="21"/>
        <v>TBC</v>
      </c>
      <c r="AP64" s="1" t="str">
        <f t="shared" si="22"/>
        <v>TBC</v>
      </c>
      <c r="AR64" t="str">
        <f t="shared" si="23"/>
        <v/>
      </c>
      <c r="AU64" s="2" t="s">
        <v>436</v>
      </c>
      <c r="AV64" s="2" t="s">
        <v>58</v>
      </c>
      <c r="AW64" s="2" t="s">
        <v>43</v>
      </c>
      <c r="AX64" s="8">
        <v>46143</v>
      </c>
      <c r="AY64" s="2" t="s">
        <v>91</v>
      </c>
      <c r="AZ64" s="8">
        <v>46152</v>
      </c>
      <c r="BA64" s="2" t="s">
        <v>60</v>
      </c>
      <c r="BB64" s="2" t="s">
        <v>268</v>
      </c>
    </row>
    <row r="65" spans="1:54">
      <c r="A65">
        <v>0</v>
      </c>
      <c r="B65" t="str">
        <v>EU</v>
      </c>
      <c r="C65" t="str">
        <v>AD</v>
      </c>
      <c r="D65" t="str">
        <v>Serbia</v>
      </c>
      <c r="E65" t="str">
        <v>Serbia</v>
      </c>
      <c r="F65" s="11" t="str">
        <v>rs</v>
      </c>
      <c r="G65" s="12" t="str">
        <v>X</v>
      </c>
      <c r="H65" s="1" t="str">
        <v/>
      </c>
      <c r="I65" s="10" t="str">
        <f t="shared" si="9"/>
        <v/>
      </c>
      <c r="N65" t="str">
        <f t="shared" si="24"/>
        <v>EU</v>
      </c>
      <c r="O65" t="str">
        <f t="shared" si="10"/>
        <v>BN-NL</v>
      </c>
      <c r="P65" t="str">
        <f t="shared" si="25"/>
        <v>Netherlands</v>
      </c>
      <c r="Q65" t="str">
        <f t="shared" si="26"/>
        <v>Netherlands</v>
      </c>
      <c r="R65" t="str">
        <f t="shared" si="27"/>
        <v>nl</v>
      </c>
      <c r="S65" s="1">
        <f t="shared" si="28"/>
        <v>46139</v>
      </c>
      <c r="T65" s="1">
        <f t="shared" si="29"/>
        <v>46145</v>
      </c>
      <c r="Z65">
        <v>62</v>
      </c>
      <c r="AA65" t="s">
        <v>65</v>
      </c>
      <c r="AB65" t="s">
        <v>443</v>
      </c>
      <c r="AC65" t="s">
        <v>244</v>
      </c>
      <c r="AD65" t="s">
        <v>245</v>
      </c>
      <c r="AE65" t="s">
        <v>246</v>
      </c>
      <c r="AF65" t="s">
        <v>42</v>
      </c>
      <c r="AG65" t="s">
        <v>43</v>
      </c>
      <c r="AH65" t="s">
        <v>244</v>
      </c>
      <c r="AI65" t="s">
        <v>343</v>
      </c>
      <c r="AL65" t="str">
        <f t="shared" si="11"/>
        <v>HK</v>
      </c>
      <c r="AM65" t="str">
        <f t="shared" si="12"/>
        <v>BN-NL</v>
      </c>
      <c r="AN65" t="str">
        <f t="shared" si="20"/>
        <v>O</v>
      </c>
      <c r="AO65" s="1">
        <f t="shared" si="21"/>
        <v>46139</v>
      </c>
      <c r="AP65" s="1">
        <f t="shared" si="22"/>
        <v>46145</v>
      </c>
      <c r="AR65" t="str">
        <f t="shared" si="23"/>
        <v/>
      </c>
      <c r="AU65" s="2" t="s">
        <v>437</v>
      </c>
      <c r="AV65" s="2" t="s">
        <v>58</v>
      </c>
      <c r="AW65" s="2" t="s">
        <v>43</v>
      </c>
      <c r="AX65" s="8">
        <v>46143</v>
      </c>
      <c r="AY65" s="2" t="s">
        <v>91</v>
      </c>
      <c r="AZ65" s="8">
        <v>46156</v>
      </c>
      <c r="BA65" s="2" t="s">
        <v>60</v>
      </c>
    </row>
    <row r="66" spans="1:54">
      <c r="A66">
        <v>0</v>
      </c>
      <c r="B66" t="str">
        <v>MENA</v>
      </c>
      <c r="C66" t="str">
        <v>SAR</v>
      </c>
      <c r="D66" t="str">
        <v>Saudi Arabia</v>
      </c>
      <c r="E66" t="str">
        <v>Saudi Arabia</v>
      </c>
      <c r="F66" s="11" t="str">
        <v>sa</v>
      </c>
      <c r="G66" s="12" t="str">
        <v>X</v>
      </c>
      <c r="H66" s="1" t="str">
        <v/>
      </c>
      <c r="I66" s="10" t="str">
        <f t="shared" si="9"/>
        <v/>
      </c>
      <c r="N66" t="str">
        <f t="shared" si="24"/>
        <v>EU</v>
      </c>
      <c r="O66" t="str">
        <f t="shared" si="10"/>
        <v>NA</v>
      </c>
      <c r="P66" t="str">
        <f t="shared" si="25"/>
        <v>Norway</v>
      </c>
      <c r="Q66" t="str">
        <f t="shared" si="26"/>
        <v>Norway</v>
      </c>
      <c r="R66" t="str">
        <f t="shared" si="27"/>
        <v>no</v>
      </c>
      <c r="S66" s="1" t="str">
        <f t="shared" si="28"/>
        <v>X</v>
      </c>
      <c r="T66" s="1" t="str">
        <f t="shared" si="29"/>
        <v/>
      </c>
      <c r="Z66">
        <v>63</v>
      </c>
      <c r="AA66" t="s">
        <v>65</v>
      </c>
      <c r="AB66" t="s">
        <v>115</v>
      </c>
      <c r="AC66" t="s">
        <v>247</v>
      </c>
      <c r="AD66" t="s">
        <v>248</v>
      </c>
      <c r="AE66" t="s">
        <v>249</v>
      </c>
      <c r="AF66" t="s">
        <v>42</v>
      </c>
      <c r="AG66" t="s">
        <v>57</v>
      </c>
      <c r="AH66" t="s">
        <v>247</v>
      </c>
      <c r="AI66" t="s">
        <v>346</v>
      </c>
      <c r="AL66" t="str">
        <f t="shared" si="11"/>
        <v>ET</v>
      </c>
      <c r="AM66" t="str">
        <f t="shared" si="12"/>
        <v>NA</v>
      </c>
      <c r="AN66" t="str">
        <f t="shared" si="20"/>
        <v>X</v>
      </c>
      <c r="AO66" s="1" t="str">
        <f t="shared" si="21"/>
        <v/>
      </c>
      <c r="AP66" s="1" t="str">
        <f t="shared" si="22"/>
        <v/>
      </c>
      <c r="AR66" t="str">
        <f t="shared" si="23"/>
        <v/>
      </c>
      <c r="AU66" s="2" t="s">
        <v>438</v>
      </c>
      <c r="AV66" s="2" t="s">
        <v>58</v>
      </c>
      <c r="AW66" s="2" t="s">
        <v>43</v>
      </c>
      <c r="AX66" s="8">
        <v>46143</v>
      </c>
      <c r="AY66" s="2" t="s">
        <v>91</v>
      </c>
      <c r="AZ66" s="8">
        <v>46152</v>
      </c>
      <c r="BA66" s="2" t="s">
        <v>60</v>
      </c>
    </row>
    <row r="67" spans="1:54">
      <c r="A67">
        <v>0</v>
      </c>
      <c r="B67" t="str">
        <v>MENA</v>
      </c>
      <c r="C67" t="str">
        <v>SAR</v>
      </c>
      <c r="D67" t="str">
        <v>Saudi Arabia</v>
      </c>
      <c r="E67" t="str">
        <v>Saudi Arabia (en)</v>
      </c>
      <c r="F67" s="11" t="str">
        <v>sa_en</v>
      </c>
      <c r="G67" s="12" t="str">
        <v>X</v>
      </c>
      <c r="H67" s="1" t="str">
        <v/>
      </c>
      <c r="I67" s="10" t="str">
        <f t="shared" si="9"/>
        <v/>
      </c>
      <c r="N67" t="str">
        <f t="shared" si="24"/>
        <v>SEAO</v>
      </c>
      <c r="O67" t="str">
        <f t="shared" si="10"/>
        <v>NZ</v>
      </c>
      <c r="P67" t="str">
        <f t="shared" si="25"/>
        <v>New Zealand</v>
      </c>
      <c r="Q67" t="str">
        <f t="shared" si="26"/>
        <v>New Zealand</v>
      </c>
      <c r="R67" t="str">
        <f t="shared" si="27"/>
        <v>nz</v>
      </c>
      <c r="S67" s="1">
        <f t="shared" si="28"/>
        <v>46125</v>
      </c>
      <c r="T67" s="1">
        <f t="shared" si="29"/>
        <v>46153</v>
      </c>
      <c r="Z67">
        <v>64</v>
      </c>
      <c r="AA67" t="s">
        <v>81</v>
      </c>
      <c r="AB67" t="s">
        <v>417</v>
      </c>
      <c r="AC67" t="s">
        <v>250</v>
      </c>
      <c r="AD67" t="s">
        <v>251</v>
      </c>
      <c r="AE67" t="s">
        <v>252</v>
      </c>
      <c r="AF67" t="s">
        <v>42</v>
      </c>
      <c r="AG67" t="s">
        <v>43</v>
      </c>
      <c r="AH67" t="s">
        <v>250</v>
      </c>
      <c r="AI67" t="s">
        <v>343</v>
      </c>
      <c r="AL67" t="str">
        <f t="shared" si="11"/>
        <v/>
      </c>
      <c r="AM67" t="str">
        <f t="shared" si="12"/>
        <v>NZ</v>
      </c>
      <c r="AN67" t="str">
        <f t="shared" si="20"/>
        <v>O</v>
      </c>
      <c r="AO67" s="1">
        <f t="shared" si="21"/>
        <v>46125</v>
      </c>
      <c r="AP67" s="1">
        <f t="shared" si="22"/>
        <v>46153</v>
      </c>
      <c r="AR67" t="str">
        <f t="shared" si="23"/>
        <v/>
      </c>
      <c r="AT67" s="2" t="s">
        <v>219</v>
      </c>
      <c r="AU67" s="2" t="s">
        <v>51</v>
      </c>
    </row>
    <row r="68" spans="1:54">
      <c r="A68">
        <v>0</v>
      </c>
      <c r="B68" t="str">
        <v>EU</v>
      </c>
      <c r="C68" t="str">
        <v>NA</v>
      </c>
      <c r="D68" t="str">
        <v>Sweden</v>
      </c>
      <c r="E68" t="str">
        <v>Sweden</v>
      </c>
      <c r="F68" s="11" t="str">
        <v>se</v>
      </c>
      <c r="G68" s="12" t="str">
        <v>X</v>
      </c>
      <c r="H68" s="1" t="str">
        <v/>
      </c>
      <c r="I68" s="10" t="str">
        <f t="shared" si="9"/>
        <v/>
      </c>
      <c r="N68" t="str">
        <f t="shared" si="24"/>
        <v>LATAM</v>
      </c>
      <c r="O68" t="str">
        <f t="shared" si="10"/>
        <v>PR</v>
      </c>
      <c r="P68" t="str">
        <f t="shared" si="25"/>
        <v>Peru</v>
      </c>
      <c r="Q68" t="str">
        <f t="shared" si="26"/>
        <v>Peru</v>
      </c>
      <c r="R68" t="str">
        <f t="shared" si="27"/>
        <v>pe</v>
      </c>
      <c r="S68" s="1">
        <f t="shared" si="28"/>
        <v>46139</v>
      </c>
      <c r="T68" s="1">
        <f t="shared" si="29"/>
        <v>46152</v>
      </c>
      <c r="Z68">
        <v>65</v>
      </c>
      <c r="AA68" t="s">
        <v>71</v>
      </c>
      <c r="AB68" t="s">
        <v>413</v>
      </c>
      <c r="AC68" t="s">
        <v>253</v>
      </c>
      <c r="AD68" t="s">
        <v>254</v>
      </c>
      <c r="AE68" t="s">
        <v>255</v>
      </c>
      <c r="AF68" t="s">
        <v>42</v>
      </c>
      <c r="AG68" t="s">
        <v>43</v>
      </c>
      <c r="AH68" t="s">
        <v>253</v>
      </c>
      <c r="AI68" t="s">
        <v>343</v>
      </c>
      <c r="AL68" t="str">
        <f t="shared" si="11"/>
        <v>EJ</v>
      </c>
      <c r="AM68" t="str">
        <f t="shared" si="12"/>
        <v>PR</v>
      </c>
      <c r="AN68" t="str">
        <f t="shared" ref="AN68:AN81" si="30">IF(LEN(TRIM(AM68))=0,"",IFERROR(INDEX($AW$4:$AW$192,MATCH(AM68,$AU$4:$AU$192,0)),""))</f>
        <v>O</v>
      </c>
      <c r="AO68" s="1">
        <f t="shared" ref="AO68:AO81" si="31">IF(OR(LEN(TRIM(AM68))=0,AN68="X",AN68&lt;&gt;"O"),"",IFERROR(INDEX($AX$4:$AX$192,MATCH(AM68,$AU$4:$AU$192,0)),""))</f>
        <v>46139</v>
      </c>
      <c r="AP68" s="1">
        <f t="shared" ref="AP68:AP81" si="32">IF(OR(LEN(TRIM(AM68))=0,AN68="X",AN68&lt;&gt;"O"),"",IFERROR(INDEX($AZ$4:$AZ$192,MATCH(AM68,$AU$4:$AU$192,0)),""))</f>
        <v>46152</v>
      </c>
      <c r="AR68" t="str">
        <f t="shared" si="23"/>
        <v/>
      </c>
      <c r="AU68" s="2" t="s">
        <v>439</v>
      </c>
      <c r="AV68" s="2" t="s">
        <v>58</v>
      </c>
      <c r="AW68" s="2" t="s">
        <v>57</v>
      </c>
      <c r="AY68" s="2" t="s">
        <v>69</v>
      </c>
      <c r="BA68" s="2" t="s">
        <v>69</v>
      </c>
      <c r="BB68" s="2" t="s">
        <v>281</v>
      </c>
    </row>
    <row r="69" spans="1:54">
      <c r="A69">
        <v>0</v>
      </c>
      <c r="B69" t="str">
        <v>SEAO</v>
      </c>
      <c r="C69" t="str">
        <v>SP</v>
      </c>
      <c r="D69" t="str">
        <v>Singapore</v>
      </c>
      <c r="E69" t="str">
        <v>Singapore</v>
      </c>
      <c r="F69" s="11" t="str">
        <v>sg</v>
      </c>
      <c r="G69" s="12" t="str">
        <v>X</v>
      </c>
      <c r="H69" s="1" t="str">
        <v/>
      </c>
      <c r="I69" s="10" t="str">
        <f t="shared" ref="I69:I72" si="33">IF(H69="","",IF(IF(H69&gt;I$2,I$2,H69)&lt;G69,"",IF(H69&gt;I$2,I$2,H69)))</f>
        <v/>
      </c>
      <c r="N69" t="str">
        <f t="shared" si="24"/>
        <v>SEAO</v>
      </c>
      <c r="O69" t="str">
        <f t="shared" ref="O69:O132" si="34">IF(ISBLANK(AD69),"",IF(AM69="한총","SEC",IF(LEN(TRIM(AM69))=0,AB69,AM69)))</f>
        <v>PCO</v>
      </c>
      <c r="P69" t="str">
        <f t="shared" si="25"/>
        <v>Philippines</v>
      </c>
      <c r="Q69" t="str">
        <f t="shared" si="26"/>
        <v>Philippines</v>
      </c>
      <c r="R69" t="str">
        <f t="shared" si="27"/>
        <v>ph</v>
      </c>
      <c r="S69" s="1">
        <f t="shared" si="28"/>
        <v>46128</v>
      </c>
      <c r="T69" s="1">
        <f t="shared" si="29"/>
        <v>46153</v>
      </c>
      <c r="Z69">
        <v>66</v>
      </c>
      <c r="AA69" t="s">
        <v>81</v>
      </c>
      <c r="AB69" t="s">
        <v>415</v>
      </c>
      <c r="AC69" t="s">
        <v>256</v>
      </c>
      <c r="AD69" t="s">
        <v>257</v>
      </c>
      <c r="AE69" t="s">
        <v>258</v>
      </c>
      <c r="AF69" t="s">
        <v>42</v>
      </c>
      <c r="AG69" t="s">
        <v>43</v>
      </c>
      <c r="AH69" t="s">
        <v>256</v>
      </c>
      <c r="AI69" t="s">
        <v>343</v>
      </c>
      <c r="AL69" t="str">
        <f t="shared" ref="AL69:AL132" si="35">IF(IF(OR(NOT(ISBLANK(AT69)),ISBLANK(AU69),AU69="Total"),"",IF(ISNUMBER(FIND("-",AU69)),LEFT(AU69,FIND("-",AU69)-1),IF(ISNUMBER(FIND(" ",AU69)),LEFT(AU69,FIND(" ",AU69)-1),AU69)))="한총","sec",IF(OR(NOT(ISBLANK(AT69)),ISBLANK(AU69),AU69="Total"),"",IF(ISNUMBER(FIND("-",AU69)),LEFT(AU69,FIND("-",AU69)-1),IF(ISNUMBER(FIND(" ",AU69)),LEFT(AU69,FIND(" ",AU69)-1),AU69))))</f>
        <v/>
      </c>
      <c r="AM69" t="str">
        <f t="shared" ref="AM69:AM132" si="36">IF(ISBLANK(AD69),"",IF(COUNTIF($AU$4:$AU$200,AB69&amp;"-"&amp;UPPER(IF(ISNUMBER(FIND("_",AD69)),LEFT(AD69,FIND("_",AD69)-1),AD69)))&gt;0,AB69&amp;"-"&amp;UPPER(IF(ISNUMBER(FIND("_",AD69)),LEFT(AD69,FIND("_",AD69)-1),AD69)),IF(COUNTIF($AU$4:$AU$200,AB69&amp;" ("&amp;PROPER(LEFT(AD69,FIND("_",AD69)-1))&amp;"_"&amp;UPPER(MID(AD69,FIND("_",AD69)+1,20))&amp;")")&gt;0,AB69&amp;" ("&amp;PROPER(LEFT(AD69,FIND("_",AD69)-1))&amp;"_"&amp;UPPER(MID(AD69,FIND("_",AD69)+1,20))&amp;")",IF(COUNTIF($AU$4:$AU$200,AB69)&gt;0,AB69,IF(ISNUMBER(FIND("_",AD69)),"",IFERROR(INDEX($AU$4:$AU$200,MATCH(AB69,$AL$4:$AL$200,0)),IF(ISNUMBER(FIND("-",AB69)),IFERROR(INDEX($AU$4:$AU$200,MATCH(LEFT(AB69,FIND("-",AB69)-1),$AU$4:$AU$200,0)),""),IF(AB69="SCA",IF(RIGHT(AD69,3)="_fr",IFERROR(INDEX($AU$4:$AU$200,MATCH("SEWA (Africa_FR)",$AU$4:$AU$200,0)),""),IF(RIGHT(AD69,3)="_en",IFERROR(INDEX($AU$4:$AU$200,MATCH("SEWA (Africa_EN)",$AU$4:$AU$200,0)),""),"")),""))))))))</f>
        <v>PCO</v>
      </c>
      <c r="AN69" t="str">
        <f t="shared" si="30"/>
        <v>O</v>
      </c>
      <c r="AO69" s="1">
        <f t="shared" si="31"/>
        <v>46128</v>
      </c>
      <c r="AP69" s="1">
        <f t="shared" si="32"/>
        <v>46153</v>
      </c>
      <c r="AR69" t="str">
        <f t="shared" si="23"/>
        <v/>
      </c>
      <c r="AT69" s="2" t="s">
        <v>285</v>
      </c>
      <c r="AU69" s="2" t="s">
        <v>51</v>
      </c>
    </row>
    <row r="70" spans="1:54">
      <c r="A70">
        <v>0</v>
      </c>
      <c r="B70" t="str">
        <v>EU</v>
      </c>
      <c r="C70" t="str">
        <v>AD</v>
      </c>
      <c r="D70" t="str">
        <v>Slovenia</v>
      </c>
      <c r="E70" t="str">
        <v>Slovenia</v>
      </c>
      <c r="F70" s="11" t="str">
        <v>si</v>
      </c>
      <c r="G70" s="12" t="str">
        <v>X</v>
      </c>
      <c r="H70" s="1" t="str">
        <v/>
      </c>
      <c r="I70" s="10" t="str">
        <f t="shared" si="33"/>
        <v/>
      </c>
      <c r="N70" t="str">
        <f t="shared" si="24"/>
        <v>MENA</v>
      </c>
      <c r="O70" t="str">
        <f t="shared" si="34"/>
        <v>PAK</v>
      </c>
      <c r="P70" t="str">
        <f t="shared" si="25"/>
        <v>Pakistan</v>
      </c>
      <c r="Q70" t="str">
        <f t="shared" si="26"/>
        <v>Pakistan</v>
      </c>
      <c r="R70" t="str">
        <f t="shared" si="27"/>
        <v>pk</v>
      </c>
      <c r="S70" s="1">
        <f t="shared" si="28"/>
        <v>46153</v>
      </c>
      <c r="T70" s="1" t="str">
        <f t="shared" si="29"/>
        <v>TBC</v>
      </c>
      <c r="Z70">
        <v>67</v>
      </c>
      <c r="AA70" t="s">
        <v>38</v>
      </c>
      <c r="AB70" t="s">
        <v>430</v>
      </c>
      <c r="AC70" t="s">
        <v>259</v>
      </c>
      <c r="AD70" t="s">
        <v>260</v>
      </c>
      <c r="AE70" t="s">
        <v>261</v>
      </c>
      <c r="AF70" t="s">
        <v>42</v>
      </c>
      <c r="AG70" t="s">
        <v>57</v>
      </c>
      <c r="AH70" t="s">
        <v>259</v>
      </c>
      <c r="AI70" t="s">
        <v>346</v>
      </c>
      <c r="AL70" t="str">
        <f t="shared" si="35"/>
        <v>sec</v>
      </c>
      <c r="AM70" t="str">
        <f t="shared" si="36"/>
        <v>PAK</v>
      </c>
      <c r="AN70" t="str">
        <f t="shared" si="30"/>
        <v>O</v>
      </c>
      <c r="AO70" s="1">
        <f t="shared" si="31"/>
        <v>46153</v>
      </c>
      <c r="AP70" s="1" t="str">
        <f t="shared" si="32"/>
        <v>TBC</v>
      </c>
      <c r="AR70" t="str">
        <f t="shared" si="23"/>
        <v>사용 안됨</v>
      </c>
      <c r="AU70" s="2" t="s">
        <v>289</v>
      </c>
      <c r="AV70" s="2" t="s">
        <v>58</v>
      </c>
      <c r="AW70" s="2" t="s">
        <v>57</v>
      </c>
      <c r="AY70" s="2" t="s">
        <v>69</v>
      </c>
      <c r="BA70" s="2" t="s">
        <v>69</v>
      </c>
    </row>
    <row r="71" spans="1:54">
      <c r="A71">
        <v>0</v>
      </c>
      <c r="B71" t="str">
        <v>EU</v>
      </c>
      <c r="C71" t="str">
        <v>CZ</v>
      </c>
      <c r="D71" t="str">
        <v>Slovakia</v>
      </c>
      <c r="E71" t="str">
        <v>Slovakia</v>
      </c>
      <c r="F71" s="11" t="str">
        <v>sk</v>
      </c>
      <c r="G71" s="12">
        <v>46143</v>
      </c>
      <c r="H71" s="1">
        <v>46152</v>
      </c>
      <c r="I71" s="10">
        <f t="shared" si="33"/>
        <v>46152</v>
      </c>
      <c r="N71" t="str">
        <f t="shared" si="24"/>
        <v>EU</v>
      </c>
      <c r="O71" t="str">
        <f t="shared" si="34"/>
        <v>POL</v>
      </c>
      <c r="P71" t="str">
        <f t="shared" si="25"/>
        <v>Poland</v>
      </c>
      <c r="Q71" t="str">
        <f t="shared" si="26"/>
        <v>Poland</v>
      </c>
      <c r="R71" t="str">
        <f t="shared" si="27"/>
        <v>pl</v>
      </c>
      <c r="S71" s="1" t="str">
        <f t="shared" si="28"/>
        <v/>
      </c>
      <c r="T71" s="1" t="str">
        <f t="shared" si="29"/>
        <v/>
      </c>
      <c r="Z71">
        <v>68</v>
      </c>
      <c r="AA71" t="s">
        <v>65</v>
      </c>
      <c r="AB71" t="s">
        <v>400</v>
      </c>
      <c r="AC71" t="s">
        <v>262</v>
      </c>
      <c r="AD71" t="s">
        <v>263</v>
      </c>
      <c r="AE71" t="s">
        <v>264</v>
      </c>
      <c r="AF71" t="s">
        <v>42</v>
      </c>
      <c r="AG71" t="s">
        <v>43</v>
      </c>
      <c r="AH71" t="s">
        <v>262</v>
      </c>
      <c r="AI71" t="s">
        <v>343</v>
      </c>
      <c r="AL71" t="str">
        <f t="shared" si="35"/>
        <v/>
      </c>
      <c r="AM71" t="str">
        <f t="shared" si="36"/>
        <v>POL</v>
      </c>
      <c r="AN71">
        <f t="shared" si="30"/>
        <v>0</v>
      </c>
      <c r="AO71" s="1" t="str">
        <f t="shared" si="31"/>
        <v/>
      </c>
      <c r="AP71" s="1" t="str">
        <f t="shared" si="32"/>
        <v/>
      </c>
      <c r="AT71" s="2" t="s">
        <v>51</v>
      </c>
    </row>
    <row r="72" spans="1:54">
      <c r="A72">
        <v>0</v>
      </c>
      <c r="B72" t="str">
        <v>SEAO</v>
      </c>
      <c r="C72" t="str">
        <v>TSE-TH</v>
      </c>
      <c r="D72" t="str">
        <v>Thailand</v>
      </c>
      <c r="E72" t="str">
        <v>Thailand</v>
      </c>
      <c r="F72" s="11" t="str">
        <v>th</v>
      </c>
      <c r="G72" s="12">
        <v>46243</v>
      </c>
      <c r="H72" s="1">
        <v>46249</v>
      </c>
      <c r="I72" s="10" t="str">
        <f t="shared" si="33"/>
        <v/>
      </c>
      <c r="N72" t="str">
        <f t="shared" si="24"/>
        <v>MENA</v>
      </c>
      <c r="O72" t="str">
        <f t="shared" si="34"/>
        <v>IL</v>
      </c>
      <c r="P72" t="str">
        <f t="shared" si="25"/>
        <v>Palestine</v>
      </c>
      <c r="Q72" t="str">
        <f t="shared" si="26"/>
        <v>Palestine</v>
      </c>
      <c r="R72" t="str">
        <f t="shared" si="27"/>
        <v>ps</v>
      </c>
      <c r="S72" s="1" t="str">
        <f t="shared" si="28"/>
        <v>X</v>
      </c>
      <c r="T72" s="1" t="str">
        <f t="shared" si="29"/>
        <v/>
      </c>
      <c r="Z72">
        <v>69</v>
      </c>
      <c r="AA72" t="s">
        <v>38</v>
      </c>
      <c r="AB72" t="s">
        <v>429</v>
      </c>
      <c r="AC72" t="s">
        <v>265</v>
      </c>
      <c r="AD72" t="s">
        <v>266</v>
      </c>
      <c r="AE72" t="s">
        <v>267</v>
      </c>
      <c r="AF72" t="s">
        <v>56</v>
      </c>
      <c r="AG72" t="s">
        <v>57</v>
      </c>
      <c r="AH72" t="s">
        <v>265</v>
      </c>
      <c r="AI72" t="s">
        <v>346</v>
      </c>
      <c r="AL72" t="str">
        <f t="shared" si="35"/>
        <v/>
      </c>
      <c r="AM72" t="str">
        <f t="shared" si="36"/>
        <v>IL</v>
      </c>
      <c r="AN72" t="str">
        <f t="shared" si="30"/>
        <v>X</v>
      </c>
      <c r="AO72" s="1" t="str">
        <f t="shared" si="31"/>
        <v/>
      </c>
      <c r="AP72" s="1" t="str">
        <f t="shared" si="32"/>
        <v/>
      </c>
    </row>
    <row r="73" spans="1:54">
      <c r="A73">
        <v>0</v>
      </c>
      <c r="B73" t="str">
        <v>MENA</v>
      </c>
      <c r="C73" t="str">
        <v>TK</v>
      </c>
      <c r="D73" t="str">
        <v>Turkey</v>
      </c>
      <c r="E73" t="str">
        <v>Turkey</v>
      </c>
      <c r="F73" s="11" t="str">
        <v>tr</v>
      </c>
      <c r="G73" s="12">
        <v>46143</v>
      </c>
      <c r="H73" s="1">
        <v>46152</v>
      </c>
      <c r="N73" t="str">
        <f t="shared" si="24"/>
        <v>EU</v>
      </c>
      <c r="O73" t="str">
        <f t="shared" si="34"/>
        <v>IB-PT</v>
      </c>
      <c r="P73" t="str">
        <f t="shared" si="25"/>
        <v>Portugal</v>
      </c>
      <c r="Q73" t="str">
        <f t="shared" si="26"/>
        <v>Portugal</v>
      </c>
      <c r="R73" t="str">
        <f t="shared" si="27"/>
        <v>pt</v>
      </c>
      <c r="S73" s="1">
        <f t="shared" si="28"/>
        <v>46132</v>
      </c>
      <c r="T73" s="1">
        <f t="shared" si="29"/>
        <v>46152</v>
      </c>
      <c r="Z73">
        <v>70</v>
      </c>
      <c r="AA73" t="s">
        <v>65</v>
      </c>
      <c r="AB73" t="s">
        <v>445</v>
      </c>
      <c r="AC73" t="s">
        <v>269</v>
      </c>
      <c r="AD73" t="s">
        <v>270</v>
      </c>
      <c r="AE73" t="s">
        <v>271</v>
      </c>
      <c r="AF73" t="s">
        <v>42</v>
      </c>
      <c r="AG73" t="s">
        <v>57</v>
      </c>
      <c r="AH73" t="s">
        <v>269</v>
      </c>
      <c r="AI73" t="s">
        <v>346</v>
      </c>
      <c r="AL73" t="str">
        <f t="shared" si="35"/>
        <v/>
      </c>
      <c r="AM73" t="str">
        <f t="shared" si="36"/>
        <v>IB-PT</v>
      </c>
      <c r="AN73" t="str">
        <f t="shared" si="30"/>
        <v>O</v>
      </c>
      <c r="AO73" s="1">
        <f t="shared" si="31"/>
        <v>46132</v>
      </c>
      <c r="AP73" s="1">
        <f t="shared" si="32"/>
        <v>46152</v>
      </c>
    </row>
    <row r="74" spans="1:54">
      <c r="A74">
        <v>0</v>
      </c>
      <c r="B74" t="str">
        <v>CN</v>
      </c>
      <c r="C74" t="str">
        <v>ET</v>
      </c>
      <c r="D74" t="str">
        <v>Taiwan</v>
      </c>
      <c r="E74" t="str">
        <v>Taiwan</v>
      </c>
      <c r="F74" s="11" t="str">
        <v>tw</v>
      </c>
      <c r="G74" s="12">
        <v>46143</v>
      </c>
      <c r="H74" s="1">
        <v>46152</v>
      </c>
      <c r="N74" t="str">
        <f t="shared" si="24"/>
        <v>LATAM</v>
      </c>
      <c r="O74" t="str">
        <f t="shared" si="34"/>
        <v>LA</v>
      </c>
      <c r="P74" t="str">
        <f t="shared" si="25"/>
        <v>Paraguay</v>
      </c>
      <c r="Q74" t="str">
        <f t="shared" si="26"/>
        <v>Paraguay</v>
      </c>
      <c r="R74" t="str">
        <f t="shared" si="27"/>
        <v>py</v>
      </c>
      <c r="S74" s="1">
        <f t="shared" si="28"/>
        <v>46132</v>
      </c>
      <c r="T74" s="1">
        <f t="shared" si="29"/>
        <v>46152</v>
      </c>
      <c r="Z74">
        <v>71</v>
      </c>
      <c r="AA74" t="s">
        <v>71</v>
      </c>
      <c r="AB74" t="s">
        <v>412</v>
      </c>
      <c r="AC74" t="s">
        <v>272</v>
      </c>
      <c r="AD74" t="s">
        <v>273</v>
      </c>
      <c r="AE74" t="s">
        <v>274</v>
      </c>
      <c r="AF74" t="s">
        <v>231</v>
      </c>
      <c r="AG74" t="s">
        <v>57</v>
      </c>
      <c r="AH74" t="s">
        <v>272</v>
      </c>
      <c r="AI74" t="s">
        <v>346</v>
      </c>
      <c r="AL74" t="str">
        <f t="shared" si="35"/>
        <v/>
      </c>
      <c r="AM74" t="str">
        <f t="shared" si="36"/>
        <v>LA</v>
      </c>
      <c r="AN74" t="str">
        <f t="shared" si="30"/>
        <v>O</v>
      </c>
      <c r="AO74" s="1">
        <f t="shared" si="31"/>
        <v>46132</v>
      </c>
      <c r="AP74" s="1">
        <f t="shared" si="32"/>
        <v>46152</v>
      </c>
    </row>
    <row r="75" spans="1:54">
      <c r="A75">
        <v>0</v>
      </c>
      <c r="B75" t="str">
        <v>EU</v>
      </c>
      <c r="C75" t="str">
        <v>UK</v>
      </c>
      <c r="D75" t="str">
        <v>UK</v>
      </c>
      <c r="E75" t="str">
        <v>UK</v>
      </c>
      <c r="F75" s="11" t="str">
        <v>uk</v>
      </c>
      <c r="G75" s="12" t="str">
        <v>X</v>
      </c>
      <c r="H75" s="1" t="str">
        <v/>
      </c>
      <c r="N75" t="str">
        <f t="shared" si="24"/>
        <v>EU</v>
      </c>
      <c r="O75" t="str">
        <f t="shared" si="34"/>
        <v>ROM</v>
      </c>
      <c r="P75" t="str">
        <f t="shared" si="25"/>
        <v>Romania</v>
      </c>
      <c r="Q75" t="str">
        <f t="shared" si="26"/>
        <v>Romania</v>
      </c>
      <c r="R75" t="str">
        <f t="shared" si="27"/>
        <v>ro</v>
      </c>
      <c r="S75" s="1">
        <f t="shared" si="28"/>
        <v>46085</v>
      </c>
      <c r="T75" s="1">
        <f t="shared" si="29"/>
        <v>46091</v>
      </c>
      <c r="Z75">
        <v>72</v>
      </c>
      <c r="AA75" t="s">
        <v>65</v>
      </c>
      <c r="AB75" t="s">
        <v>398</v>
      </c>
      <c r="AC75" t="s">
        <v>275</v>
      </c>
      <c r="AD75" t="s">
        <v>276</v>
      </c>
      <c r="AE75" t="s">
        <v>277</v>
      </c>
      <c r="AF75" t="s">
        <v>42</v>
      </c>
      <c r="AG75" t="s">
        <v>43</v>
      </c>
      <c r="AH75" t="s">
        <v>275</v>
      </c>
      <c r="AI75" t="s">
        <v>343</v>
      </c>
      <c r="AL75" t="str">
        <f t="shared" si="35"/>
        <v/>
      </c>
      <c r="AM75" t="str">
        <f t="shared" si="36"/>
        <v>ROM</v>
      </c>
      <c r="AN75" t="str">
        <f t="shared" si="30"/>
        <v>O</v>
      </c>
      <c r="AO75" s="1">
        <f t="shared" si="31"/>
        <v>46085</v>
      </c>
      <c r="AP75" s="1">
        <f t="shared" si="32"/>
        <v>46091</v>
      </c>
    </row>
    <row r="76" spans="1:54">
      <c r="A76">
        <v>0</v>
      </c>
      <c r="B76" t="str">
        <v>NA</v>
      </c>
      <c r="C76" t="str">
        <v>EA</v>
      </c>
      <c r="D76" t="str">
        <v>USA</v>
      </c>
      <c r="E76" t="str">
        <v>US NEW</v>
      </c>
      <c r="F76" s="11" t="str">
        <v>us</v>
      </c>
      <c r="G76" s="12">
        <v>46132</v>
      </c>
      <c r="H76" s="1">
        <v>46152</v>
      </c>
      <c r="N76" t="str">
        <f t="shared" si="24"/>
        <v>EU</v>
      </c>
      <c r="O76" t="str">
        <f t="shared" si="34"/>
        <v>AD</v>
      </c>
      <c r="P76" t="str">
        <f t="shared" si="25"/>
        <v>Serbia</v>
      </c>
      <c r="Q76" t="str">
        <f t="shared" si="26"/>
        <v>Serbia</v>
      </c>
      <c r="R76" t="str">
        <f t="shared" si="27"/>
        <v>rs</v>
      </c>
      <c r="S76" s="1" t="str">
        <f t="shared" si="28"/>
        <v>X</v>
      </c>
      <c r="T76" s="1" t="str">
        <f t="shared" si="29"/>
        <v/>
      </c>
      <c r="Z76">
        <v>73</v>
      </c>
      <c r="AA76" t="s">
        <v>65</v>
      </c>
      <c r="AB76" t="s">
        <v>404</v>
      </c>
      <c r="AC76" t="s">
        <v>278</v>
      </c>
      <c r="AD76" t="s">
        <v>279</v>
      </c>
      <c r="AE76" t="s">
        <v>280</v>
      </c>
      <c r="AF76" t="s">
        <v>56</v>
      </c>
      <c r="AG76" t="s">
        <v>57</v>
      </c>
      <c r="AH76" t="s">
        <v>278</v>
      </c>
      <c r="AI76" t="s">
        <v>346</v>
      </c>
      <c r="AL76" t="str">
        <f t="shared" si="35"/>
        <v/>
      </c>
      <c r="AM76" t="str">
        <f t="shared" si="36"/>
        <v>AD</v>
      </c>
      <c r="AN76" t="str">
        <f t="shared" si="30"/>
        <v>X</v>
      </c>
      <c r="AO76" s="1" t="str">
        <f t="shared" si="31"/>
        <v/>
      </c>
      <c r="AP76" s="1" t="str">
        <f t="shared" si="32"/>
        <v/>
      </c>
    </row>
    <row r="77" spans="1:54">
      <c r="A77">
        <v>0</v>
      </c>
      <c r="B77" t="str">
        <v>LATAM</v>
      </c>
      <c r="C77" t="str">
        <v>LA</v>
      </c>
      <c r="D77" t="str">
        <v>Uruguay</v>
      </c>
      <c r="E77" t="str">
        <v>Uruguay</v>
      </c>
      <c r="F77" s="11" t="str">
        <v>uy</v>
      </c>
      <c r="G77" s="12">
        <v>46132</v>
      </c>
      <c r="H77" s="1">
        <v>46152</v>
      </c>
      <c r="N77" t="str">
        <f t="shared" si="24"/>
        <v>CIS</v>
      </c>
      <c r="O77" t="str">
        <f t="shared" si="34"/>
        <v>RC</v>
      </c>
      <c r="P77" t="str">
        <f t="shared" si="25"/>
        <v>Russia</v>
      </c>
      <c r="Q77" t="str">
        <f t="shared" si="26"/>
        <v>Russia</v>
      </c>
      <c r="R77" t="str">
        <f t="shared" si="27"/>
        <v>ru</v>
      </c>
      <c r="S77" s="1" t="str">
        <f t="shared" si="28"/>
        <v/>
      </c>
      <c r="T77" s="1" t="str">
        <f t="shared" si="29"/>
        <v/>
      </c>
      <c r="Z77">
        <v>74</v>
      </c>
      <c r="AA77" t="s">
        <v>87</v>
      </c>
      <c r="AB77" t="s">
        <v>442</v>
      </c>
      <c r="AC77" t="s">
        <v>282</v>
      </c>
      <c r="AD77" t="s">
        <v>283</v>
      </c>
      <c r="AE77" t="s">
        <v>284</v>
      </c>
      <c r="AF77" t="s">
        <v>42</v>
      </c>
      <c r="AG77" t="s">
        <v>57</v>
      </c>
      <c r="AH77" t="s">
        <v>282</v>
      </c>
      <c r="AI77" t="s">
        <v>346</v>
      </c>
      <c r="AL77" t="str">
        <f t="shared" si="35"/>
        <v/>
      </c>
      <c r="AM77" t="str">
        <f t="shared" si="36"/>
        <v/>
      </c>
      <c r="AN77" t="str">
        <f t="shared" si="30"/>
        <v/>
      </c>
      <c r="AO77" s="1" t="str">
        <f t="shared" si="31"/>
        <v/>
      </c>
      <c r="AP77" s="1" t="str">
        <f t="shared" si="32"/>
        <v/>
      </c>
    </row>
    <row r="78" spans="1:54">
      <c r="A78">
        <v>0</v>
      </c>
      <c r="B78" t="str">
        <v>SEAO</v>
      </c>
      <c r="C78" t="str">
        <v>VNA</v>
      </c>
      <c r="D78" t="str">
        <v>Vietnam</v>
      </c>
      <c r="E78" t="str">
        <v>Vietnam</v>
      </c>
      <c r="F78" s="11" t="str">
        <v>vn</v>
      </c>
      <c r="G78" s="12">
        <v>46146</v>
      </c>
      <c r="H78" s="1">
        <v>46155</v>
      </c>
      <c r="N78" t="str">
        <f t="shared" si="24"/>
        <v>MENA</v>
      </c>
      <c r="O78" t="str">
        <f t="shared" si="34"/>
        <v>SAR</v>
      </c>
      <c r="P78" t="str">
        <f t="shared" si="25"/>
        <v>Saudi Arabia</v>
      </c>
      <c r="Q78" t="str">
        <f t="shared" si="26"/>
        <v>Saudi Arabia</v>
      </c>
      <c r="R78" t="str">
        <f t="shared" si="27"/>
        <v>sa</v>
      </c>
      <c r="S78" s="1" t="str">
        <f t="shared" si="28"/>
        <v>X</v>
      </c>
      <c r="T78" s="1" t="str">
        <f t="shared" si="29"/>
        <v/>
      </c>
      <c r="Z78">
        <v>75</v>
      </c>
      <c r="AA78" t="s">
        <v>38</v>
      </c>
      <c r="AB78" t="s">
        <v>427</v>
      </c>
      <c r="AC78" t="s">
        <v>286</v>
      </c>
      <c r="AD78" t="s">
        <v>287</v>
      </c>
      <c r="AE78" t="s">
        <v>288</v>
      </c>
      <c r="AF78" t="s">
        <v>42</v>
      </c>
      <c r="AG78" t="s">
        <v>43</v>
      </c>
      <c r="AH78" t="s">
        <v>286</v>
      </c>
      <c r="AI78" t="s">
        <v>343</v>
      </c>
      <c r="AL78" t="str">
        <f t="shared" si="35"/>
        <v/>
      </c>
      <c r="AM78" t="str">
        <f t="shared" si="36"/>
        <v>SAR</v>
      </c>
      <c r="AN78" t="str">
        <f t="shared" si="30"/>
        <v>X</v>
      </c>
      <c r="AO78" s="1" t="str">
        <f t="shared" si="31"/>
        <v/>
      </c>
      <c r="AP78" s="1" t="str">
        <f t="shared" si="32"/>
        <v/>
      </c>
    </row>
    <row r="79" spans="1:54">
      <c r="A79">
        <v>0</v>
      </c>
      <c r="B79" t="str">
        <v>Africa</v>
      </c>
      <c r="C79" t="str">
        <v>SA (ZA)</v>
      </c>
      <c r="D79" t="str">
        <v>South Africa</v>
      </c>
      <c r="E79" t="str">
        <v>South Africa</v>
      </c>
      <c r="F79" s="11" t="str">
        <v>za</v>
      </c>
      <c r="G79" s="12">
        <v>46132</v>
      </c>
      <c r="H79" s="1">
        <v>46152</v>
      </c>
      <c r="N79" t="str">
        <f t="shared" si="24"/>
        <v>MENA</v>
      </c>
      <c r="O79" t="str">
        <f t="shared" si="34"/>
        <v>SAR</v>
      </c>
      <c r="P79" t="str">
        <f t="shared" si="25"/>
        <v>Saudi Arabia</v>
      </c>
      <c r="Q79" t="str">
        <f t="shared" si="26"/>
        <v>Saudi Arabia (en)</v>
      </c>
      <c r="R79" t="str">
        <f t="shared" si="27"/>
        <v>sa_en</v>
      </c>
      <c r="S79" s="1" t="str">
        <f t="shared" si="28"/>
        <v>X</v>
      </c>
      <c r="T79" s="1" t="str">
        <f t="shared" si="29"/>
        <v/>
      </c>
      <c r="Z79">
        <v>76</v>
      </c>
      <c r="AA79" t="s">
        <v>38</v>
      </c>
      <c r="AB79" t="s">
        <v>427</v>
      </c>
      <c r="AC79" t="s">
        <v>286</v>
      </c>
      <c r="AD79" t="s">
        <v>290</v>
      </c>
      <c r="AE79" t="s">
        <v>291</v>
      </c>
      <c r="AF79" t="s">
        <v>42</v>
      </c>
      <c r="AG79" t="s">
        <v>43</v>
      </c>
      <c r="AH79" t="s">
        <v>292</v>
      </c>
      <c r="AI79" t="s">
        <v>343</v>
      </c>
      <c r="AL79" t="str">
        <f t="shared" si="35"/>
        <v/>
      </c>
      <c r="AM79" t="str">
        <f t="shared" si="36"/>
        <v>SAR</v>
      </c>
      <c r="AN79" t="str">
        <f t="shared" si="30"/>
        <v>X</v>
      </c>
      <c r="AO79" s="1" t="str">
        <f t="shared" si="31"/>
        <v/>
      </c>
      <c r="AP79" s="1" t="str">
        <f t="shared" si="32"/>
        <v/>
      </c>
    </row>
    <row r="80" spans="1:54">
      <c r="F80" s="11"/>
      <c r="G80" s="12"/>
      <c r="N80" t="str">
        <f t="shared" si="24"/>
        <v>EU</v>
      </c>
      <c r="O80" t="str">
        <f t="shared" si="34"/>
        <v>NA</v>
      </c>
      <c r="P80" t="str">
        <f t="shared" si="25"/>
        <v>Sweden</v>
      </c>
      <c r="Q80" t="str">
        <f t="shared" si="26"/>
        <v>Sweden</v>
      </c>
      <c r="R80" t="str">
        <f t="shared" si="27"/>
        <v>se</v>
      </c>
      <c r="S80" s="1" t="str">
        <f t="shared" si="28"/>
        <v>X</v>
      </c>
      <c r="T80" s="1" t="str">
        <f t="shared" si="29"/>
        <v/>
      </c>
      <c r="Z80">
        <v>77</v>
      </c>
      <c r="AA80" t="s">
        <v>65</v>
      </c>
      <c r="AB80" t="s">
        <v>115</v>
      </c>
      <c r="AC80" t="s">
        <v>293</v>
      </c>
      <c r="AD80" t="s">
        <v>294</v>
      </c>
      <c r="AE80" t="s">
        <v>295</v>
      </c>
      <c r="AF80" t="s">
        <v>42</v>
      </c>
      <c r="AG80" t="s">
        <v>43</v>
      </c>
      <c r="AH80" t="s">
        <v>293</v>
      </c>
      <c r="AI80" t="s">
        <v>343</v>
      </c>
      <c r="AL80" t="str">
        <f t="shared" si="35"/>
        <v/>
      </c>
      <c r="AM80" t="str">
        <f t="shared" si="36"/>
        <v>NA</v>
      </c>
      <c r="AN80" t="str">
        <f t="shared" si="30"/>
        <v>X</v>
      </c>
      <c r="AO80" s="1" t="str">
        <f t="shared" si="31"/>
        <v/>
      </c>
      <c r="AP80" s="1" t="str">
        <f t="shared" si="32"/>
        <v/>
      </c>
    </row>
    <row r="81" spans="6:42">
      <c r="F81" s="13"/>
      <c r="G81" s="12"/>
      <c r="N81" t="str">
        <f t="shared" si="24"/>
        <v>Korea</v>
      </c>
      <c r="O81" t="str">
        <f t="shared" si="34"/>
        <v>EC</v>
      </c>
      <c r="P81" t="str">
        <f t="shared" si="25"/>
        <v>Korea</v>
      </c>
      <c r="Q81" t="str">
        <f t="shared" si="26"/>
        <v>Korea</v>
      </c>
      <c r="R81" t="str">
        <f t="shared" si="27"/>
        <v>sec</v>
      </c>
      <c r="S81" s="1" t="str">
        <f t="shared" si="28"/>
        <v/>
      </c>
      <c r="T81" s="1" t="str">
        <f t="shared" si="29"/>
        <v/>
      </c>
      <c r="Z81">
        <v>78</v>
      </c>
      <c r="AA81" t="s">
        <v>285</v>
      </c>
      <c r="AB81" t="s">
        <v>449</v>
      </c>
      <c r="AC81" t="s">
        <v>285</v>
      </c>
      <c r="AD81" t="s">
        <v>296</v>
      </c>
      <c r="AE81" t="s">
        <v>297</v>
      </c>
      <c r="AF81" t="s">
        <v>298</v>
      </c>
      <c r="AG81" t="s">
        <v>43</v>
      </c>
      <c r="AH81" t="s">
        <v>285</v>
      </c>
      <c r="AI81" t="s">
        <v>350</v>
      </c>
      <c r="AL81" t="str">
        <f t="shared" si="35"/>
        <v/>
      </c>
      <c r="AM81" t="str">
        <f t="shared" si="36"/>
        <v/>
      </c>
      <c r="AN81" t="str">
        <f t="shared" si="30"/>
        <v/>
      </c>
      <c r="AO81" s="1" t="str">
        <f t="shared" si="31"/>
        <v/>
      </c>
      <c r="AP81" s="1" t="str">
        <f t="shared" si="32"/>
        <v/>
      </c>
    </row>
    <row r="82" spans="6:42">
      <c r="F82" s="13"/>
      <c r="G82" s="12"/>
      <c r="N82" t="str">
        <f t="shared" si="24"/>
        <v>SEAO</v>
      </c>
      <c r="O82" t="str">
        <f t="shared" si="34"/>
        <v>SP</v>
      </c>
      <c r="P82" t="str">
        <f t="shared" si="25"/>
        <v>Singapore</v>
      </c>
      <c r="Q82" t="str">
        <f t="shared" si="26"/>
        <v>Singapore</v>
      </c>
      <c r="R82" t="str">
        <f t="shared" si="27"/>
        <v>sg</v>
      </c>
      <c r="S82" s="1" t="str">
        <f t="shared" si="28"/>
        <v>X</v>
      </c>
      <c r="T82" s="1" t="str">
        <f t="shared" si="29"/>
        <v/>
      </c>
      <c r="Z82">
        <v>79</v>
      </c>
      <c r="AA82" t="s">
        <v>81</v>
      </c>
      <c r="AB82" t="s">
        <v>421</v>
      </c>
      <c r="AC82" t="s">
        <v>299</v>
      </c>
      <c r="AD82" t="s">
        <v>300</v>
      </c>
      <c r="AE82" t="s">
        <v>301</v>
      </c>
      <c r="AF82" t="s">
        <v>42</v>
      </c>
      <c r="AG82" t="s">
        <v>43</v>
      </c>
      <c r="AH82" t="s">
        <v>299</v>
      </c>
      <c r="AI82" t="s">
        <v>343</v>
      </c>
      <c r="AL82" t="str">
        <f t="shared" si="35"/>
        <v/>
      </c>
      <c r="AM82" t="str">
        <f t="shared" si="36"/>
        <v>SP</v>
      </c>
      <c r="AN82" t="str">
        <f t="shared" ref="AN82:AN145" si="37">IF(LEN(TRIM(AM82))=0,"",IFERROR(INDEX($AW$4:$AW$192,MATCH(AM82,$AU$4:$AU$192,0)),""))</f>
        <v>X</v>
      </c>
      <c r="AO82" s="1" t="str">
        <f t="shared" ref="AO82:AO145" si="38">IF(OR(LEN(TRIM(AM82))=0,AN82="X",AN82&lt;&gt;"O"),"",IFERROR(INDEX($AX$4:$AX$192,MATCH(AM82,$AU$4:$AU$192,0)),""))</f>
        <v/>
      </c>
      <c r="AP82" s="1" t="str">
        <f t="shared" ref="AP82:AP145" si="39">IF(OR(LEN(TRIM(AM82))=0,AN82="X",AN82&lt;&gt;"O"),"",IFERROR(INDEX($AZ$4:$AZ$192,MATCH(AM82,$AU$4:$AU$192,0)),""))</f>
        <v/>
      </c>
    </row>
    <row r="83" spans="6:42">
      <c r="F83" s="13"/>
      <c r="G83" s="12"/>
      <c r="N83" t="str">
        <f t="shared" si="24"/>
        <v>EU</v>
      </c>
      <c r="O83" t="str">
        <f t="shared" si="34"/>
        <v>AD</v>
      </c>
      <c r="P83" t="str">
        <f t="shared" si="25"/>
        <v>Slovenia</v>
      </c>
      <c r="Q83" t="str">
        <f t="shared" si="26"/>
        <v>Slovenia</v>
      </c>
      <c r="R83" t="str">
        <f t="shared" si="27"/>
        <v>si</v>
      </c>
      <c r="S83" s="1" t="str">
        <f t="shared" si="28"/>
        <v>X</v>
      </c>
      <c r="T83" s="1" t="str">
        <f t="shared" si="29"/>
        <v/>
      </c>
      <c r="Z83">
        <v>80</v>
      </c>
      <c r="AA83" t="s">
        <v>65</v>
      </c>
      <c r="AB83" t="s">
        <v>404</v>
      </c>
      <c r="AC83" t="s">
        <v>302</v>
      </c>
      <c r="AD83" t="s">
        <v>303</v>
      </c>
      <c r="AE83" t="s">
        <v>304</v>
      </c>
      <c r="AF83" t="s">
        <v>42</v>
      </c>
      <c r="AG83" t="s">
        <v>57</v>
      </c>
      <c r="AH83" t="s">
        <v>302</v>
      </c>
      <c r="AI83" t="s">
        <v>346</v>
      </c>
      <c r="AL83" t="str">
        <f t="shared" si="35"/>
        <v/>
      </c>
      <c r="AM83" t="str">
        <f t="shared" si="36"/>
        <v>AD</v>
      </c>
      <c r="AN83" t="str">
        <f t="shared" si="37"/>
        <v>X</v>
      </c>
      <c r="AO83" s="1" t="str">
        <f t="shared" si="38"/>
        <v/>
      </c>
      <c r="AP83" s="1" t="str">
        <f t="shared" si="39"/>
        <v/>
      </c>
    </row>
    <row r="84" spans="6:42">
      <c r="F84" s="13"/>
      <c r="G84" s="12"/>
      <c r="N84" t="str">
        <f t="shared" si="24"/>
        <v>EU</v>
      </c>
      <c r="O84" t="str">
        <f t="shared" si="34"/>
        <v>CZ</v>
      </c>
      <c r="P84" t="str">
        <f t="shared" si="25"/>
        <v>Slovakia</v>
      </c>
      <c r="Q84" t="str">
        <f t="shared" si="26"/>
        <v>Slovakia</v>
      </c>
      <c r="R84" t="str">
        <f t="shared" si="27"/>
        <v>sk</v>
      </c>
      <c r="S84" s="1">
        <f t="shared" si="28"/>
        <v>46143</v>
      </c>
      <c r="T84" s="1">
        <f t="shared" si="29"/>
        <v>46152</v>
      </c>
      <c r="Z84">
        <v>81</v>
      </c>
      <c r="AA84" t="s">
        <v>65</v>
      </c>
      <c r="AB84" t="s">
        <v>399</v>
      </c>
      <c r="AC84" t="s">
        <v>305</v>
      </c>
      <c r="AD84" t="s">
        <v>306</v>
      </c>
      <c r="AE84" t="s">
        <v>307</v>
      </c>
      <c r="AF84" t="s">
        <v>42</v>
      </c>
      <c r="AG84" t="s">
        <v>57</v>
      </c>
      <c r="AH84" t="s">
        <v>305</v>
      </c>
      <c r="AI84" t="s">
        <v>346</v>
      </c>
      <c r="AL84" t="str">
        <f t="shared" si="35"/>
        <v/>
      </c>
      <c r="AM84" t="str">
        <f t="shared" si="36"/>
        <v>CZ</v>
      </c>
      <c r="AN84" t="str">
        <f t="shared" si="37"/>
        <v>O</v>
      </c>
      <c r="AO84" s="1">
        <f t="shared" si="38"/>
        <v>46143</v>
      </c>
      <c r="AP84" s="1">
        <f t="shared" si="39"/>
        <v>46152</v>
      </c>
    </row>
    <row r="85" spans="6:42">
      <c r="F85" s="13"/>
      <c r="G85" s="12"/>
      <c r="N85" t="str">
        <f t="shared" si="24"/>
        <v>SEAO</v>
      </c>
      <c r="O85" t="str">
        <f t="shared" si="34"/>
        <v>TSE-TH</v>
      </c>
      <c r="P85" t="str">
        <f t="shared" si="25"/>
        <v>Thailand</v>
      </c>
      <c r="Q85" t="str">
        <f t="shared" si="26"/>
        <v>Thailand</v>
      </c>
      <c r="R85" t="str">
        <f t="shared" si="27"/>
        <v>th</v>
      </c>
      <c r="S85" s="1">
        <f t="shared" si="28"/>
        <v>46243</v>
      </c>
      <c r="T85" s="1">
        <f t="shared" si="29"/>
        <v>46249</v>
      </c>
      <c r="Z85">
        <v>82</v>
      </c>
      <c r="AA85" t="s">
        <v>81</v>
      </c>
      <c r="AB85" t="s">
        <v>448</v>
      </c>
      <c r="AC85" t="s">
        <v>308</v>
      </c>
      <c r="AD85" t="s">
        <v>309</v>
      </c>
      <c r="AE85" t="s">
        <v>310</v>
      </c>
      <c r="AF85" t="s">
        <v>42</v>
      </c>
      <c r="AG85" t="s">
        <v>43</v>
      </c>
      <c r="AH85" t="s">
        <v>308</v>
      </c>
      <c r="AI85" t="s">
        <v>343</v>
      </c>
      <c r="AL85" t="str">
        <f t="shared" si="35"/>
        <v/>
      </c>
      <c r="AM85" t="str">
        <f t="shared" si="36"/>
        <v>TSE-TH</v>
      </c>
      <c r="AN85" t="str">
        <f t="shared" si="37"/>
        <v>O</v>
      </c>
      <c r="AO85" s="1">
        <f t="shared" si="38"/>
        <v>46243</v>
      </c>
      <c r="AP85" s="1">
        <f t="shared" si="39"/>
        <v>46249</v>
      </c>
    </row>
    <row r="86" spans="6:42">
      <c r="F86" s="13"/>
      <c r="G86" s="12"/>
      <c r="N86" t="str">
        <f t="shared" si="24"/>
        <v>MENA</v>
      </c>
      <c r="O86" t="str">
        <f t="shared" si="34"/>
        <v>TK</v>
      </c>
      <c r="P86" t="str">
        <f t="shared" si="25"/>
        <v>Turkey</v>
      </c>
      <c r="Q86" t="str">
        <f t="shared" si="26"/>
        <v>Turkey</v>
      </c>
      <c r="R86" t="str">
        <f t="shared" si="27"/>
        <v>tr</v>
      </c>
      <c r="S86" s="1">
        <f t="shared" si="28"/>
        <v>46143</v>
      </c>
      <c r="T86" s="1">
        <f t="shared" si="29"/>
        <v>46152</v>
      </c>
      <c r="Z86">
        <v>83</v>
      </c>
      <c r="AA86" t="s">
        <v>38</v>
      </c>
      <c r="AB86" t="s">
        <v>424</v>
      </c>
      <c r="AC86" t="s">
        <v>311</v>
      </c>
      <c r="AD86" t="s">
        <v>312</v>
      </c>
      <c r="AE86" t="s">
        <v>313</v>
      </c>
      <c r="AF86" t="s">
        <v>42</v>
      </c>
      <c r="AG86" t="s">
        <v>43</v>
      </c>
      <c r="AH86" t="s">
        <v>311</v>
      </c>
      <c r="AI86" t="s">
        <v>343</v>
      </c>
      <c r="AL86" t="str">
        <f t="shared" si="35"/>
        <v/>
      </c>
      <c r="AM86" t="str">
        <f t="shared" si="36"/>
        <v>TK</v>
      </c>
      <c r="AN86" t="str">
        <f t="shared" si="37"/>
        <v>O</v>
      </c>
      <c r="AO86" s="1">
        <f t="shared" si="38"/>
        <v>46143</v>
      </c>
      <c r="AP86" s="1">
        <f t="shared" si="39"/>
        <v>46152</v>
      </c>
    </row>
    <row r="87" spans="6:42">
      <c r="F87" s="13"/>
      <c r="G87" s="12"/>
      <c r="N87" t="str">
        <f t="shared" si="24"/>
        <v>CN</v>
      </c>
      <c r="O87" t="str">
        <f t="shared" si="34"/>
        <v>ET</v>
      </c>
      <c r="P87" t="str">
        <f t="shared" si="25"/>
        <v>Taiwan</v>
      </c>
      <c r="Q87" t="str">
        <f t="shared" si="26"/>
        <v>Taiwan</v>
      </c>
      <c r="R87" t="str">
        <f t="shared" si="27"/>
        <v>tw</v>
      </c>
      <c r="S87" s="1">
        <f t="shared" si="28"/>
        <v>46143</v>
      </c>
      <c r="T87" s="1">
        <f t="shared" si="29"/>
        <v>46152</v>
      </c>
      <c r="Z87">
        <v>84</v>
      </c>
      <c r="AA87" t="s">
        <v>130</v>
      </c>
      <c r="AB87" t="s">
        <v>438</v>
      </c>
      <c r="AC87" t="s">
        <v>314</v>
      </c>
      <c r="AD87" t="s">
        <v>315</v>
      </c>
      <c r="AE87" t="s">
        <v>316</v>
      </c>
      <c r="AF87" t="s">
        <v>42</v>
      </c>
      <c r="AG87" t="s">
        <v>43</v>
      </c>
      <c r="AH87" t="s">
        <v>314</v>
      </c>
      <c r="AI87" t="s">
        <v>343</v>
      </c>
      <c r="AL87" t="str">
        <f t="shared" si="35"/>
        <v/>
      </c>
      <c r="AM87" t="str">
        <f t="shared" si="36"/>
        <v>ET</v>
      </c>
      <c r="AN87" t="str">
        <f t="shared" si="37"/>
        <v>O</v>
      </c>
      <c r="AO87" s="1">
        <f t="shared" si="38"/>
        <v>46143</v>
      </c>
      <c r="AP87" s="1">
        <f t="shared" si="39"/>
        <v>46152</v>
      </c>
    </row>
    <row r="88" spans="6:42">
      <c r="F88" s="13"/>
      <c r="G88" s="12"/>
      <c r="N88" t="str">
        <f t="shared" si="24"/>
        <v>EU</v>
      </c>
      <c r="O88" t="str">
        <f t="shared" si="34"/>
        <v>UC</v>
      </c>
      <c r="P88" t="str">
        <f t="shared" si="25"/>
        <v>Ukraine</v>
      </c>
      <c r="Q88" t="str">
        <f t="shared" si="26"/>
        <v>Ukraine</v>
      </c>
      <c r="R88" t="str">
        <f t="shared" si="27"/>
        <v>ua</v>
      </c>
      <c r="S88" s="1" t="str">
        <f t="shared" si="28"/>
        <v/>
      </c>
      <c r="T88" s="1" t="str">
        <f t="shared" si="29"/>
        <v/>
      </c>
      <c r="Z88">
        <v>85</v>
      </c>
      <c r="AA88" t="s">
        <v>65</v>
      </c>
      <c r="AB88" t="s">
        <v>406</v>
      </c>
      <c r="AC88" t="s">
        <v>317</v>
      </c>
      <c r="AD88" t="s">
        <v>318</v>
      </c>
      <c r="AE88" t="s">
        <v>319</v>
      </c>
      <c r="AF88" t="s">
        <v>42</v>
      </c>
      <c r="AG88" t="s">
        <v>57</v>
      </c>
      <c r="AH88" t="s">
        <v>317</v>
      </c>
      <c r="AI88" t="s">
        <v>346</v>
      </c>
      <c r="AL88" t="str">
        <f t="shared" si="35"/>
        <v/>
      </c>
      <c r="AM88" t="str">
        <f t="shared" si="36"/>
        <v>UC</v>
      </c>
      <c r="AN88">
        <f t="shared" si="37"/>
        <v>0</v>
      </c>
      <c r="AO88" s="1" t="str">
        <f t="shared" si="38"/>
        <v/>
      </c>
      <c r="AP88" s="1" t="str">
        <f t="shared" si="39"/>
        <v/>
      </c>
    </row>
    <row r="89" spans="6:42">
      <c r="F89" s="13"/>
      <c r="G89" s="12"/>
      <c r="N89" t="str">
        <f t="shared" si="24"/>
        <v>EU</v>
      </c>
      <c r="O89" t="str">
        <f t="shared" si="34"/>
        <v>UK</v>
      </c>
      <c r="P89" t="str">
        <f t="shared" si="25"/>
        <v>UK</v>
      </c>
      <c r="Q89" t="str">
        <f t="shared" si="26"/>
        <v>UK</v>
      </c>
      <c r="R89" t="str">
        <f t="shared" si="27"/>
        <v>uk</v>
      </c>
      <c r="S89" s="1" t="str">
        <f t="shared" si="28"/>
        <v>X</v>
      </c>
      <c r="T89" s="1" t="str">
        <f t="shared" si="29"/>
        <v/>
      </c>
      <c r="Z89">
        <v>86</v>
      </c>
      <c r="AA89" t="s">
        <v>65</v>
      </c>
      <c r="AB89" t="s">
        <v>320</v>
      </c>
      <c r="AC89" t="s">
        <v>320</v>
      </c>
      <c r="AD89" t="s">
        <v>321</v>
      </c>
      <c r="AE89" t="s">
        <v>322</v>
      </c>
      <c r="AF89" t="s">
        <v>42</v>
      </c>
      <c r="AG89" t="s">
        <v>43</v>
      </c>
      <c r="AH89" t="s">
        <v>320</v>
      </c>
      <c r="AI89" t="s">
        <v>343</v>
      </c>
      <c r="AL89" t="str">
        <f t="shared" si="35"/>
        <v/>
      </c>
      <c r="AM89" t="str">
        <f t="shared" si="36"/>
        <v>UK</v>
      </c>
      <c r="AN89" t="str">
        <f t="shared" si="37"/>
        <v>X</v>
      </c>
      <c r="AO89" s="1" t="str">
        <f t="shared" si="38"/>
        <v/>
      </c>
      <c r="AP89" s="1" t="str">
        <f t="shared" si="39"/>
        <v/>
      </c>
    </row>
    <row r="90" spans="6:42">
      <c r="F90" s="13"/>
      <c r="G90" s="12"/>
      <c r="N90" t="str">
        <f t="shared" si="24"/>
        <v>NA</v>
      </c>
      <c r="O90" t="str">
        <f t="shared" si="34"/>
        <v>EA</v>
      </c>
      <c r="P90" t="str">
        <f t="shared" si="25"/>
        <v>USA</v>
      </c>
      <c r="Q90" t="str">
        <f t="shared" si="26"/>
        <v>US NEW</v>
      </c>
      <c r="R90" t="str">
        <f t="shared" si="27"/>
        <v>us</v>
      </c>
      <c r="S90" s="1">
        <f t="shared" si="28"/>
        <v>46132</v>
      </c>
      <c r="T90" s="1">
        <f t="shared" si="29"/>
        <v>46152</v>
      </c>
      <c r="Z90">
        <v>87</v>
      </c>
      <c r="AA90" t="s">
        <v>115</v>
      </c>
      <c r="AB90" t="s">
        <v>388</v>
      </c>
      <c r="AC90" t="s">
        <v>323</v>
      </c>
      <c r="AD90" t="s">
        <v>324</v>
      </c>
      <c r="AE90" t="s">
        <v>325</v>
      </c>
      <c r="AF90" t="s">
        <v>203</v>
      </c>
      <c r="AG90" t="s">
        <v>43</v>
      </c>
      <c r="AH90" t="s">
        <v>326</v>
      </c>
      <c r="AI90" t="s">
        <v>350</v>
      </c>
      <c r="AL90" t="str">
        <f t="shared" si="35"/>
        <v/>
      </c>
      <c r="AM90" t="str">
        <f t="shared" si="36"/>
        <v>EA</v>
      </c>
      <c r="AN90" t="str">
        <f t="shared" si="37"/>
        <v>O</v>
      </c>
      <c r="AO90" s="1">
        <f t="shared" si="38"/>
        <v>46132</v>
      </c>
      <c r="AP90" s="1">
        <f t="shared" si="39"/>
        <v>46152</v>
      </c>
    </row>
    <row r="91" spans="6:42">
      <c r="F91" s="13"/>
      <c r="G91" s="12"/>
      <c r="N91" t="str">
        <f t="shared" si="24"/>
        <v>LATAM</v>
      </c>
      <c r="O91" t="str">
        <f t="shared" si="34"/>
        <v>LA</v>
      </c>
      <c r="P91" t="str">
        <f t="shared" si="25"/>
        <v>Uruguay</v>
      </c>
      <c r="Q91" t="str">
        <f t="shared" si="26"/>
        <v>Uruguay</v>
      </c>
      <c r="R91" t="str">
        <f t="shared" si="27"/>
        <v>uy</v>
      </c>
      <c r="S91" s="1">
        <f t="shared" si="28"/>
        <v>46132</v>
      </c>
      <c r="T91" s="1">
        <f t="shared" si="29"/>
        <v>46152</v>
      </c>
      <c r="Z91">
        <v>88</v>
      </c>
      <c r="AA91" t="s">
        <v>71</v>
      </c>
      <c r="AB91" t="s">
        <v>412</v>
      </c>
      <c r="AC91" t="s">
        <v>327</v>
      </c>
      <c r="AD91" t="s">
        <v>328</v>
      </c>
      <c r="AE91" t="s">
        <v>329</v>
      </c>
      <c r="AF91" t="s">
        <v>231</v>
      </c>
      <c r="AG91" t="s">
        <v>57</v>
      </c>
      <c r="AH91" t="s">
        <v>327</v>
      </c>
      <c r="AI91" t="s">
        <v>346</v>
      </c>
      <c r="AL91" t="str">
        <f t="shared" si="35"/>
        <v/>
      </c>
      <c r="AM91" t="str">
        <f t="shared" si="36"/>
        <v>LA</v>
      </c>
      <c r="AN91" t="str">
        <f t="shared" si="37"/>
        <v>O</v>
      </c>
      <c r="AO91" s="1">
        <f t="shared" si="38"/>
        <v>46132</v>
      </c>
      <c r="AP91" s="1">
        <f t="shared" si="39"/>
        <v>46152</v>
      </c>
    </row>
    <row r="92" spans="6:42">
      <c r="F92" s="13"/>
      <c r="G92" s="12"/>
      <c r="N92" t="str">
        <f t="shared" si="24"/>
        <v>CIS</v>
      </c>
      <c r="O92" t="str">
        <f t="shared" si="34"/>
        <v>UZ</v>
      </c>
      <c r="P92" t="str">
        <f t="shared" si="25"/>
        <v>Uzbekistan</v>
      </c>
      <c r="Q92" t="str">
        <f t="shared" si="26"/>
        <v>Uzbekistan (Russian)</v>
      </c>
      <c r="R92" t="str">
        <f t="shared" si="27"/>
        <v>uz_ru</v>
      </c>
      <c r="S92" s="1" t="str">
        <f t="shared" si="28"/>
        <v/>
      </c>
      <c r="T92" s="1" t="str">
        <f t="shared" si="29"/>
        <v/>
      </c>
      <c r="Z92">
        <v>89</v>
      </c>
      <c r="AA92" t="s">
        <v>87</v>
      </c>
      <c r="AB92" t="s">
        <v>450</v>
      </c>
      <c r="AC92" t="s">
        <v>330</v>
      </c>
      <c r="AD92" t="s">
        <v>331</v>
      </c>
      <c r="AE92" t="s">
        <v>332</v>
      </c>
      <c r="AF92" t="s">
        <v>56</v>
      </c>
      <c r="AG92" t="s">
        <v>57</v>
      </c>
      <c r="AH92" t="s">
        <v>333</v>
      </c>
      <c r="AI92" t="s">
        <v>346</v>
      </c>
      <c r="AL92" t="str">
        <f t="shared" si="35"/>
        <v/>
      </c>
      <c r="AM92" t="str">
        <f t="shared" si="36"/>
        <v/>
      </c>
      <c r="AN92" t="str">
        <f t="shared" si="37"/>
        <v/>
      </c>
      <c r="AO92" s="1" t="str">
        <f t="shared" si="38"/>
        <v/>
      </c>
      <c r="AP92" s="1" t="str">
        <f t="shared" si="39"/>
        <v/>
      </c>
    </row>
    <row r="93" spans="6:42">
      <c r="F93" s="13"/>
      <c r="G93" s="12"/>
      <c r="N93" t="str">
        <f t="shared" si="24"/>
        <v>CIS</v>
      </c>
      <c r="O93" t="str">
        <f t="shared" si="34"/>
        <v>UZ</v>
      </c>
      <c r="P93" t="str">
        <f t="shared" si="25"/>
        <v>Uzbekistan</v>
      </c>
      <c r="Q93" t="str">
        <f t="shared" si="26"/>
        <v>Uzbekistan</v>
      </c>
      <c r="R93" t="str">
        <f t="shared" si="27"/>
        <v>uz_uz</v>
      </c>
      <c r="S93" s="1" t="str">
        <f t="shared" si="28"/>
        <v/>
      </c>
      <c r="T93" s="1" t="str">
        <f t="shared" si="29"/>
        <v/>
      </c>
      <c r="Z93">
        <v>90</v>
      </c>
      <c r="AA93" t="s">
        <v>87</v>
      </c>
      <c r="AB93" t="s">
        <v>450</v>
      </c>
      <c r="AC93" t="s">
        <v>330</v>
      </c>
      <c r="AD93" t="s">
        <v>334</v>
      </c>
      <c r="AE93" t="s">
        <v>335</v>
      </c>
      <c r="AF93" t="s">
        <v>56</v>
      </c>
      <c r="AG93" t="s">
        <v>57</v>
      </c>
      <c r="AH93" t="s">
        <v>330</v>
      </c>
      <c r="AI93" t="s">
        <v>346</v>
      </c>
      <c r="AL93" t="str">
        <f t="shared" si="35"/>
        <v/>
      </c>
      <c r="AM93" t="str">
        <f t="shared" si="36"/>
        <v/>
      </c>
      <c r="AN93" t="str">
        <f t="shared" si="37"/>
        <v/>
      </c>
      <c r="AO93" s="1" t="str">
        <f t="shared" si="38"/>
        <v/>
      </c>
      <c r="AP93" s="1" t="str">
        <f t="shared" si="39"/>
        <v/>
      </c>
    </row>
    <row r="94" spans="6:42">
      <c r="F94" s="13"/>
      <c r="G94" s="12"/>
      <c r="N94" t="str">
        <f t="shared" si="24"/>
        <v>SEAO</v>
      </c>
      <c r="O94" t="str">
        <f t="shared" si="34"/>
        <v>VNA</v>
      </c>
      <c r="P94" t="str">
        <f t="shared" si="25"/>
        <v>Vietnam</v>
      </c>
      <c r="Q94" t="str">
        <f t="shared" si="26"/>
        <v>Vietnam</v>
      </c>
      <c r="R94" t="str">
        <f t="shared" si="27"/>
        <v>vn</v>
      </c>
      <c r="S94" s="1">
        <f t="shared" si="28"/>
        <v>46146</v>
      </c>
      <c r="T94" s="1">
        <f t="shared" si="29"/>
        <v>46155</v>
      </c>
      <c r="Z94">
        <v>91</v>
      </c>
      <c r="AA94" t="s">
        <v>81</v>
      </c>
      <c r="AB94" t="s">
        <v>418</v>
      </c>
      <c r="AC94" t="s">
        <v>336</v>
      </c>
      <c r="AD94" t="s">
        <v>337</v>
      </c>
      <c r="AE94" t="s">
        <v>338</v>
      </c>
      <c r="AF94" t="s">
        <v>42</v>
      </c>
      <c r="AG94" t="s">
        <v>43</v>
      </c>
      <c r="AH94" t="s">
        <v>336</v>
      </c>
      <c r="AI94" t="s">
        <v>343</v>
      </c>
      <c r="AL94" t="str">
        <f t="shared" si="35"/>
        <v/>
      </c>
      <c r="AM94" t="str">
        <f t="shared" si="36"/>
        <v>VNA</v>
      </c>
      <c r="AN94" t="str">
        <f t="shared" si="37"/>
        <v>O</v>
      </c>
      <c r="AO94" s="1">
        <f t="shared" si="38"/>
        <v>46146</v>
      </c>
      <c r="AP94" s="1">
        <f t="shared" si="39"/>
        <v>46155</v>
      </c>
    </row>
    <row r="95" spans="6:42">
      <c r="F95" s="13"/>
      <c r="G95" s="12"/>
      <c r="N95" t="str">
        <f t="shared" si="24"/>
        <v>Africa</v>
      </c>
      <c r="O95" t="str">
        <f t="shared" si="34"/>
        <v>SA (ZA)</v>
      </c>
      <c r="P95" t="str">
        <f t="shared" si="25"/>
        <v>South Africa</v>
      </c>
      <c r="Q95" t="str">
        <f t="shared" si="26"/>
        <v>South Africa</v>
      </c>
      <c r="R95" t="str">
        <f t="shared" si="27"/>
        <v>za</v>
      </c>
      <c r="S95" s="1">
        <f t="shared" si="28"/>
        <v>46132</v>
      </c>
      <c r="T95" s="1">
        <f t="shared" si="29"/>
        <v>46152</v>
      </c>
      <c r="Z95">
        <v>92</v>
      </c>
      <c r="AA95" t="s">
        <v>52</v>
      </c>
      <c r="AB95" t="s">
        <v>451</v>
      </c>
      <c r="AC95" t="s">
        <v>339</v>
      </c>
      <c r="AD95" t="s">
        <v>340</v>
      </c>
      <c r="AE95" t="s">
        <v>341</v>
      </c>
      <c r="AF95" t="s">
        <v>42</v>
      </c>
      <c r="AG95" t="s">
        <v>43</v>
      </c>
      <c r="AH95" t="s">
        <v>339</v>
      </c>
      <c r="AI95" t="s">
        <v>343</v>
      </c>
      <c r="AL95" t="str">
        <f t="shared" si="35"/>
        <v/>
      </c>
      <c r="AM95" t="str">
        <f t="shared" si="36"/>
        <v>SA (ZA)</v>
      </c>
      <c r="AN95" t="str">
        <f t="shared" si="37"/>
        <v>O</v>
      </c>
      <c r="AO95" s="1">
        <f t="shared" si="38"/>
        <v>46132</v>
      </c>
      <c r="AP95" s="1">
        <f t="shared" si="39"/>
        <v>46152</v>
      </c>
    </row>
    <row r="96" spans="6:42">
      <c r="F96" s="13"/>
      <c r="G96" s="12"/>
      <c r="N96" t="str">
        <f t="shared" si="24"/>
        <v/>
      </c>
      <c r="O96" t="str">
        <f t="shared" si="34"/>
        <v/>
      </c>
      <c r="P96" t="str">
        <f t="shared" si="25"/>
        <v/>
      </c>
      <c r="Q96" t="str">
        <f t="shared" si="26"/>
        <v/>
      </c>
      <c r="R96" t="str">
        <f t="shared" si="27"/>
        <v/>
      </c>
      <c r="S96" s="1" t="str">
        <f t="shared" si="28"/>
        <v/>
      </c>
      <c r="T96" s="1" t="str">
        <f t="shared" si="29"/>
        <v/>
      </c>
      <c r="AL96" t="str">
        <f t="shared" si="35"/>
        <v/>
      </c>
      <c r="AM96" t="str">
        <f t="shared" si="36"/>
        <v/>
      </c>
      <c r="AN96" t="str">
        <f t="shared" si="37"/>
        <v/>
      </c>
      <c r="AO96" s="1" t="str">
        <f t="shared" si="38"/>
        <v/>
      </c>
      <c r="AP96" s="1" t="str">
        <f t="shared" si="39"/>
        <v/>
      </c>
    </row>
    <row r="97" spans="6:42">
      <c r="F97" s="13"/>
      <c r="G97" s="12"/>
      <c r="N97" t="str">
        <f t="shared" si="24"/>
        <v/>
      </c>
      <c r="O97" t="str">
        <f t="shared" si="34"/>
        <v/>
      </c>
      <c r="P97" t="str">
        <f t="shared" si="25"/>
        <v/>
      </c>
      <c r="Q97" t="str">
        <f t="shared" si="26"/>
        <v/>
      </c>
      <c r="R97" t="str">
        <f t="shared" si="27"/>
        <v/>
      </c>
      <c r="S97" s="1" t="str">
        <f t="shared" si="28"/>
        <v/>
      </c>
      <c r="T97" s="1" t="str">
        <f t="shared" si="29"/>
        <v/>
      </c>
      <c r="AL97" t="str">
        <f t="shared" si="35"/>
        <v/>
      </c>
      <c r="AM97" t="str">
        <f t="shared" si="36"/>
        <v/>
      </c>
      <c r="AN97" t="str">
        <f t="shared" si="37"/>
        <v/>
      </c>
      <c r="AO97" s="1" t="str">
        <f t="shared" si="38"/>
        <v/>
      </c>
      <c r="AP97" s="1" t="str">
        <f t="shared" si="39"/>
        <v/>
      </c>
    </row>
    <row r="98" spans="6:42">
      <c r="F98" s="13"/>
      <c r="G98" s="12"/>
      <c r="N98" t="str">
        <f t="shared" si="24"/>
        <v/>
      </c>
      <c r="O98" t="str">
        <f t="shared" si="34"/>
        <v/>
      </c>
      <c r="P98" t="str">
        <f t="shared" si="25"/>
        <v/>
      </c>
      <c r="Q98" t="str">
        <f t="shared" si="26"/>
        <v/>
      </c>
      <c r="R98" t="str">
        <f t="shared" si="27"/>
        <v/>
      </c>
      <c r="S98" s="1" t="str">
        <f t="shared" si="28"/>
        <v/>
      </c>
      <c r="T98" s="1" t="str">
        <f t="shared" si="29"/>
        <v/>
      </c>
      <c r="AL98" t="str">
        <f t="shared" si="35"/>
        <v/>
      </c>
      <c r="AM98" t="str">
        <f t="shared" si="36"/>
        <v/>
      </c>
      <c r="AN98" t="str">
        <f t="shared" si="37"/>
        <v/>
      </c>
      <c r="AO98" s="1" t="str">
        <f t="shared" si="38"/>
        <v/>
      </c>
      <c r="AP98" s="1" t="str">
        <f t="shared" si="39"/>
        <v/>
      </c>
    </row>
    <row r="99" spans="6:42">
      <c r="F99" s="13"/>
      <c r="G99" s="12"/>
      <c r="N99" t="str">
        <f t="shared" si="24"/>
        <v/>
      </c>
      <c r="O99" t="str">
        <f t="shared" si="34"/>
        <v/>
      </c>
      <c r="P99" t="str">
        <f t="shared" si="25"/>
        <v/>
      </c>
      <c r="Q99" t="str">
        <f t="shared" si="26"/>
        <v/>
      </c>
      <c r="R99" t="str">
        <f t="shared" si="27"/>
        <v/>
      </c>
      <c r="S99" s="1" t="str">
        <f t="shared" si="28"/>
        <v/>
      </c>
      <c r="T99" s="1" t="str">
        <f t="shared" si="29"/>
        <v/>
      </c>
      <c r="AL99" t="str">
        <f t="shared" si="35"/>
        <v/>
      </c>
      <c r="AM99" t="str">
        <f t="shared" si="36"/>
        <v/>
      </c>
      <c r="AN99" t="str">
        <f t="shared" si="37"/>
        <v/>
      </c>
      <c r="AO99" s="1" t="str">
        <f t="shared" si="38"/>
        <v/>
      </c>
      <c r="AP99" s="1" t="str">
        <f t="shared" si="39"/>
        <v/>
      </c>
    </row>
    <row r="100" spans="6:42">
      <c r="F100" s="13"/>
      <c r="G100" s="12"/>
      <c r="N100" t="str">
        <f t="shared" si="24"/>
        <v/>
      </c>
      <c r="O100" t="str">
        <f t="shared" si="34"/>
        <v/>
      </c>
      <c r="P100" t="str">
        <f t="shared" si="25"/>
        <v/>
      </c>
      <c r="Q100" t="str">
        <f t="shared" si="26"/>
        <v/>
      </c>
      <c r="R100" t="str">
        <f t="shared" si="27"/>
        <v/>
      </c>
      <c r="S100" s="1" t="str">
        <f t="shared" si="28"/>
        <v/>
      </c>
      <c r="T100" s="1" t="str">
        <f t="shared" si="29"/>
        <v/>
      </c>
      <c r="AL100" t="str">
        <f t="shared" si="35"/>
        <v/>
      </c>
      <c r="AM100" t="str">
        <f t="shared" si="36"/>
        <v/>
      </c>
      <c r="AN100" t="str">
        <f t="shared" si="37"/>
        <v/>
      </c>
      <c r="AO100" s="1" t="str">
        <f t="shared" si="38"/>
        <v/>
      </c>
      <c r="AP100" s="1" t="str">
        <f t="shared" si="39"/>
        <v/>
      </c>
    </row>
    <row r="101" spans="6:42">
      <c r="F101" s="13"/>
      <c r="G101" s="12"/>
      <c r="N101" t="str">
        <f t="shared" si="24"/>
        <v/>
      </c>
      <c r="O101" t="str">
        <f t="shared" si="34"/>
        <v/>
      </c>
      <c r="P101" t="str">
        <f t="shared" si="25"/>
        <v/>
      </c>
      <c r="Q101" t="str">
        <f t="shared" si="26"/>
        <v/>
      </c>
      <c r="R101" t="str">
        <f t="shared" si="27"/>
        <v/>
      </c>
      <c r="S101" s="1" t="str">
        <f t="shared" si="28"/>
        <v/>
      </c>
      <c r="T101" s="1" t="str">
        <f t="shared" si="29"/>
        <v/>
      </c>
      <c r="AL101" t="str">
        <f t="shared" si="35"/>
        <v/>
      </c>
      <c r="AM101" t="str">
        <f t="shared" si="36"/>
        <v/>
      </c>
      <c r="AN101" t="str">
        <f t="shared" si="37"/>
        <v/>
      </c>
      <c r="AO101" s="1" t="str">
        <f t="shared" si="38"/>
        <v/>
      </c>
      <c r="AP101" s="1" t="str">
        <f t="shared" si="39"/>
        <v/>
      </c>
    </row>
    <row r="102" spans="6:42">
      <c r="F102" s="13"/>
      <c r="G102" s="12"/>
      <c r="N102" t="str">
        <f t="shared" si="24"/>
        <v/>
      </c>
      <c r="O102" t="str">
        <f t="shared" si="34"/>
        <v/>
      </c>
      <c r="P102" t="str">
        <f t="shared" si="25"/>
        <v/>
      </c>
      <c r="Q102" t="str">
        <f t="shared" si="26"/>
        <v/>
      </c>
      <c r="R102" t="str">
        <f t="shared" si="27"/>
        <v/>
      </c>
      <c r="S102" s="1" t="str">
        <f t="shared" si="28"/>
        <v/>
      </c>
      <c r="T102" s="1" t="str">
        <f t="shared" si="29"/>
        <v/>
      </c>
      <c r="AL102" t="str">
        <f t="shared" si="35"/>
        <v/>
      </c>
      <c r="AM102" t="str">
        <f t="shared" si="36"/>
        <v/>
      </c>
      <c r="AN102" t="str">
        <f t="shared" si="37"/>
        <v/>
      </c>
      <c r="AO102" s="1" t="str">
        <f t="shared" si="38"/>
        <v/>
      </c>
      <c r="AP102" s="1" t="str">
        <f t="shared" si="39"/>
        <v/>
      </c>
    </row>
    <row r="103" spans="6:42">
      <c r="F103" s="13"/>
      <c r="G103" s="12"/>
      <c r="N103" t="str">
        <f t="shared" si="24"/>
        <v/>
      </c>
      <c r="O103" t="str">
        <f t="shared" si="34"/>
        <v/>
      </c>
      <c r="P103" t="str">
        <f t="shared" si="25"/>
        <v/>
      </c>
      <c r="Q103" t="str">
        <f t="shared" si="26"/>
        <v/>
      </c>
      <c r="R103" t="str">
        <f t="shared" si="27"/>
        <v/>
      </c>
      <c r="S103" s="1" t="str">
        <f t="shared" si="28"/>
        <v/>
      </c>
      <c r="T103" s="1" t="str">
        <f t="shared" si="29"/>
        <v/>
      </c>
      <c r="AL103" t="str">
        <f t="shared" si="35"/>
        <v/>
      </c>
      <c r="AM103" t="str">
        <f t="shared" si="36"/>
        <v/>
      </c>
      <c r="AN103" t="str">
        <f t="shared" si="37"/>
        <v/>
      </c>
      <c r="AO103" s="1" t="str">
        <f t="shared" si="38"/>
        <v/>
      </c>
      <c r="AP103" s="1" t="str">
        <f t="shared" si="39"/>
        <v/>
      </c>
    </row>
    <row r="104" spans="6:42">
      <c r="F104" s="13"/>
      <c r="G104" s="12"/>
      <c r="N104" t="str">
        <f t="shared" si="24"/>
        <v/>
      </c>
      <c r="O104" t="str">
        <f t="shared" si="34"/>
        <v/>
      </c>
      <c r="P104" t="str">
        <f t="shared" si="25"/>
        <v/>
      </c>
      <c r="Q104" t="str">
        <f t="shared" si="26"/>
        <v/>
      </c>
      <c r="R104" t="str">
        <f t="shared" si="27"/>
        <v/>
      </c>
      <c r="S104" s="1" t="str">
        <f t="shared" si="28"/>
        <v/>
      </c>
      <c r="T104" s="1" t="str">
        <f t="shared" si="29"/>
        <v/>
      </c>
      <c r="AL104" t="str">
        <f t="shared" si="35"/>
        <v/>
      </c>
      <c r="AM104" t="str">
        <f t="shared" si="36"/>
        <v/>
      </c>
      <c r="AN104" t="str">
        <f t="shared" si="37"/>
        <v/>
      </c>
      <c r="AO104" s="1" t="str">
        <f t="shared" si="38"/>
        <v/>
      </c>
      <c r="AP104" s="1" t="str">
        <f t="shared" si="39"/>
        <v/>
      </c>
    </row>
    <row r="105" spans="6:42">
      <c r="F105" s="13"/>
      <c r="G105" s="12"/>
      <c r="N105" t="str">
        <f t="shared" si="24"/>
        <v/>
      </c>
      <c r="O105" t="str">
        <f t="shared" si="34"/>
        <v/>
      </c>
      <c r="P105" t="str">
        <f t="shared" si="25"/>
        <v/>
      </c>
      <c r="Q105" t="str">
        <f t="shared" si="26"/>
        <v/>
      </c>
      <c r="R105" t="str">
        <f t="shared" si="27"/>
        <v/>
      </c>
      <c r="S105" s="1" t="str">
        <f t="shared" si="28"/>
        <v/>
      </c>
      <c r="T105" s="1" t="str">
        <f t="shared" si="29"/>
        <v/>
      </c>
      <c r="AL105" t="str">
        <f t="shared" si="35"/>
        <v/>
      </c>
      <c r="AM105" t="str">
        <f t="shared" si="36"/>
        <v/>
      </c>
      <c r="AN105" t="str">
        <f t="shared" si="37"/>
        <v/>
      </c>
      <c r="AO105" s="1" t="str">
        <f t="shared" si="38"/>
        <v/>
      </c>
      <c r="AP105" s="1" t="str">
        <f t="shared" si="39"/>
        <v/>
      </c>
    </row>
    <row r="106" spans="6:42">
      <c r="F106" s="13"/>
      <c r="G106" s="12"/>
      <c r="N106" t="str">
        <f t="shared" si="24"/>
        <v/>
      </c>
      <c r="O106" t="str">
        <f t="shared" si="34"/>
        <v/>
      </c>
      <c r="P106" t="str">
        <f t="shared" si="25"/>
        <v/>
      </c>
      <c r="Q106" t="str">
        <f t="shared" si="26"/>
        <v/>
      </c>
      <c r="R106" t="str">
        <f t="shared" si="27"/>
        <v/>
      </c>
      <c r="S106" s="1" t="str">
        <f t="shared" si="28"/>
        <v/>
      </c>
      <c r="T106" s="1" t="str">
        <f t="shared" si="29"/>
        <v/>
      </c>
      <c r="AL106" t="str">
        <f t="shared" si="35"/>
        <v/>
      </c>
      <c r="AM106" t="str">
        <f t="shared" si="36"/>
        <v/>
      </c>
      <c r="AN106" t="str">
        <f t="shared" si="37"/>
        <v/>
      </c>
      <c r="AO106" s="1" t="str">
        <f t="shared" si="38"/>
        <v/>
      </c>
      <c r="AP106" s="1" t="str">
        <f t="shared" si="39"/>
        <v/>
      </c>
    </row>
    <row r="107" spans="6:42">
      <c r="F107" s="13"/>
      <c r="G107" s="12"/>
      <c r="N107" t="str">
        <f t="shared" si="24"/>
        <v/>
      </c>
      <c r="O107" t="str">
        <f t="shared" si="34"/>
        <v/>
      </c>
      <c r="P107" t="str">
        <f t="shared" si="25"/>
        <v/>
      </c>
      <c r="Q107" t="str">
        <f t="shared" si="26"/>
        <v/>
      </c>
      <c r="R107" t="str">
        <f t="shared" si="27"/>
        <v/>
      </c>
      <c r="S107" s="1" t="str">
        <f t="shared" si="28"/>
        <v/>
      </c>
      <c r="T107" s="1" t="str">
        <f t="shared" si="29"/>
        <v/>
      </c>
      <c r="AL107" t="str">
        <f t="shared" si="35"/>
        <v/>
      </c>
      <c r="AM107" t="str">
        <f t="shared" si="36"/>
        <v/>
      </c>
      <c r="AN107" t="str">
        <f t="shared" si="37"/>
        <v/>
      </c>
      <c r="AO107" s="1" t="str">
        <f t="shared" si="38"/>
        <v/>
      </c>
      <c r="AP107" s="1" t="str">
        <f t="shared" si="39"/>
        <v/>
      </c>
    </row>
    <row r="108" spans="6:42">
      <c r="F108" s="13"/>
      <c r="G108" s="12"/>
      <c r="N108" t="str">
        <f t="shared" si="24"/>
        <v/>
      </c>
      <c r="O108" t="str">
        <f t="shared" si="34"/>
        <v/>
      </c>
      <c r="P108" t="str">
        <f t="shared" si="25"/>
        <v/>
      </c>
      <c r="Q108" t="str">
        <f t="shared" si="26"/>
        <v/>
      </c>
      <c r="R108" t="str">
        <f t="shared" si="27"/>
        <v/>
      </c>
      <c r="S108" s="1" t="str">
        <f t="shared" si="28"/>
        <v/>
      </c>
      <c r="T108" s="1" t="str">
        <f t="shared" si="29"/>
        <v/>
      </c>
      <c r="AL108" t="str">
        <f t="shared" si="35"/>
        <v/>
      </c>
      <c r="AM108" t="str">
        <f t="shared" si="36"/>
        <v/>
      </c>
      <c r="AN108" t="str">
        <f t="shared" si="37"/>
        <v/>
      </c>
      <c r="AO108" s="1" t="str">
        <f t="shared" si="38"/>
        <v/>
      </c>
      <c r="AP108" s="1" t="str">
        <f t="shared" si="39"/>
        <v/>
      </c>
    </row>
    <row r="109" spans="6:42">
      <c r="F109" s="13"/>
      <c r="G109" s="12"/>
      <c r="N109" t="str">
        <f t="shared" si="24"/>
        <v/>
      </c>
      <c r="O109" t="str">
        <f t="shared" si="34"/>
        <v/>
      </c>
      <c r="P109" t="str">
        <f t="shared" si="25"/>
        <v/>
      </c>
      <c r="Q109" t="str">
        <f t="shared" si="26"/>
        <v/>
      </c>
      <c r="R109" t="str">
        <f t="shared" si="27"/>
        <v/>
      </c>
      <c r="S109" s="1" t="str">
        <f t="shared" si="28"/>
        <v/>
      </c>
      <c r="T109" s="1" t="str">
        <f t="shared" si="29"/>
        <v/>
      </c>
      <c r="AL109" t="str">
        <f t="shared" si="35"/>
        <v/>
      </c>
      <c r="AM109" t="str">
        <f t="shared" si="36"/>
        <v/>
      </c>
      <c r="AN109" t="str">
        <f t="shared" si="37"/>
        <v/>
      </c>
      <c r="AO109" s="1" t="str">
        <f t="shared" si="38"/>
        <v/>
      </c>
      <c r="AP109" s="1" t="str">
        <f t="shared" si="39"/>
        <v/>
      </c>
    </row>
    <row r="110" spans="6:42">
      <c r="F110" s="13"/>
      <c r="G110" s="12"/>
      <c r="N110" t="str">
        <f t="shared" si="24"/>
        <v/>
      </c>
      <c r="O110" t="str">
        <f t="shared" si="34"/>
        <v/>
      </c>
      <c r="P110" t="str">
        <f t="shared" si="25"/>
        <v/>
      </c>
      <c r="Q110" t="str">
        <f t="shared" si="26"/>
        <v/>
      </c>
      <c r="R110" t="str">
        <f t="shared" si="27"/>
        <v/>
      </c>
      <c r="S110" s="1" t="str">
        <f t="shared" si="28"/>
        <v/>
      </c>
      <c r="T110" s="1" t="str">
        <f t="shared" si="29"/>
        <v/>
      </c>
      <c r="AL110" t="str">
        <f t="shared" si="35"/>
        <v/>
      </c>
      <c r="AM110" t="str">
        <f t="shared" si="36"/>
        <v/>
      </c>
      <c r="AN110" t="str">
        <f t="shared" si="37"/>
        <v/>
      </c>
      <c r="AO110" s="1" t="str">
        <f t="shared" si="38"/>
        <v/>
      </c>
      <c r="AP110" s="1" t="str">
        <f t="shared" si="39"/>
        <v/>
      </c>
    </row>
    <row r="111" spans="6:42">
      <c r="F111" s="13"/>
      <c r="G111" s="12"/>
      <c r="N111" t="str">
        <f t="shared" si="24"/>
        <v/>
      </c>
      <c r="O111" t="str">
        <f t="shared" si="34"/>
        <v/>
      </c>
      <c r="P111" t="str">
        <f t="shared" si="25"/>
        <v/>
      </c>
      <c r="Q111" t="str">
        <f t="shared" si="26"/>
        <v/>
      </c>
      <c r="R111" t="str">
        <f t="shared" si="27"/>
        <v/>
      </c>
      <c r="S111" s="1" t="str">
        <f t="shared" si="28"/>
        <v/>
      </c>
      <c r="T111" s="1" t="str">
        <f t="shared" si="29"/>
        <v/>
      </c>
      <c r="AL111" t="str">
        <f t="shared" si="35"/>
        <v/>
      </c>
      <c r="AM111" t="str">
        <f t="shared" si="36"/>
        <v/>
      </c>
      <c r="AN111" t="str">
        <f t="shared" si="37"/>
        <v/>
      </c>
      <c r="AO111" s="1" t="str">
        <f t="shared" si="38"/>
        <v/>
      </c>
      <c r="AP111" s="1" t="str">
        <f t="shared" si="39"/>
        <v/>
      </c>
    </row>
    <row r="112" spans="6:42">
      <c r="N112" t="str">
        <f t="shared" si="24"/>
        <v/>
      </c>
      <c r="O112" t="str">
        <f t="shared" si="34"/>
        <v/>
      </c>
      <c r="P112" t="str">
        <f t="shared" si="25"/>
        <v/>
      </c>
      <c r="Q112" t="str">
        <f t="shared" si="26"/>
        <v/>
      </c>
      <c r="R112" t="str">
        <f t="shared" si="27"/>
        <v/>
      </c>
      <c r="S112" s="1" t="str">
        <f t="shared" si="28"/>
        <v/>
      </c>
      <c r="T112" s="1" t="str">
        <f t="shared" si="29"/>
        <v/>
      </c>
      <c r="AL112" t="str">
        <f t="shared" si="35"/>
        <v/>
      </c>
      <c r="AM112" t="str">
        <f t="shared" si="36"/>
        <v/>
      </c>
      <c r="AN112" t="str">
        <f t="shared" si="37"/>
        <v/>
      </c>
      <c r="AO112" s="1" t="str">
        <f t="shared" si="38"/>
        <v/>
      </c>
      <c r="AP112" s="1" t="str">
        <f t="shared" si="39"/>
        <v/>
      </c>
    </row>
    <row r="113" spans="14:42">
      <c r="N113" t="str">
        <f t="shared" si="24"/>
        <v/>
      </c>
      <c r="O113" t="str">
        <f t="shared" si="34"/>
        <v/>
      </c>
      <c r="P113" t="str">
        <f t="shared" si="25"/>
        <v/>
      </c>
      <c r="Q113" t="str">
        <f t="shared" si="26"/>
        <v/>
      </c>
      <c r="R113" t="str">
        <f t="shared" si="27"/>
        <v/>
      </c>
      <c r="S113" s="1" t="str">
        <f t="shared" si="28"/>
        <v/>
      </c>
      <c r="T113" s="1" t="str">
        <f t="shared" si="29"/>
        <v/>
      </c>
      <c r="AL113" t="str">
        <f t="shared" si="35"/>
        <v/>
      </c>
      <c r="AM113" t="str">
        <f t="shared" si="36"/>
        <v/>
      </c>
      <c r="AN113" t="str">
        <f t="shared" si="37"/>
        <v/>
      </c>
      <c r="AO113" s="1" t="str">
        <f t="shared" si="38"/>
        <v/>
      </c>
      <c r="AP113" s="1" t="str">
        <f t="shared" si="39"/>
        <v/>
      </c>
    </row>
    <row r="114" spans="14:42">
      <c r="N114" t="str">
        <f t="shared" si="24"/>
        <v/>
      </c>
      <c r="O114" t="str">
        <f t="shared" si="34"/>
        <v/>
      </c>
      <c r="P114" t="str">
        <f t="shared" si="25"/>
        <v/>
      </c>
      <c r="Q114" t="str">
        <f t="shared" si="26"/>
        <v/>
      </c>
      <c r="R114" t="str">
        <f t="shared" si="27"/>
        <v/>
      </c>
      <c r="S114" s="1" t="str">
        <f t="shared" si="28"/>
        <v/>
      </c>
      <c r="T114" s="1" t="str">
        <f t="shared" si="29"/>
        <v/>
      </c>
      <c r="AL114" t="str">
        <f t="shared" si="35"/>
        <v/>
      </c>
      <c r="AM114" t="str">
        <f t="shared" si="36"/>
        <v/>
      </c>
      <c r="AN114" t="str">
        <f t="shared" si="37"/>
        <v/>
      </c>
      <c r="AO114" s="1" t="str">
        <f t="shared" si="38"/>
        <v/>
      </c>
      <c r="AP114" s="1" t="str">
        <f t="shared" si="39"/>
        <v/>
      </c>
    </row>
    <row r="115" spans="14:42">
      <c r="N115" t="str">
        <f t="shared" si="24"/>
        <v/>
      </c>
      <c r="O115" t="str">
        <f t="shared" si="34"/>
        <v/>
      </c>
      <c r="P115" t="str">
        <f t="shared" si="25"/>
        <v/>
      </c>
      <c r="Q115" t="str">
        <f t="shared" si="26"/>
        <v/>
      </c>
      <c r="R115" t="str">
        <f t="shared" si="27"/>
        <v/>
      </c>
      <c r="S115" s="1" t="str">
        <f t="shared" si="28"/>
        <v/>
      </c>
      <c r="T115" s="1" t="str">
        <f t="shared" si="29"/>
        <v/>
      </c>
      <c r="AL115" t="str">
        <f t="shared" si="35"/>
        <v/>
      </c>
      <c r="AM115" t="str">
        <f t="shared" si="36"/>
        <v/>
      </c>
      <c r="AN115" t="str">
        <f t="shared" si="37"/>
        <v/>
      </c>
      <c r="AO115" s="1" t="str">
        <f t="shared" si="38"/>
        <v/>
      </c>
      <c r="AP115" s="1" t="str">
        <f t="shared" si="39"/>
        <v/>
      </c>
    </row>
    <row r="116" spans="14:42">
      <c r="N116" t="str">
        <f t="shared" si="24"/>
        <v/>
      </c>
      <c r="O116" t="str">
        <f t="shared" si="34"/>
        <v/>
      </c>
      <c r="P116" t="str">
        <f t="shared" si="25"/>
        <v/>
      </c>
      <c r="Q116" t="str">
        <f t="shared" si="26"/>
        <v/>
      </c>
      <c r="R116" t="str">
        <f t="shared" si="27"/>
        <v/>
      </c>
      <c r="S116" s="1" t="str">
        <f t="shared" si="28"/>
        <v/>
      </c>
      <c r="T116" s="1" t="str">
        <f t="shared" si="29"/>
        <v/>
      </c>
      <c r="AL116" t="str">
        <f t="shared" si="35"/>
        <v/>
      </c>
      <c r="AM116" t="str">
        <f t="shared" si="36"/>
        <v/>
      </c>
      <c r="AN116" t="str">
        <f t="shared" si="37"/>
        <v/>
      </c>
      <c r="AO116" s="1" t="str">
        <f t="shared" si="38"/>
        <v/>
      </c>
      <c r="AP116" s="1" t="str">
        <f t="shared" si="39"/>
        <v/>
      </c>
    </row>
    <row r="117" spans="14:42">
      <c r="N117" t="str">
        <f t="shared" si="24"/>
        <v/>
      </c>
      <c r="O117" t="str">
        <f t="shared" si="34"/>
        <v/>
      </c>
      <c r="P117" t="str">
        <f t="shared" si="25"/>
        <v/>
      </c>
      <c r="Q117" t="str">
        <f t="shared" si="26"/>
        <v/>
      </c>
      <c r="R117" t="str">
        <f t="shared" si="27"/>
        <v/>
      </c>
      <c r="S117" s="1" t="str">
        <f t="shared" si="28"/>
        <v/>
      </c>
      <c r="T117" s="1" t="str">
        <f t="shared" si="29"/>
        <v/>
      </c>
      <c r="AL117" t="str">
        <f t="shared" si="35"/>
        <v/>
      </c>
      <c r="AM117" t="str">
        <f t="shared" si="36"/>
        <v/>
      </c>
      <c r="AN117" t="str">
        <f t="shared" si="37"/>
        <v/>
      </c>
      <c r="AO117" s="1" t="str">
        <f t="shared" si="38"/>
        <v/>
      </c>
      <c r="AP117" s="1" t="str">
        <f t="shared" si="39"/>
        <v/>
      </c>
    </row>
    <row r="118" spans="14:42">
      <c r="N118" t="str">
        <f t="shared" si="24"/>
        <v/>
      </c>
      <c r="O118" t="str">
        <f t="shared" si="34"/>
        <v/>
      </c>
      <c r="P118" t="str">
        <f t="shared" si="25"/>
        <v/>
      </c>
      <c r="Q118" t="str">
        <f t="shared" si="26"/>
        <v/>
      </c>
      <c r="R118" t="str">
        <f t="shared" si="27"/>
        <v/>
      </c>
      <c r="S118" s="1" t="str">
        <f t="shared" si="28"/>
        <v/>
      </c>
      <c r="T118" s="1" t="str">
        <f t="shared" si="29"/>
        <v/>
      </c>
      <c r="AL118" t="str">
        <f t="shared" si="35"/>
        <v/>
      </c>
      <c r="AM118" t="str">
        <f t="shared" si="36"/>
        <v/>
      </c>
      <c r="AN118" t="str">
        <f t="shared" si="37"/>
        <v/>
      </c>
      <c r="AO118" s="1" t="str">
        <f t="shared" si="38"/>
        <v/>
      </c>
      <c r="AP118" s="1" t="str">
        <f t="shared" si="39"/>
        <v/>
      </c>
    </row>
    <row r="119" spans="14:42">
      <c r="N119" t="str">
        <f t="shared" si="24"/>
        <v/>
      </c>
      <c r="O119" t="str">
        <f t="shared" si="34"/>
        <v/>
      </c>
      <c r="P119" t="str">
        <f t="shared" si="25"/>
        <v/>
      </c>
      <c r="Q119" t="str">
        <f t="shared" si="26"/>
        <v/>
      </c>
      <c r="R119" t="str">
        <f t="shared" si="27"/>
        <v/>
      </c>
      <c r="S119" s="1" t="str">
        <f t="shared" si="28"/>
        <v/>
      </c>
      <c r="T119" s="1" t="str">
        <f t="shared" si="29"/>
        <v/>
      </c>
      <c r="AL119" t="str">
        <f t="shared" si="35"/>
        <v/>
      </c>
      <c r="AM119" t="str">
        <f t="shared" si="36"/>
        <v/>
      </c>
      <c r="AN119" t="str">
        <f t="shared" si="37"/>
        <v/>
      </c>
      <c r="AO119" s="1" t="str">
        <f t="shared" si="38"/>
        <v/>
      </c>
      <c r="AP119" s="1" t="str">
        <f t="shared" si="39"/>
        <v/>
      </c>
    </row>
    <row r="120" spans="14:42">
      <c r="N120" t="str">
        <f t="shared" si="24"/>
        <v/>
      </c>
      <c r="O120" t="str">
        <f t="shared" si="34"/>
        <v/>
      </c>
      <c r="P120" t="str">
        <f t="shared" si="25"/>
        <v/>
      </c>
      <c r="Q120" t="str">
        <f t="shared" si="26"/>
        <v/>
      </c>
      <c r="R120" t="str">
        <f t="shared" si="27"/>
        <v/>
      </c>
      <c r="S120" s="1" t="str">
        <f t="shared" si="28"/>
        <v/>
      </c>
      <c r="T120" s="1" t="str">
        <f t="shared" si="29"/>
        <v/>
      </c>
      <c r="AL120" t="str">
        <f t="shared" si="35"/>
        <v/>
      </c>
      <c r="AM120" t="str">
        <f t="shared" si="36"/>
        <v/>
      </c>
      <c r="AN120" t="str">
        <f t="shared" si="37"/>
        <v/>
      </c>
      <c r="AO120" s="1" t="str">
        <f t="shared" si="38"/>
        <v/>
      </c>
      <c r="AP120" s="1" t="str">
        <f t="shared" si="39"/>
        <v/>
      </c>
    </row>
    <row r="121" spans="14:42">
      <c r="N121" t="str">
        <f t="shared" ref="N121:N141" si="40">IF(ISBLANK(AD121),"",AA121)</f>
        <v/>
      </c>
      <c r="O121" t="str">
        <f t="shared" si="34"/>
        <v/>
      </c>
      <c r="P121" t="str">
        <f t="shared" ref="P121:P141" si="41">IF(ISBLANK(AD121),"",AC121)</f>
        <v/>
      </c>
      <c r="Q121" t="str">
        <f t="shared" ref="Q121:Q141" si="42">IF(ISBLANK(AD121),"",AH121)</f>
        <v/>
      </c>
      <c r="R121" t="str">
        <f t="shared" ref="R121:R141" si="43">IF(ISBLANK(Z121),"",AD121)</f>
        <v/>
      </c>
      <c r="S121" s="1" t="str">
        <f t="shared" ref="S121:S141" si="44">IF(ISBLANK(AD121),"",IF(AN121="X","X",AO121))</f>
        <v/>
      </c>
      <c r="T121" s="1" t="str">
        <f t="shared" ref="T121:T141" si="45">IF(ISBLANK(AD121),"",IF(AN121="X","",AP121))</f>
        <v/>
      </c>
      <c r="AL121" t="str">
        <f t="shared" si="35"/>
        <v/>
      </c>
      <c r="AM121" t="str">
        <f t="shared" si="36"/>
        <v/>
      </c>
      <c r="AN121" t="str">
        <f t="shared" si="37"/>
        <v/>
      </c>
      <c r="AO121" s="1" t="str">
        <f t="shared" si="38"/>
        <v/>
      </c>
      <c r="AP121" s="1" t="str">
        <f t="shared" si="39"/>
        <v/>
      </c>
    </row>
    <row r="122" spans="14:42">
      <c r="N122" t="str">
        <f t="shared" si="40"/>
        <v/>
      </c>
      <c r="O122" t="str">
        <f t="shared" si="34"/>
        <v/>
      </c>
      <c r="P122" t="str">
        <f t="shared" si="41"/>
        <v/>
      </c>
      <c r="Q122" t="str">
        <f t="shared" si="42"/>
        <v/>
      </c>
      <c r="R122" t="str">
        <f t="shared" si="43"/>
        <v/>
      </c>
      <c r="S122" s="1" t="str">
        <f t="shared" si="44"/>
        <v/>
      </c>
      <c r="T122" s="1" t="str">
        <f t="shared" si="45"/>
        <v/>
      </c>
      <c r="AL122" t="str">
        <f t="shared" si="35"/>
        <v/>
      </c>
      <c r="AM122" t="str">
        <f t="shared" si="36"/>
        <v/>
      </c>
      <c r="AN122" t="str">
        <f t="shared" si="37"/>
        <v/>
      </c>
      <c r="AO122" s="1" t="str">
        <f t="shared" si="38"/>
        <v/>
      </c>
      <c r="AP122" s="1" t="str">
        <f t="shared" si="39"/>
        <v/>
      </c>
    </row>
    <row r="123" spans="14:42">
      <c r="N123" t="str">
        <f t="shared" si="40"/>
        <v/>
      </c>
      <c r="O123" t="str">
        <f t="shared" si="34"/>
        <v/>
      </c>
      <c r="P123" t="str">
        <f t="shared" si="41"/>
        <v/>
      </c>
      <c r="Q123" t="str">
        <f t="shared" si="42"/>
        <v/>
      </c>
      <c r="R123" t="str">
        <f t="shared" si="43"/>
        <v/>
      </c>
      <c r="S123" s="1" t="str">
        <f t="shared" si="44"/>
        <v/>
      </c>
      <c r="T123" s="1" t="str">
        <f t="shared" si="45"/>
        <v/>
      </c>
      <c r="AL123" t="str">
        <f t="shared" si="35"/>
        <v/>
      </c>
      <c r="AM123" t="str">
        <f t="shared" si="36"/>
        <v/>
      </c>
      <c r="AN123" t="str">
        <f t="shared" si="37"/>
        <v/>
      </c>
      <c r="AO123" s="1" t="str">
        <f t="shared" si="38"/>
        <v/>
      </c>
      <c r="AP123" s="1" t="str">
        <f t="shared" si="39"/>
        <v/>
      </c>
    </row>
    <row r="124" spans="14:42">
      <c r="N124" t="str">
        <f t="shared" si="40"/>
        <v/>
      </c>
      <c r="O124" t="str">
        <f t="shared" si="34"/>
        <v/>
      </c>
      <c r="P124" t="str">
        <f t="shared" si="41"/>
        <v/>
      </c>
      <c r="Q124" t="str">
        <f t="shared" si="42"/>
        <v/>
      </c>
      <c r="R124" t="str">
        <f t="shared" si="43"/>
        <v/>
      </c>
      <c r="S124" s="1" t="str">
        <f t="shared" si="44"/>
        <v/>
      </c>
      <c r="T124" s="1" t="str">
        <f t="shared" si="45"/>
        <v/>
      </c>
      <c r="AL124" t="str">
        <f t="shared" si="35"/>
        <v/>
      </c>
      <c r="AM124" t="str">
        <f t="shared" si="36"/>
        <v/>
      </c>
      <c r="AN124" t="str">
        <f t="shared" si="37"/>
        <v/>
      </c>
      <c r="AO124" s="1" t="str">
        <f t="shared" si="38"/>
        <v/>
      </c>
      <c r="AP124" s="1" t="str">
        <f t="shared" si="39"/>
        <v/>
      </c>
    </row>
    <row r="125" spans="14:42">
      <c r="N125" t="str">
        <f t="shared" si="40"/>
        <v/>
      </c>
      <c r="O125" t="str">
        <f t="shared" si="34"/>
        <v/>
      </c>
      <c r="P125" t="str">
        <f t="shared" si="41"/>
        <v/>
      </c>
      <c r="Q125" t="str">
        <f t="shared" si="42"/>
        <v/>
      </c>
      <c r="R125" t="str">
        <f t="shared" si="43"/>
        <v/>
      </c>
      <c r="S125" s="1" t="str">
        <f t="shared" si="44"/>
        <v/>
      </c>
      <c r="T125" s="1" t="str">
        <f t="shared" si="45"/>
        <v/>
      </c>
      <c r="AL125" t="str">
        <f t="shared" si="35"/>
        <v/>
      </c>
      <c r="AM125" t="str">
        <f t="shared" si="36"/>
        <v/>
      </c>
      <c r="AN125" t="str">
        <f t="shared" si="37"/>
        <v/>
      </c>
      <c r="AO125" s="1" t="str">
        <f t="shared" si="38"/>
        <v/>
      </c>
      <c r="AP125" s="1" t="str">
        <f t="shared" si="39"/>
        <v/>
      </c>
    </row>
    <row r="126" spans="14:42">
      <c r="N126" t="str">
        <f t="shared" si="40"/>
        <v/>
      </c>
      <c r="O126" t="str">
        <f t="shared" si="34"/>
        <v/>
      </c>
      <c r="P126" t="str">
        <f t="shared" si="41"/>
        <v/>
      </c>
      <c r="Q126" t="str">
        <f t="shared" si="42"/>
        <v/>
      </c>
      <c r="R126" t="str">
        <f t="shared" si="43"/>
        <v/>
      </c>
      <c r="S126" s="1" t="str">
        <f t="shared" si="44"/>
        <v/>
      </c>
      <c r="T126" s="1" t="str">
        <f t="shared" si="45"/>
        <v/>
      </c>
      <c r="AL126" t="str">
        <f t="shared" si="35"/>
        <v/>
      </c>
      <c r="AM126" t="str">
        <f t="shared" si="36"/>
        <v/>
      </c>
      <c r="AN126" t="str">
        <f t="shared" si="37"/>
        <v/>
      </c>
      <c r="AO126" s="1" t="str">
        <f t="shared" si="38"/>
        <v/>
      </c>
      <c r="AP126" s="1" t="str">
        <f t="shared" si="39"/>
        <v/>
      </c>
    </row>
    <row r="127" spans="14:42">
      <c r="N127" t="str">
        <f t="shared" si="40"/>
        <v/>
      </c>
      <c r="O127" t="str">
        <f t="shared" si="34"/>
        <v/>
      </c>
      <c r="P127" t="str">
        <f t="shared" si="41"/>
        <v/>
      </c>
      <c r="Q127" t="str">
        <f t="shared" si="42"/>
        <v/>
      </c>
      <c r="R127" t="str">
        <f t="shared" si="43"/>
        <v/>
      </c>
      <c r="S127" s="1" t="str">
        <f t="shared" si="44"/>
        <v/>
      </c>
      <c r="T127" s="1" t="str">
        <f t="shared" si="45"/>
        <v/>
      </c>
      <c r="AL127" t="str">
        <f t="shared" si="35"/>
        <v/>
      </c>
      <c r="AM127" t="str">
        <f t="shared" si="36"/>
        <v/>
      </c>
      <c r="AN127" t="str">
        <f t="shared" si="37"/>
        <v/>
      </c>
      <c r="AO127" s="1" t="str">
        <f t="shared" si="38"/>
        <v/>
      </c>
      <c r="AP127" s="1" t="str">
        <f t="shared" si="39"/>
        <v/>
      </c>
    </row>
    <row r="128" spans="14:42">
      <c r="N128" t="str">
        <f t="shared" si="40"/>
        <v/>
      </c>
      <c r="O128" t="str">
        <f t="shared" si="34"/>
        <v/>
      </c>
      <c r="P128" t="str">
        <f t="shared" si="41"/>
        <v/>
      </c>
      <c r="Q128" t="str">
        <f t="shared" si="42"/>
        <v/>
      </c>
      <c r="R128" t="str">
        <f t="shared" si="43"/>
        <v/>
      </c>
      <c r="S128" s="1" t="str">
        <f t="shared" si="44"/>
        <v/>
      </c>
      <c r="T128" s="1" t="str">
        <f t="shared" si="45"/>
        <v/>
      </c>
      <c r="AL128" t="str">
        <f t="shared" si="35"/>
        <v/>
      </c>
      <c r="AM128" t="str">
        <f t="shared" si="36"/>
        <v/>
      </c>
      <c r="AN128" t="str">
        <f t="shared" si="37"/>
        <v/>
      </c>
      <c r="AO128" s="1" t="str">
        <f t="shared" si="38"/>
        <v/>
      </c>
      <c r="AP128" s="1" t="str">
        <f t="shared" si="39"/>
        <v/>
      </c>
    </row>
    <row r="129" spans="14:42">
      <c r="N129" t="str">
        <f t="shared" si="40"/>
        <v/>
      </c>
      <c r="O129" t="str">
        <f t="shared" si="34"/>
        <v/>
      </c>
      <c r="P129" t="str">
        <f t="shared" si="41"/>
        <v/>
      </c>
      <c r="Q129" t="str">
        <f t="shared" si="42"/>
        <v/>
      </c>
      <c r="R129" t="str">
        <f t="shared" si="43"/>
        <v/>
      </c>
      <c r="S129" s="1" t="str">
        <f t="shared" si="44"/>
        <v/>
      </c>
      <c r="T129" s="1" t="str">
        <f t="shared" si="45"/>
        <v/>
      </c>
      <c r="AL129" t="str">
        <f t="shared" si="35"/>
        <v/>
      </c>
      <c r="AM129" t="str">
        <f t="shared" si="36"/>
        <v/>
      </c>
      <c r="AN129" t="str">
        <f t="shared" si="37"/>
        <v/>
      </c>
      <c r="AO129" s="1" t="str">
        <f t="shared" si="38"/>
        <v/>
      </c>
      <c r="AP129" s="1" t="str">
        <f t="shared" si="39"/>
        <v/>
      </c>
    </row>
    <row r="130" spans="14:42">
      <c r="N130" t="str">
        <f t="shared" si="40"/>
        <v/>
      </c>
      <c r="O130" t="str">
        <f t="shared" si="34"/>
        <v/>
      </c>
      <c r="P130" t="str">
        <f t="shared" si="41"/>
        <v/>
      </c>
      <c r="Q130" t="str">
        <f t="shared" si="42"/>
        <v/>
      </c>
      <c r="R130" t="str">
        <f t="shared" si="43"/>
        <v/>
      </c>
      <c r="S130" s="1" t="str">
        <f t="shared" si="44"/>
        <v/>
      </c>
      <c r="T130" s="1" t="str">
        <f t="shared" si="45"/>
        <v/>
      </c>
      <c r="AL130" t="str">
        <f t="shared" si="35"/>
        <v/>
      </c>
      <c r="AM130" t="str">
        <f t="shared" si="36"/>
        <v/>
      </c>
      <c r="AN130" t="str">
        <f t="shared" si="37"/>
        <v/>
      </c>
      <c r="AO130" s="1" t="str">
        <f t="shared" si="38"/>
        <v/>
      </c>
      <c r="AP130" s="1" t="str">
        <f t="shared" si="39"/>
        <v/>
      </c>
    </row>
    <row r="131" spans="14:42">
      <c r="N131" t="str">
        <f t="shared" si="40"/>
        <v/>
      </c>
      <c r="O131" t="str">
        <f t="shared" si="34"/>
        <v/>
      </c>
      <c r="P131" t="str">
        <f t="shared" si="41"/>
        <v/>
      </c>
      <c r="Q131" t="str">
        <f t="shared" si="42"/>
        <v/>
      </c>
      <c r="R131" t="str">
        <f t="shared" si="43"/>
        <v/>
      </c>
      <c r="S131" s="1" t="str">
        <f t="shared" si="44"/>
        <v/>
      </c>
      <c r="T131" s="1" t="str">
        <f t="shared" si="45"/>
        <v/>
      </c>
      <c r="AL131" t="str">
        <f t="shared" si="35"/>
        <v/>
      </c>
      <c r="AM131" t="str">
        <f t="shared" si="36"/>
        <v/>
      </c>
      <c r="AN131" t="str">
        <f t="shared" si="37"/>
        <v/>
      </c>
      <c r="AO131" s="1" t="str">
        <f t="shared" si="38"/>
        <v/>
      </c>
      <c r="AP131" s="1" t="str">
        <f t="shared" si="39"/>
        <v/>
      </c>
    </row>
    <row r="132" spans="14:42">
      <c r="N132" t="str">
        <f t="shared" si="40"/>
        <v/>
      </c>
      <c r="O132" t="str">
        <f t="shared" si="34"/>
        <v/>
      </c>
      <c r="P132" t="str">
        <f t="shared" si="41"/>
        <v/>
      </c>
      <c r="Q132" t="str">
        <f t="shared" si="42"/>
        <v/>
      </c>
      <c r="R132" t="str">
        <f t="shared" si="43"/>
        <v/>
      </c>
      <c r="S132" s="1" t="str">
        <f t="shared" si="44"/>
        <v/>
      </c>
      <c r="T132" s="1" t="str">
        <f t="shared" si="45"/>
        <v/>
      </c>
      <c r="AL132" t="str">
        <f t="shared" si="35"/>
        <v/>
      </c>
      <c r="AM132" t="str">
        <f t="shared" si="36"/>
        <v/>
      </c>
      <c r="AN132" t="str">
        <f t="shared" si="37"/>
        <v/>
      </c>
      <c r="AO132" s="1" t="str">
        <f t="shared" si="38"/>
        <v/>
      </c>
      <c r="AP132" s="1" t="str">
        <f t="shared" si="39"/>
        <v/>
      </c>
    </row>
    <row r="133" spans="14:42">
      <c r="N133" t="str">
        <f t="shared" si="40"/>
        <v/>
      </c>
      <c r="O133" t="str">
        <f t="shared" ref="O133:O141" si="46">IF(ISBLANK(AD133),"",IF(AM133="한총","SEC",IF(LEN(TRIM(AM133))=0,AB133,AM133)))</f>
        <v/>
      </c>
      <c r="P133" t="str">
        <f t="shared" si="41"/>
        <v/>
      </c>
      <c r="Q133" t="str">
        <f t="shared" si="42"/>
        <v/>
      </c>
      <c r="R133" t="str">
        <f t="shared" si="43"/>
        <v/>
      </c>
      <c r="S133" s="1" t="str">
        <f t="shared" si="44"/>
        <v/>
      </c>
      <c r="T133" s="1" t="str">
        <f t="shared" si="45"/>
        <v/>
      </c>
      <c r="AL133" t="str">
        <f t="shared" ref="AL133:AL192" si="47">IF(IF(OR(NOT(ISBLANK(AT133)),ISBLANK(AU133),AU133="Total"),"",IF(ISNUMBER(FIND("-",AU133)),LEFT(AU133,FIND("-",AU133)-1),IF(ISNUMBER(FIND(" ",AU133)),LEFT(AU133,FIND(" ",AU133)-1),AU133)))="한총","sec",IF(OR(NOT(ISBLANK(AT133)),ISBLANK(AU133),AU133="Total"),"",IF(ISNUMBER(FIND("-",AU133)),LEFT(AU133,FIND("-",AU133)-1),IF(ISNUMBER(FIND(" ",AU133)),LEFT(AU133,FIND(" ",AU133)-1),AU133))))</f>
        <v/>
      </c>
      <c r="AM133" t="str">
        <f t="shared" ref="AM133:AM196" si="48">IF(ISBLANK(AD133),"",IF(COUNTIF($AU$4:$AU$200,AB133&amp;"-"&amp;UPPER(IF(ISNUMBER(FIND("_",AD133)),LEFT(AD133,FIND("_",AD133)-1),AD133)))&gt;0,AB133&amp;"-"&amp;UPPER(IF(ISNUMBER(FIND("_",AD133)),LEFT(AD133,FIND("_",AD133)-1),AD133)),IF(COUNTIF($AU$4:$AU$200,AB133&amp;" ("&amp;PROPER(LEFT(AD133,FIND("_",AD133)-1))&amp;"_"&amp;UPPER(MID(AD133,FIND("_",AD133)+1,20))&amp;")")&gt;0,AB133&amp;" ("&amp;PROPER(LEFT(AD133,FIND("_",AD133)-1))&amp;"_"&amp;UPPER(MID(AD133,FIND("_",AD133)+1,20))&amp;")",IF(COUNTIF($AU$4:$AU$200,AB133)&gt;0,AB133,IF(ISNUMBER(FIND("_",AD133)),"",IFERROR(INDEX($AU$4:$AU$200,MATCH(AB133,$AL$4:$AL$200,0)),IF(ISNUMBER(FIND("-",AB133)),IFERROR(INDEX($AU$4:$AU$200,MATCH(LEFT(AB133,FIND("-",AB133)-1),$AU$4:$AU$200,0)),""),IF(AB133="SCA",IF(RIGHT(AD133,3)="_fr",IFERROR(INDEX($AU$4:$AU$200,MATCH("SEWA (Africa_FR)",$AU$4:$AU$200,0)),""),IF(RIGHT(AD133,3)="_en",IFERROR(INDEX($AU$4:$AU$200,MATCH("SEWA (Africa_EN)",$AU$4:$AU$200,0)),""),"")),""))))))))</f>
        <v/>
      </c>
      <c r="AN133" t="str">
        <f t="shared" si="37"/>
        <v/>
      </c>
      <c r="AO133" s="1" t="str">
        <f t="shared" si="38"/>
        <v/>
      </c>
      <c r="AP133" s="1" t="str">
        <f t="shared" si="39"/>
        <v/>
      </c>
    </row>
    <row r="134" spans="14:42">
      <c r="N134" t="str">
        <f t="shared" si="40"/>
        <v/>
      </c>
      <c r="O134" t="str">
        <f t="shared" si="46"/>
        <v/>
      </c>
      <c r="P134" t="str">
        <f t="shared" si="41"/>
        <v/>
      </c>
      <c r="Q134" t="str">
        <f t="shared" si="42"/>
        <v/>
      </c>
      <c r="R134" t="str">
        <f t="shared" si="43"/>
        <v/>
      </c>
      <c r="S134" s="1" t="str">
        <f t="shared" si="44"/>
        <v/>
      </c>
      <c r="T134" s="1" t="str">
        <f t="shared" si="45"/>
        <v/>
      </c>
      <c r="AL134" t="str">
        <f t="shared" si="47"/>
        <v/>
      </c>
      <c r="AM134" t="str">
        <f t="shared" si="48"/>
        <v/>
      </c>
      <c r="AN134" t="str">
        <f t="shared" si="37"/>
        <v/>
      </c>
      <c r="AO134" s="1" t="str">
        <f t="shared" si="38"/>
        <v/>
      </c>
      <c r="AP134" s="1" t="str">
        <f t="shared" si="39"/>
        <v/>
      </c>
    </row>
    <row r="135" spans="14:42">
      <c r="N135" t="str">
        <f t="shared" si="40"/>
        <v/>
      </c>
      <c r="O135" t="str">
        <f t="shared" si="46"/>
        <v/>
      </c>
      <c r="P135" t="str">
        <f t="shared" si="41"/>
        <v/>
      </c>
      <c r="Q135" t="str">
        <f t="shared" si="42"/>
        <v/>
      </c>
      <c r="R135" t="str">
        <f t="shared" si="43"/>
        <v/>
      </c>
      <c r="S135" s="1" t="str">
        <f t="shared" si="44"/>
        <v/>
      </c>
      <c r="T135" s="1" t="str">
        <f t="shared" si="45"/>
        <v/>
      </c>
      <c r="AL135" t="str">
        <f t="shared" si="47"/>
        <v/>
      </c>
      <c r="AM135" t="str">
        <f t="shared" si="48"/>
        <v/>
      </c>
      <c r="AN135" t="str">
        <f t="shared" si="37"/>
        <v/>
      </c>
      <c r="AO135" s="1" t="str">
        <f t="shared" si="38"/>
        <v/>
      </c>
      <c r="AP135" s="1" t="str">
        <f t="shared" si="39"/>
        <v/>
      </c>
    </row>
    <row r="136" spans="14:42">
      <c r="N136" t="str">
        <f t="shared" si="40"/>
        <v/>
      </c>
      <c r="O136" t="str">
        <f t="shared" si="46"/>
        <v/>
      </c>
      <c r="P136" t="str">
        <f t="shared" si="41"/>
        <v/>
      </c>
      <c r="Q136" t="str">
        <f t="shared" si="42"/>
        <v/>
      </c>
      <c r="R136" t="str">
        <f t="shared" si="43"/>
        <v/>
      </c>
      <c r="S136" s="1" t="str">
        <f t="shared" si="44"/>
        <v/>
      </c>
      <c r="T136" s="1" t="str">
        <f t="shared" si="45"/>
        <v/>
      </c>
      <c r="AL136" t="str">
        <f t="shared" si="47"/>
        <v/>
      </c>
      <c r="AM136" t="str">
        <f t="shared" si="48"/>
        <v/>
      </c>
      <c r="AN136" t="str">
        <f t="shared" si="37"/>
        <v/>
      </c>
      <c r="AO136" s="1" t="str">
        <f t="shared" si="38"/>
        <v/>
      </c>
      <c r="AP136" s="1" t="str">
        <f t="shared" si="39"/>
        <v/>
      </c>
    </row>
    <row r="137" spans="14:42">
      <c r="N137" t="str">
        <f t="shared" si="40"/>
        <v/>
      </c>
      <c r="O137" t="str">
        <f t="shared" si="46"/>
        <v/>
      </c>
      <c r="P137" t="str">
        <f t="shared" si="41"/>
        <v/>
      </c>
      <c r="Q137" t="str">
        <f t="shared" si="42"/>
        <v/>
      </c>
      <c r="R137" t="str">
        <f t="shared" si="43"/>
        <v/>
      </c>
      <c r="S137" s="1" t="str">
        <f t="shared" si="44"/>
        <v/>
      </c>
      <c r="T137" s="1" t="str">
        <f t="shared" si="45"/>
        <v/>
      </c>
      <c r="AL137" t="str">
        <f t="shared" si="47"/>
        <v/>
      </c>
      <c r="AM137" t="str">
        <f t="shared" si="48"/>
        <v/>
      </c>
      <c r="AN137" t="str">
        <f t="shared" si="37"/>
        <v/>
      </c>
      <c r="AO137" s="1" t="str">
        <f t="shared" si="38"/>
        <v/>
      </c>
      <c r="AP137" s="1" t="str">
        <f t="shared" si="39"/>
        <v/>
      </c>
    </row>
    <row r="138" spans="14:42">
      <c r="N138" t="str">
        <f t="shared" si="40"/>
        <v/>
      </c>
      <c r="O138" t="str">
        <f t="shared" si="46"/>
        <v/>
      </c>
      <c r="P138" t="str">
        <f t="shared" si="41"/>
        <v/>
      </c>
      <c r="Q138" t="str">
        <f t="shared" si="42"/>
        <v/>
      </c>
      <c r="R138" t="str">
        <f t="shared" si="43"/>
        <v/>
      </c>
      <c r="S138" s="1" t="str">
        <f t="shared" si="44"/>
        <v/>
      </c>
      <c r="T138" s="1" t="str">
        <f t="shared" si="45"/>
        <v/>
      </c>
      <c r="AL138" t="str">
        <f t="shared" si="47"/>
        <v/>
      </c>
      <c r="AM138" t="str">
        <f t="shared" si="48"/>
        <v/>
      </c>
      <c r="AN138" t="str">
        <f t="shared" si="37"/>
        <v/>
      </c>
      <c r="AO138" s="1" t="str">
        <f t="shared" si="38"/>
        <v/>
      </c>
      <c r="AP138" s="1" t="str">
        <f t="shared" si="39"/>
        <v/>
      </c>
    </row>
    <row r="139" spans="14:42">
      <c r="N139" t="str">
        <f t="shared" si="40"/>
        <v/>
      </c>
      <c r="O139" t="str">
        <f t="shared" si="46"/>
        <v/>
      </c>
      <c r="P139" t="str">
        <f t="shared" si="41"/>
        <v/>
      </c>
      <c r="Q139" t="str">
        <f t="shared" si="42"/>
        <v/>
      </c>
      <c r="R139" t="str">
        <f t="shared" si="43"/>
        <v/>
      </c>
      <c r="S139" s="1" t="str">
        <f t="shared" si="44"/>
        <v/>
      </c>
      <c r="T139" s="1" t="str">
        <f t="shared" si="45"/>
        <v/>
      </c>
      <c r="AL139" t="str">
        <f t="shared" si="47"/>
        <v/>
      </c>
      <c r="AM139" t="str">
        <f t="shared" si="48"/>
        <v/>
      </c>
      <c r="AN139" t="str">
        <f t="shared" si="37"/>
        <v/>
      </c>
      <c r="AO139" s="1" t="str">
        <f t="shared" si="38"/>
        <v/>
      </c>
      <c r="AP139" s="1" t="str">
        <f t="shared" si="39"/>
        <v/>
      </c>
    </row>
    <row r="140" spans="14:42">
      <c r="N140" t="str">
        <f t="shared" si="40"/>
        <v/>
      </c>
      <c r="O140" t="str">
        <f t="shared" si="46"/>
        <v/>
      </c>
      <c r="P140" t="str">
        <f t="shared" si="41"/>
        <v/>
      </c>
      <c r="Q140" t="str">
        <f t="shared" si="42"/>
        <v/>
      </c>
      <c r="R140" t="str">
        <f t="shared" si="43"/>
        <v/>
      </c>
      <c r="S140" s="1" t="str">
        <f t="shared" si="44"/>
        <v/>
      </c>
      <c r="T140" s="1" t="str">
        <f t="shared" si="45"/>
        <v/>
      </c>
      <c r="AL140" t="str">
        <f t="shared" si="47"/>
        <v/>
      </c>
      <c r="AM140" t="str">
        <f t="shared" si="48"/>
        <v/>
      </c>
      <c r="AN140" t="str">
        <f t="shared" si="37"/>
        <v/>
      </c>
      <c r="AO140" s="1" t="str">
        <f t="shared" si="38"/>
        <v/>
      </c>
      <c r="AP140" s="1" t="str">
        <f t="shared" si="39"/>
        <v/>
      </c>
    </row>
    <row r="141" spans="14:42">
      <c r="N141" t="str">
        <f t="shared" si="40"/>
        <v/>
      </c>
      <c r="O141" t="str">
        <f t="shared" si="46"/>
        <v/>
      </c>
      <c r="P141" t="str">
        <f t="shared" si="41"/>
        <v/>
      </c>
      <c r="Q141" t="str">
        <f t="shared" si="42"/>
        <v/>
      </c>
      <c r="R141" t="str">
        <f t="shared" si="43"/>
        <v/>
      </c>
      <c r="S141" s="1" t="str">
        <f t="shared" si="44"/>
        <v/>
      </c>
      <c r="T141" s="1" t="str">
        <f t="shared" si="45"/>
        <v/>
      </c>
      <c r="AL141" t="str">
        <f t="shared" si="47"/>
        <v/>
      </c>
      <c r="AM141" t="str">
        <f t="shared" si="48"/>
        <v/>
      </c>
      <c r="AN141" t="str">
        <f t="shared" si="37"/>
        <v/>
      </c>
      <c r="AO141" s="1" t="str">
        <f t="shared" si="38"/>
        <v/>
      </c>
      <c r="AP141" s="1" t="str">
        <f t="shared" si="39"/>
        <v/>
      </c>
    </row>
    <row r="142" spans="14:42">
      <c r="AL142" t="str">
        <f t="shared" si="47"/>
        <v/>
      </c>
      <c r="AM142" t="str">
        <f t="shared" si="48"/>
        <v/>
      </c>
      <c r="AN142" t="str">
        <f t="shared" si="37"/>
        <v/>
      </c>
      <c r="AO142" s="1" t="str">
        <f t="shared" si="38"/>
        <v/>
      </c>
      <c r="AP142" s="1" t="str">
        <f t="shared" si="39"/>
        <v/>
      </c>
    </row>
    <row r="143" spans="14:42">
      <c r="AL143" t="str">
        <f t="shared" si="47"/>
        <v/>
      </c>
      <c r="AM143" t="str">
        <f t="shared" si="48"/>
        <v/>
      </c>
      <c r="AN143" t="str">
        <f t="shared" si="37"/>
        <v/>
      </c>
      <c r="AO143" s="1" t="str">
        <f t="shared" si="38"/>
        <v/>
      </c>
      <c r="AP143" s="1" t="str">
        <f t="shared" si="39"/>
        <v/>
      </c>
    </row>
    <row r="144" spans="14:42">
      <c r="AL144" t="str">
        <f t="shared" si="47"/>
        <v/>
      </c>
      <c r="AM144" t="str">
        <f t="shared" si="48"/>
        <v/>
      </c>
      <c r="AN144" t="str">
        <f t="shared" si="37"/>
        <v/>
      </c>
      <c r="AO144" s="1" t="str">
        <f t="shared" si="38"/>
        <v/>
      </c>
      <c r="AP144" s="1" t="str">
        <f t="shared" si="39"/>
        <v/>
      </c>
    </row>
    <row r="145" spans="38:42">
      <c r="AL145" t="str">
        <f t="shared" si="47"/>
        <v/>
      </c>
      <c r="AM145" t="str">
        <f t="shared" si="48"/>
        <v/>
      </c>
      <c r="AN145" t="str">
        <f t="shared" si="37"/>
        <v/>
      </c>
      <c r="AO145" s="1" t="str">
        <f t="shared" si="38"/>
        <v/>
      </c>
      <c r="AP145" s="1" t="str">
        <f t="shared" si="39"/>
        <v/>
      </c>
    </row>
    <row r="146" spans="38:42">
      <c r="AL146" t="str">
        <f t="shared" si="47"/>
        <v/>
      </c>
      <c r="AM146" t="str">
        <f t="shared" si="48"/>
        <v/>
      </c>
      <c r="AN146" t="str">
        <f t="shared" ref="AN146:AN179" si="49">IF(LEN(TRIM(AM146))=0,"",IFERROR(INDEX($AW$4:$AW$192,MATCH(AM146,$AU$4:$AU$192,0)),""))</f>
        <v/>
      </c>
      <c r="AO146" s="1" t="str">
        <f t="shared" ref="AO146:AO179" si="50">IF(OR(LEN(TRIM(AM146))=0,AN146="X",AN146&lt;&gt;"O"),"",IFERROR(INDEX($AX$4:$AX$192,MATCH(AM146,$AU$4:$AU$192,0)),""))</f>
        <v/>
      </c>
      <c r="AP146" s="1" t="str">
        <f t="shared" ref="AP146:AP179" si="51">IF(OR(LEN(TRIM(AM146))=0,AN146="X",AN146&lt;&gt;"O"),"",IFERROR(INDEX($AZ$4:$AZ$192,MATCH(AM146,$AU$4:$AU$192,0)),""))</f>
        <v/>
      </c>
    </row>
    <row r="147" spans="38:42">
      <c r="AL147" t="str">
        <f t="shared" si="47"/>
        <v/>
      </c>
      <c r="AM147" t="str">
        <f t="shared" si="48"/>
        <v/>
      </c>
      <c r="AN147" t="str">
        <f t="shared" si="49"/>
        <v/>
      </c>
      <c r="AO147" s="1" t="str">
        <f t="shared" si="50"/>
        <v/>
      </c>
      <c r="AP147" s="1" t="str">
        <f t="shared" si="51"/>
        <v/>
      </c>
    </row>
    <row r="148" spans="38:42">
      <c r="AL148" t="str">
        <f t="shared" si="47"/>
        <v/>
      </c>
      <c r="AM148" t="str">
        <f t="shared" si="48"/>
        <v/>
      </c>
      <c r="AN148" t="str">
        <f t="shared" si="49"/>
        <v/>
      </c>
      <c r="AO148" s="1" t="str">
        <f t="shared" si="50"/>
        <v/>
      </c>
      <c r="AP148" s="1" t="str">
        <f t="shared" si="51"/>
        <v/>
      </c>
    </row>
    <row r="149" spans="38:42">
      <c r="AL149" t="str">
        <f t="shared" si="47"/>
        <v/>
      </c>
      <c r="AM149" t="str">
        <f t="shared" si="48"/>
        <v/>
      </c>
      <c r="AN149" t="str">
        <f t="shared" si="49"/>
        <v/>
      </c>
      <c r="AO149" s="1" t="str">
        <f t="shared" si="50"/>
        <v/>
      </c>
      <c r="AP149" s="1" t="str">
        <f t="shared" si="51"/>
        <v/>
      </c>
    </row>
    <row r="150" spans="38:42">
      <c r="AL150" t="str">
        <f t="shared" si="47"/>
        <v/>
      </c>
      <c r="AM150" t="str">
        <f t="shared" si="48"/>
        <v/>
      </c>
      <c r="AN150" t="str">
        <f t="shared" si="49"/>
        <v/>
      </c>
      <c r="AO150" s="1" t="str">
        <f t="shared" si="50"/>
        <v/>
      </c>
      <c r="AP150" s="1" t="str">
        <f t="shared" si="51"/>
        <v/>
      </c>
    </row>
    <row r="151" spans="38:42">
      <c r="AL151" t="str">
        <f t="shared" si="47"/>
        <v/>
      </c>
      <c r="AM151" t="str">
        <f t="shared" si="48"/>
        <v/>
      </c>
      <c r="AN151" t="str">
        <f t="shared" si="49"/>
        <v/>
      </c>
      <c r="AO151" s="1" t="str">
        <f t="shared" si="50"/>
        <v/>
      </c>
      <c r="AP151" s="1" t="str">
        <f t="shared" si="51"/>
        <v/>
      </c>
    </row>
    <row r="152" spans="38:42">
      <c r="AL152" t="str">
        <f t="shared" si="47"/>
        <v/>
      </c>
      <c r="AM152" t="str">
        <f t="shared" si="48"/>
        <v/>
      </c>
      <c r="AN152" t="str">
        <f t="shared" si="49"/>
        <v/>
      </c>
      <c r="AO152" s="1" t="str">
        <f t="shared" si="50"/>
        <v/>
      </c>
      <c r="AP152" s="1" t="str">
        <f t="shared" si="51"/>
        <v/>
      </c>
    </row>
    <row r="153" spans="38:42">
      <c r="AL153" t="str">
        <f t="shared" si="47"/>
        <v/>
      </c>
      <c r="AM153" t="str">
        <f t="shared" si="48"/>
        <v/>
      </c>
      <c r="AN153" t="str">
        <f t="shared" si="49"/>
        <v/>
      </c>
      <c r="AO153" s="1" t="str">
        <f t="shared" si="50"/>
        <v/>
      </c>
      <c r="AP153" s="1" t="str">
        <f t="shared" si="51"/>
        <v/>
      </c>
    </row>
    <row r="154" spans="38:42">
      <c r="AL154" t="str">
        <f t="shared" si="47"/>
        <v/>
      </c>
      <c r="AM154" t="str">
        <f t="shared" si="48"/>
        <v/>
      </c>
      <c r="AN154" t="str">
        <f t="shared" si="49"/>
        <v/>
      </c>
      <c r="AO154" s="1" t="str">
        <f t="shared" si="50"/>
        <v/>
      </c>
      <c r="AP154" s="1" t="str">
        <f t="shared" si="51"/>
        <v/>
      </c>
    </row>
    <row r="155" spans="38:42">
      <c r="AL155" t="str">
        <f t="shared" si="47"/>
        <v/>
      </c>
      <c r="AM155" t="str">
        <f t="shared" si="48"/>
        <v/>
      </c>
      <c r="AN155" t="str">
        <f t="shared" si="49"/>
        <v/>
      </c>
      <c r="AO155" s="1" t="str">
        <f t="shared" si="50"/>
        <v/>
      </c>
      <c r="AP155" s="1" t="str">
        <f t="shared" si="51"/>
        <v/>
      </c>
    </row>
    <row r="156" spans="38:42">
      <c r="AL156" t="str">
        <f t="shared" si="47"/>
        <v/>
      </c>
      <c r="AM156" t="str">
        <f t="shared" si="48"/>
        <v/>
      </c>
      <c r="AN156" t="str">
        <f t="shared" si="49"/>
        <v/>
      </c>
      <c r="AO156" s="1" t="str">
        <f t="shared" si="50"/>
        <v/>
      </c>
      <c r="AP156" s="1" t="str">
        <f t="shared" si="51"/>
        <v/>
      </c>
    </row>
    <row r="157" spans="38:42">
      <c r="AL157" t="str">
        <f t="shared" si="47"/>
        <v/>
      </c>
      <c r="AM157" t="str">
        <f t="shared" si="48"/>
        <v/>
      </c>
      <c r="AN157" t="str">
        <f t="shared" si="49"/>
        <v/>
      </c>
      <c r="AO157" s="1" t="str">
        <f t="shared" si="50"/>
        <v/>
      </c>
      <c r="AP157" s="1" t="str">
        <f t="shared" si="51"/>
        <v/>
      </c>
    </row>
    <row r="158" spans="38:42">
      <c r="AL158" t="str">
        <f t="shared" si="47"/>
        <v/>
      </c>
      <c r="AM158" t="str">
        <f t="shared" si="48"/>
        <v/>
      </c>
      <c r="AN158" t="str">
        <f t="shared" si="49"/>
        <v/>
      </c>
      <c r="AO158" s="1" t="str">
        <f t="shared" si="50"/>
        <v/>
      </c>
      <c r="AP158" s="1" t="str">
        <f t="shared" si="51"/>
        <v/>
      </c>
    </row>
    <row r="159" spans="38:42">
      <c r="AL159" t="str">
        <f t="shared" si="47"/>
        <v/>
      </c>
      <c r="AM159" t="str">
        <f t="shared" si="48"/>
        <v/>
      </c>
      <c r="AN159" t="str">
        <f t="shared" si="49"/>
        <v/>
      </c>
      <c r="AO159" s="1" t="str">
        <f t="shared" si="50"/>
        <v/>
      </c>
      <c r="AP159" s="1" t="str">
        <f t="shared" si="51"/>
        <v/>
      </c>
    </row>
    <row r="160" spans="38:42">
      <c r="AL160" t="str">
        <f t="shared" si="47"/>
        <v/>
      </c>
      <c r="AM160" t="str">
        <f t="shared" si="48"/>
        <v/>
      </c>
      <c r="AN160" t="str">
        <f t="shared" si="49"/>
        <v/>
      </c>
      <c r="AO160" s="1" t="str">
        <f t="shared" si="50"/>
        <v/>
      </c>
      <c r="AP160" s="1" t="str">
        <f t="shared" si="51"/>
        <v/>
      </c>
    </row>
    <row r="161" spans="38:42">
      <c r="AL161" t="str">
        <f t="shared" si="47"/>
        <v/>
      </c>
      <c r="AM161" t="str">
        <f t="shared" si="48"/>
        <v/>
      </c>
      <c r="AN161" t="str">
        <f t="shared" si="49"/>
        <v/>
      </c>
      <c r="AO161" s="1" t="str">
        <f t="shared" si="50"/>
        <v/>
      </c>
      <c r="AP161" s="1" t="str">
        <f t="shared" si="51"/>
        <v/>
      </c>
    </row>
    <row r="162" spans="38:42">
      <c r="AL162" t="str">
        <f t="shared" si="47"/>
        <v/>
      </c>
      <c r="AM162" t="str">
        <f t="shared" si="48"/>
        <v/>
      </c>
      <c r="AN162" t="str">
        <f t="shared" si="49"/>
        <v/>
      </c>
      <c r="AO162" s="1" t="str">
        <f t="shared" si="50"/>
        <v/>
      </c>
      <c r="AP162" s="1" t="str">
        <f t="shared" si="51"/>
        <v/>
      </c>
    </row>
    <row r="163" spans="38:42">
      <c r="AL163" t="str">
        <f t="shared" si="47"/>
        <v/>
      </c>
      <c r="AM163" t="str">
        <f t="shared" si="48"/>
        <v/>
      </c>
      <c r="AN163" t="str">
        <f t="shared" si="49"/>
        <v/>
      </c>
      <c r="AO163" s="1" t="str">
        <f t="shared" si="50"/>
        <v/>
      </c>
      <c r="AP163" s="1" t="str">
        <f t="shared" si="51"/>
        <v/>
      </c>
    </row>
    <row r="164" spans="38:42">
      <c r="AL164" t="str">
        <f t="shared" si="47"/>
        <v/>
      </c>
      <c r="AM164" t="str">
        <f t="shared" si="48"/>
        <v/>
      </c>
      <c r="AN164" t="str">
        <f t="shared" si="49"/>
        <v/>
      </c>
      <c r="AO164" s="1" t="str">
        <f t="shared" si="50"/>
        <v/>
      </c>
      <c r="AP164" s="1" t="str">
        <f t="shared" si="51"/>
        <v/>
      </c>
    </row>
    <row r="165" spans="38:42">
      <c r="AL165" t="str">
        <f t="shared" si="47"/>
        <v/>
      </c>
      <c r="AM165" t="str">
        <f t="shared" si="48"/>
        <v/>
      </c>
      <c r="AN165" t="str">
        <f t="shared" si="49"/>
        <v/>
      </c>
      <c r="AO165" s="1" t="str">
        <f t="shared" si="50"/>
        <v/>
      </c>
      <c r="AP165" s="1" t="str">
        <f t="shared" si="51"/>
        <v/>
      </c>
    </row>
    <row r="166" spans="38:42">
      <c r="AL166" t="str">
        <f t="shared" si="47"/>
        <v/>
      </c>
      <c r="AM166" t="str">
        <f t="shared" si="48"/>
        <v/>
      </c>
      <c r="AN166" t="str">
        <f t="shared" si="49"/>
        <v/>
      </c>
      <c r="AO166" s="1" t="str">
        <f t="shared" si="50"/>
        <v/>
      </c>
      <c r="AP166" s="1" t="str">
        <f t="shared" si="51"/>
        <v/>
      </c>
    </row>
    <row r="167" spans="38:42">
      <c r="AL167" t="str">
        <f t="shared" si="47"/>
        <v/>
      </c>
      <c r="AM167" t="str">
        <f t="shared" si="48"/>
        <v/>
      </c>
      <c r="AN167" t="str">
        <f t="shared" si="49"/>
        <v/>
      </c>
      <c r="AO167" s="1" t="str">
        <f t="shared" si="50"/>
        <v/>
      </c>
      <c r="AP167" s="1" t="str">
        <f t="shared" si="51"/>
        <v/>
      </c>
    </row>
    <row r="168" spans="38:42">
      <c r="AL168" t="str">
        <f t="shared" si="47"/>
        <v/>
      </c>
      <c r="AM168" t="str">
        <f t="shared" si="48"/>
        <v/>
      </c>
      <c r="AN168" t="str">
        <f t="shared" si="49"/>
        <v/>
      </c>
      <c r="AO168" s="1" t="str">
        <f t="shared" si="50"/>
        <v/>
      </c>
      <c r="AP168" s="1" t="str">
        <f t="shared" si="51"/>
        <v/>
      </c>
    </row>
    <row r="169" spans="38:42">
      <c r="AL169" t="str">
        <f t="shared" si="47"/>
        <v/>
      </c>
      <c r="AM169" t="str">
        <f t="shared" si="48"/>
        <v/>
      </c>
      <c r="AN169" t="str">
        <f t="shared" si="49"/>
        <v/>
      </c>
      <c r="AO169" s="1" t="str">
        <f t="shared" si="50"/>
        <v/>
      </c>
      <c r="AP169" s="1" t="str">
        <f t="shared" si="51"/>
        <v/>
      </c>
    </row>
    <row r="170" spans="38:42">
      <c r="AL170" t="str">
        <f t="shared" si="47"/>
        <v/>
      </c>
      <c r="AM170" t="str">
        <f t="shared" si="48"/>
        <v/>
      </c>
      <c r="AN170" t="str">
        <f t="shared" si="49"/>
        <v/>
      </c>
      <c r="AO170" s="1" t="str">
        <f t="shared" si="50"/>
        <v/>
      </c>
      <c r="AP170" s="1" t="str">
        <f t="shared" si="51"/>
        <v/>
      </c>
    </row>
    <row r="171" spans="38:42">
      <c r="AL171" t="str">
        <f t="shared" si="47"/>
        <v/>
      </c>
      <c r="AM171" t="str">
        <f t="shared" si="48"/>
        <v/>
      </c>
      <c r="AN171" t="str">
        <f t="shared" si="49"/>
        <v/>
      </c>
      <c r="AO171" s="1" t="str">
        <f t="shared" si="50"/>
        <v/>
      </c>
      <c r="AP171" s="1" t="str">
        <f t="shared" si="51"/>
        <v/>
      </c>
    </row>
    <row r="172" spans="38:42">
      <c r="AL172" t="str">
        <f t="shared" si="47"/>
        <v/>
      </c>
      <c r="AM172" t="str">
        <f t="shared" si="48"/>
        <v/>
      </c>
      <c r="AN172" t="str">
        <f t="shared" si="49"/>
        <v/>
      </c>
      <c r="AO172" s="1" t="str">
        <f t="shared" si="50"/>
        <v/>
      </c>
      <c r="AP172" s="1" t="str">
        <f t="shared" si="51"/>
        <v/>
      </c>
    </row>
    <row r="173" spans="38:42">
      <c r="AL173" t="str">
        <f t="shared" si="47"/>
        <v/>
      </c>
      <c r="AM173" t="str">
        <f t="shared" si="48"/>
        <v/>
      </c>
      <c r="AN173" t="str">
        <f t="shared" si="49"/>
        <v/>
      </c>
      <c r="AO173" s="1" t="str">
        <f t="shared" si="50"/>
        <v/>
      </c>
      <c r="AP173" s="1" t="str">
        <f t="shared" si="51"/>
        <v/>
      </c>
    </row>
    <row r="174" spans="38:42">
      <c r="AL174" t="str">
        <f t="shared" si="47"/>
        <v/>
      </c>
      <c r="AM174" t="str">
        <f t="shared" si="48"/>
        <v/>
      </c>
      <c r="AN174" t="str">
        <f t="shared" si="49"/>
        <v/>
      </c>
      <c r="AO174" s="1" t="str">
        <f t="shared" si="50"/>
        <v/>
      </c>
      <c r="AP174" s="1" t="str">
        <f t="shared" si="51"/>
        <v/>
      </c>
    </row>
    <row r="175" spans="38:42">
      <c r="AL175" t="str">
        <f t="shared" si="47"/>
        <v/>
      </c>
      <c r="AM175" t="str">
        <f t="shared" si="48"/>
        <v/>
      </c>
      <c r="AN175" t="str">
        <f t="shared" si="49"/>
        <v/>
      </c>
      <c r="AO175" s="1" t="str">
        <f t="shared" si="50"/>
        <v/>
      </c>
      <c r="AP175" s="1" t="str">
        <f t="shared" si="51"/>
        <v/>
      </c>
    </row>
    <row r="176" spans="38:42">
      <c r="AL176" t="str">
        <f t="shared" si="47"/>
        <v/>
      </c>
      <c r="AM176" t="str">
        <f t="shared" si="48"/>
        <v/>
      </c>
      <c r="AN176" t="str">
        <f t="shared" si="49"/>
        <v/>
      </c>
      <c r="AO176" s="1" t="str">
        <f t="shared" si="50"/>
        <v/>
      </c>
      <c r="AP176" s="1" t="str">
        <f t="shared" si="51"/>
        <v/>
      </c>
    </row>
    <row r="177" spans="38:42">
      <c r="AL177" t="str">
        <f t="shared" si="47"/>
        <v/>
      </c>
      <c r="AM177" t="str">
        <f t="shared" si="48"/>
        <v/>
      </c>
      <c r="AN177" t="str">
        <f t="shared" si="49"/>
        <v/>
      </c>
      <c r="AO177" s="1" t="str">
        <f t="shared" si="50"/>
        <v/>
      </c>
      <c r="AP177" s="1" t="str">
        <f t="shared" si="51"/>
        <v/>
      </c>
    </row>
    <row r="178" spans="38:42">
      <c r="AL178" t="str">
        <f t="shared" si="47"/>
        <v/>
      </c>
      <c r="AM178" t="str">
        <f t="shared" si="48"/>
        <v/>
      </c>
      <c r="AN178" t="str">
        <f t="shared" si="49"/>
        <v/>
      </c>
      <c r="AO178" s="1" t="str">
        <f t="shared" si="50"/>
        <v/>
      </c>
      <c r="AP178" s="1" t="str">
        <f t="shared" si="51"/>
        <v/>
      </c>
    </row>
    <row r="179" spans="38:42">
      <c r="AL179" t="str">
        <f t="shared" si="47"/>
        <v/>
      </c>
      <c r="AM179" t="str">
        <f t="shared" si="48"/>
        <v/>
      </c>
      <c r="AN179" t="str">
        <f t="shared" si="49"/>
        <v/>
      </c>
      <c r="AO179" s="1" t="str">
        <f t="shared" si="50"/>
        <v/>
      </c>
      <c r="AP179" s="1" t="str">
        <f t="shared" si="51"/>
        <v/>
      </c>
    </row>
    <row r="180" spans="38:42">
      <c r="AL180" t="str">
        <f t="shared" si="47"/>
        <v/>
      </c>
      <c r="AM180" t="str">
        <f t="shared" si="48"/>
        <v/>
      </c>
    </row>
    <row r="181" spans="38:42">
      <c r="AL181" t="str">
        <f t="shared" si="47"/>
        <v/>
      </c>
      <c r="AM181" t="str">
        <f t="shared" si="48"/>
        <v/>
      </c>
    </row>
    <row r="182" spans="38:42">
      <c r="AL182" t="str">
        <f t="shared" si="47"/>
        <v/>
      </c>
      <c r="AM182" t="str">
        <f t="shared" si="48"/>
        <v/>
      </c>
    </row>
    <row r="183" spans="38:42">
      <c r="AL183" t="str">
        <f t="shared" si="47"/>
        <v/>
      </c>
      <c r="AM183" t="str">
        <f t="shared" si="48"/>
        <v/>
      </c>
    </row>
    <row r="184" spans="38:42">
      <c r="AL184" t="str">
        <f t="shared" si="47"/>
        <v/>
      </c>
      <c r="AM184" t="str">
        <f t="shared" si="48"/>
        <v/>
      </c>
    </row>
    <row r="185" spans="38:42">
      <c r="AL185" t="str">
        <f t="shared" si="47"/>
        <v/>
      </c>
      <c r="AM185" t="str">
        <f t="shared" si="48"/>
        <v/>
      </c>
    </row>
    <row r="186" spans="38:42">
      <c r="AL186" t="str">
        <f t="shared" si="47"/>
        <v/>
      </c>
      <c r="AM186" t="str">
        <f t="shared" si="48"/>
        <v/>
      </c>
    </row>
    <row r="187" spans="38:42">
      <c r="AL187" t="str">
        <f t="shared" si="47"/>
        <v/>
      </c>
      <c r="AM187" t="str">
        <f t="shared" si="48"/>
        <v/>
      </c>
    </row>
    <row r="188" spans="38:42">
      <c r="AL188" t="str">
        <f t="shared" si="47"/>
        <v/>
      </c>
      <c r="AM188" t="str">
        <f t="shared" si="48"/>
        <v/>
      </c>
    </row>
    <row r="189" spans="38:42">
      <c r="AL189" t="str">
        <f t="shared" si="47"/>
        <v/>
      </c>
      <c r="AM189" t="str">
        <f t="shared" si="48"/>
        <v/>
      </c>
    </row>
    <row r="190" spans="38:42">
      <c r="AL190" t="str">
        <f t="shared" si="47"/>
        <v/>
      </c>
      <c r="AM190" t="str">
        <f t="shared" si="48"/>
        <v/>
      </c>
    </row>
    <row r="191" spans="38:42">
      <c r="AL191" t="str">
        <f t="shared" si="47"/>
        <v/>
      </c>
      <c r="AM191" t="str">
        <f t="shared" si="48"/>
        <v/>
      </c>
    </row>
    <row r="192" spans="38:42">
      <c r="AL192" t="str">
        <f t="shared" si="47"/>
        <v/>
      </c>
      <c r="AM192" t="str">
        <f t="shared" si="48"/>
        <v/>
      </c>
    </row>
    <row r="193" spans="39:39">
      <c r="AM193" t="str">
        <f t="shared" si="48"/>
        <v/>
      </c>
    </row>
    <row r="194" spans="39:39">
      <c r="AM194" t="str">
        <f t="shared" si="48"/>
        <v/>
      </c>
    </row>
    <row r="195" spans="39:39">
      <c r="AM195" t="str">
        <f t="shared" si="48"/>
        <v/>
      </c>
    </row>
    <row r="196" spans="39:39">
      <c r="AM196" t="str">
        <f t="shared" si="48"/>
        <v/>
      </c>
    </row>
    <row r="197" spans="39:39">
      <c r="AM197" t="str">
        <f t="shared" ref="AM197:AM200" si="52">IF(ISBLANK(AD197),"",IF(COUNTIF($AU$4:$AU$200,AB197&amp;"-"&amp;UPPER(IF(ISNUMBER(FIND("_",AD197)),LEFT(AD197,FIND("_",AD197)-1),AD197)))&gt;0,AB197&amp;"-"&amp;UPPER(IF(ISNUMBER(FIND("_",AD197)),LEFT(AD197,FIND("_",AD197)-1),AD197)),IF(COUNTIF($AU$4:$AU$200,AB197&amp;" ("&amp;PROPER(LEFT(AD197,FIND("_",AD197)-1))&amp;"_"&amp;UPPER(MID(AD197,FIND("_",AD197)+1,20))&amp;")")&gt;0,AB197&amp;" ("&amp;PROPER(LEFT(AD197,FIND("_",AD197)-1))&amp;"_"&amp;UPPER(MID(AD197,FIND("_",AD197)+1,20))&amp;")",IF(COUNTIF($AU$4:$AU$200,AB197)&gt;0,AB197,IF(ISNUMBER(FIND("_",AD197)),"",IFERROR(INDEX($AU$4:$AU$200,MATCH(AB197,$AL$4:$AL$200,0)),IF(ISNUMBER(FIND("-",AB197)),IFERROR(INDEX($AU$4:$AU$200,MATCH(LEFT(AB197,FIND("-",AB197)-1),$AU$4:$AU$200,0)),""),IF(AB197="SCA",IF(RIGHT(AD197,3)="_fr",IFERROR(INDEX($AU$4:$AU$200,MATCH("SEWA (Africa_FR)",$AU$4:$AU$200,0)),""),IF(RIGHT(AD197,3)="_en",IFERROR(INDEX($AU$4:$AU$200,MATCH("SEWA (Africa_EN)",$AU$4:$AU$200,0)),""),"")),""))))))))</f>
        <v/>
      </c>
    </row>
    <row r="198" spans="39:39">
      <c r="AM198" t="str">
        <f t="shared" si="52"/>
        <v/>
      </c>
    </row>
    <row r="199" spans="39:39">
      <c r="AM199" t="str">
        <f t="shared" si="52"/>
        <v/>
      </c>
    </row>
    <row r="200" spans="39:39">
      <c r="AM200" t="str">
        <f t="shared" si="52"/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4b9f97-4dbe-4c28-8535-c5017c2cedd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651F3E450DD794FA565A8C17238251E" ma:contentTypeVersion="13" ma:contentTypeDescription="새 문서를 만듭니다." ma:contentTypeScope="" ma:versionID="67745049e239f738766ac5ff09ec0906">
  <xsd:schema xmlns:xsd="http://www.w3.org/2001/XMLSchema" xmlns:xs="http://www.w3.org/2001/XMLSchema" xmlns:p="http://schemas.microsoft.com/office/2006/metadata/properties" xmlns:ns2="574b9f97-4dbe-4c28-8535-c5017c2cedd7" targetNamespace="http://schemas.microsoft.com/office/2006/metadata/properties" ma:root="true" ma:fieldsID="0b538c1ad2a6c9cb2589c685b98bba9e" ns2:_="">
    <xsd:import namespace="574b9f97-4dbe-4c28-8535-c5017c2ce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4b9f97-4dbe-4c28-8535-c5017c2ce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93c75221-6d37-4f95-92e8-0b0ea71968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B2EC13-4D33-44D5-B34E-8199774DB907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574b9f97-4dbe-4c28-8535-c5017c2cedd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164BE1C-7B12-46B6-ADC7-F5B6CBB304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842901-A340-4B20-BF77-C8D28AC3EF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4b9f97-4dbe-4c28-8535-c5017c2ce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schedule_convert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Jonghyun Park</cp:lastModifiedBy>
  <cp:revision/>
  <dcterms:created xsi:type="dcterms:W3CDTF">2026-03-23T01:55:55Z</dcterms:created>
  <dcterms:modified xsi:type="dcterms:W3CDTF">2026-03-25T05:58:24Z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0x0101009651F3E450DD794FA565A8C17238251E</vt:lpwstr>
  </property>
  <property fmtid="{D5CDD505-2E9C-101B-9397-08002B2CF9AE}" pid="3" name="MediaServiceImageTags">
    <vt:lpwstr/>
  </property>
</Properties>
</file>